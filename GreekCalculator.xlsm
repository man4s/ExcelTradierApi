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ython310\GreekCalculator\"/>
    </mc:Choice>
  </mc:AlternateContent>
  <xr:revisionPtr revIDLastSave="0" documentId="13_ncr:1_{E29C1C81-6031-4691-9396-2C0A36D408BC}" xr6:coauthVersionLast="47" xr6:coauthVersionMax="47" xr10:uidLastSave="{00000000-0000-0000-0000-000000000000}"/>
  <bookViews>
    <workbookView xWindow="-108" yWindow="-108" windowWidth="23256" windowHeight="12576" tabRatio="500" activeTab="2" xr2:uid="{00000000-000D-0000-FFFF-FFFF00000000}"/>
  </bookViews>
  <sheets>
    <sheet name="Static" sheetId="3" r:id="rId1"/>
    <sheet name="Details" sheetId="1" r:id="rId2"/>
    <sheet name="data" sheetId="10" r:id="rId3"/>
    <sheet name="Greeks" sheetId="7" r:id="rId4"/>
    <sheet name="regression" sheetId="4" r:id="rId5"/>
    <sheet name="_xlwings.conf" sheetId="2" r:id="rId6"/>
  </sheets>
  <functionGroups builtInGroupCount="19">
    <functionGroup name="xlwings"/>
  </functionGroups>
  <definedNames>
    <definedName name="CalcMode">Static!$B$1:$C$1</definedName>
    <definedName name="ExternalData_1" localSheetId="2" hidden="1">data!$A$1:$AH$125</definedName>
  </definedNames>
  <calcPr calcId="191029" concurrentCalc="0"/>
  <extLst>
    <ext xmlns:x14="http://schemas.microsoft.com/office/spreadsheetml/2009/9/main" uri="{8193D73E-4604-4355-AFF4-8A2333D13BE4}">
      <x14:definedNames>
        <x14:definedName name="bsGreeks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bsPri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helloString">
          <x14:argumentDescriptions count="1">
            <x14:argumentDescription index="0">Positional argument 1</x14:argumentDescription>
          </x14:argumentDescriptions>
        </x14:definedName>
        <x14:definedName name="impliedVo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aturity">
          <x14:argumentDescriptions count="1">
            <x14:argumentDescription index="0">Positional argument 1</x14:argumentDescription>
          </x14:argumentDescriptions>
        </x14:definedName>
        <x14:definedName name="optionChai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onChainFil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optionExpiri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data_a371cd50-8e58-4f45-9e4c-729eb10f29c0" name="data" connection="Query - 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A8" i="1" a="1"/>
  <c r="A10" i="1"/>
  <c r="A9" i="1"/>
  <c r="B1" i="1"/>
  <c r="B9" i="1"/>
  <c r="C9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C49" i="1"/>
  <c r="A50" i="1"/>
  <c r="C50" i="1"/>
  <c r="A51" i="1"/>
  <c r="C51" i="1"/>
  <c r="A52" i="1"/>
  <c r="C52" i="1"/>
  <c r="A53" i="1"/>
  <c r="C53" i="1"/>
  <c r="A54" i="1"/>
  <c r="C54" i="1"/>
  <c r="A8" i="1"/>
  <c r="B8" i="1"/>
  <c r="C8" i="1"/>
  <c r="B11" i="3"/>
  <c r="H18" i="4" a="1"/>
  <c r="H18" i="4"/>
  <c r="I18" i="4"/>
  <c r="J18" i="4"/>
  <c r="K18" i="4"/>
  <c r="L18" i="4"/>
  <c r="H9" i="4" a="1"/>
  <c r="H9" i="4"/>
  <c r="I9" i="4"/>
  <c r="J9" i="4"/>
  <c r="K9" i="4"/>
  <c r="L9" i="4"/>
  <c r="E17" i="4"/>
  <c r="E9" i="4"/>
  <c r="B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0167EC-7419-4341-B612-962AA8DC8274}" keepAlive="1" name="ModelConnection_ExternalData_1" description="Data Model" type="5" refreshedVersion="7" minRefreshableVersion="5" saveData="1">
    <dbPr connection="Data Model Connection" command="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F02F43D6-98C1-4D53-AADD-9DDDC7D6241A}" interval="10" name="Query - data" description="Connection to the 'data' query in the workbook." type="100" refreshedVersion="7" minRefreshableVersion="5" refreshOnLoad="1" saveData="1">
    <extLst>
      <ext xmlns:x15="http://schemas.microsoft.com/office/spreadsheetml/2010/11/main" uri="{DE250136-89BD-433C-8126-D09CA5730AF9}">
        <x15:connection id="35642b8f-f80c-45fc-a51f-82d792fcab97"/>
      </ext>
    </extLst>
  </connection>
  <connection id="3" xr16:uid="{5B6FAC64-72B2-4E00-8BE2-E7768DDBB238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<sst xmlns="http://schemas.openxmlformats.org/spreadsheetml/2006/main" count="3812" uniqueCount="920">
  <si>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</si>
  <si>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</si>
  <si>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</si>
  <si>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</si>
  <si>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</si>
  <si>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</si>
  <si>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</si>
  <si>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</si>
  <si>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</si>
  <si>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</si>
  <si>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</si>
  <si>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</si>
  <si>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</si>
  <si>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</si>
  <si>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</si>
  <si>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</t>
  </si>
  <si>
    <t>Calculation</t>
  </si>
  <si>
    <t>Manual</t>
  </si>
  <si>
    <t>Auto</t>
  </si>
  <si>
    <t>Yahoo Finance</t>
  </si>
  <si>
    <t>Yes</t>
  </si>
  <si>
    <t>No</t>
  </si>
  <si>
    <t>Tradier</t>
  </si>
  <si>
    <t>Tradier API</t>
  </si>
  <si>
    <t>Delta</t>
  </si>
  <si>
    <t>Gamma</t>
  </si>
  <si>
    <t>Vega</t>
  </si>
  <si>
    <t>Theta</t>
  </si>
  <si>
    <t>Rho</t>
  </si>
  <si>
    <t>Today</t>
  </si>
  <si>
    <t>Yahoo</t>
  </si>
  <si>
    <t>EndPoint</t>
  </si>
  <si>
    <t>Access Token</t>
  </si>
  <si>
    <t>Use Proxy Server</t>
  </si>
  <si>
    <t>Proxy Server</t>
  </si>
  <si>
    <t>AAPL</t>
  </si>
  <si>
    <t>Put</t>
  </si>
  <si>
    <t>Call</t>
  </si>
  <si>
    <t>Call Price</t>
  </si>
  <si>
    <t>option expiries from tradier</t>
  </si>
  <si>
    <t>subscribe to tradier</t>
  </si>
  <si>
    <t>use a specific expiry and get the option details</t>
  </si>
  <si>
    <t>strike</t>
  </si>
  <si>
    <t>calls</t>
  </si>
  <si>
    <t>put</t>
  </si>
  <si>
    <t>LXVkmzoytEbdiNQc6gcmOkF1rMxH</t>
  </si>
  <si>
    <t>Python Function testing</t>
  </si>
  <si>
    <t>Implied Vol</t>
  </si>
  <si>
    <t>K</t>
  </si>
  <si>
    <t>T</t>
  </si>
  <si>
    <t>r</t>
  </si>
  <si>
    <t>C</t>
  </si>
  <si>
    <t>Type</t>
  </si>
  <si>
    <t>c</t>
  </si>
  <si>
    <t>Greeks</t>
  </si>
  <si>
    <t>Price</t>
  </si>
  <si>
    <t>sigma</t>
  </si>
  <si>
    <t>Spot</t>
  </si>
  <si>
    <t xml:space="preserve">r </t>
  </si>
  <si>
    <t>p</t>
  </si>
  <si>
    <t>https://api.tradier.com/v1/</t>
  </si>
  <si>
    <t>EndPoints</t>
  </si>
  <si>
    <t>https://sandbox.tradier.com/v1/</t>
  </si>
  <si>
    <t>AuthCode</t>
  </si>
  <si>
    <t>SPX</t>
  </si>
  <si>
    <t>MSFT</t>
  </si>
  <si>
    <t>Option Expiries</t>
  </si>
  <si>
    <t>DTE</t>
  </si>
  <si>
    <t>Expiry</t>
  </si>
  <si>
    <t>Option Expiry (DTE)</t>
  </si>
  <si>
    <t>Strike</t>
  </si>
  <si>
    <t>Spot Price</t>
  </si>
  <si>
    <t>option</t>
  </si>
  <si>
    <t>call</t>
  </si>
  <si>
    <t>Option Chain</t>
  </si>
  <si>
    <t>Symbol</t>
  </si>
  <si>
    <t>Description</t>
  </si>
  <si>
    <t>Last</t>
  </si>
  <si>
    <t>Volume</t>
  </si>
  <si>
    <t>Close</t>
  </si>
  <si>
    <t>Bid</t>
  </si>
  <si>
    <t>Ask</t>
  </si>
  <si>
    <t>Column1.type</t>
  </si>
  <si>
    <t>Column1.change</t>
  </si>
  <si>
    <t>Column1.open</t>
  </si>
  <si>
    <t>Column1.high</t>
  </si>
  <si>
    <t>Column1.low</t>
  </si>
  <si>
    <t>Column1.underlying</t>
  </si>
  <si>
    <t>Column1.change_percentage</t>
  </si>
  <si>
    <t>Column1.average_volume</t>
  </si>
  <si>
    <t>Column1.last_volume</t>
  </si>
  <si>
    <t>Column1.trade_date</t>
  </si>
  <si>
    <t>Column1.prevclose</t>
  </si>
  <si>
    <t>Column1.week_52_high</t>
  </si>
  <si>
    <t>Column1.week_52_low</t>
  </si>
  <si>
    <t>Column1.bidexch</t>
  </si>
  <si>
    <t>Column1.bid_date</t>
  </si>
  <si>
    <t>Column1.askexch</t>
  </si>
  <si>
    <t>Column1.ask_date</t>
  </si>
  <si>
    <t>Column1.open_interest</t>
  </si>
  <si>
    <t>Column1.expiration_date</t>
  </si>
  <si>
    <t>Column1.expiration_type</t>
  </si>
  <si>
    <t>Column1.root_symbol</t>
  </si>
  <si>
    <t>12</t>
  </si>
  <si>
    <t>0</t>
  </si>
  <si>
    <t>1</t>
  </si>
  <si>
    <t>413</t>
  </si>
  <si>
    <t>100</t>
  </si>
  <si>
    <t>2400</t>
  </si>
  <si>
    <t>1.65151E+12</t>
  </si>
  <si>
    <t>19.7</t>
  </si>
  <si>
    <t>103</t>
  </si>
  <si>
    <t>1.6516E+12</t>
  </si>
  <si>
    <t>155</t>
  </si>
  <si>
    <t>39.6</t>
  </si>
  <si>
    <t>3000</t>
  </si>
  <si>
    <t>42</t>
  </si>
  <si>
    <t>1.65159E+12</t>
  </si>
  <si>
    <t>3200</t>
  </si>
  <si>
    <t>30</t>
  </si>
  <si>
    <t>60</t>
  </si>
  <si>
    <t>52</t>
  </si>
  <si>
    <t>1.65099E+12</t>
  </si>
  <si>
    <t>50</t>
  </si>
  <si>
    <t>63</t>
  </si>
  <si>
    <t>66.7</t>
  </si>
  <si>
    <t>88</t>
  </si>
  <si>
    <t>263</t>
  </si>
  <si>
    <t>3400</t>
  </si>
  <si>
    <t>37</t>
  </si>
  <si>
    <t>74</t>
  </si>
  <si>
    <t>61</t>
  </si>
  <si>
    <t>35</t>
  </si>
  <si>
    <t>1.6515E+12</t>
  </si>
  <si>
    <t>2</t>
  </si>
  <si>
    <t>25</t>
  </si>
  <si>
    <t>1.65152E+12</t>
  </si>
  <si>
    <t>6</t>
  </si>
  <si>
    <t>23</t>
  </si>
  <si>
    <t>127</t>
  </si>
  <si>
    <t>8</t>
  </si>
  <si>
    <t>95</t>
  </si>
  <si>
    <t>5</t>
  </si>
  <si>
    <t>22</t>
  </si>
  <si>
    <t>3600</t>
  </si>
  <si>
    <t>111</t>
  </si>
  <si>
    <t>21</t>
  </si>
  <si>
    <t>20</t>
  </si>
  <si>
    <t>114.1</t>
  </si>
  <si>
    <t>117</t>
  </si>
  <si>
    <t>118</t>
  </si>
  <si>
    <t>17</t>
  </si>
  <si>
    <t>1.65116E+12</t>
  </si>
  <si>
    <t>1.65057E+12</t>
  </si>
  <si>
    <t>3800</t>
  </si>
  <si>
    <t>3</t>
  </si>
  <si>
    <t>14</t>
  </si>
  <si>
    <t>15</t>
  </si>
  <si>
    <t>3900</t>
  </si>
  <si>
    <t>13</t>
  </si>
  <si>
    <t>1.6509E+12</t>
  </si>
  <si>
    <t>1.65117E+12</t>
  </si>
  <si>
    <t>11</t>
  </si>
  <si>
    <t>10</t>
  </si>
  <si>
    <t>7</t>
  </si>
  <si>
    <t>1.65124E+12</t>
  </si>
  <si>
    <t>4200</t>
  </si>
  <si>
    <t>1.65125E+12</t>
  </si>
  <si>
    <t>4</t>
  </si>
  <si>
    <t>315.8</t>
  </si>
  <si>
    <t>1.65089E+12</t>
  </si>
  <si>
    <t>1.65066E+12</t>
  </si>
  <si>
    <t>376.7</t>
  </si>
  <si>
    <t>1.65091E+12</t>
  </si>
  <si>
    <t>382.6</t>
  </si>
  <si>
    <t>27</t>
  </si>
  <si>
    <t>32</t>
  </si>
  <si>
    <t>4500</t>
  </si>
  <si>
    <t>1.65109E+12</t>
  </si>
  <si>
    <t>1.65064E+12</t>
  </si>
  <si>
    <t>34</t>
  </si>
  <si>
    <t>126</t>
  </si>
  <si>
    <t>4700</t>
  </si>
  <si>
    <t>1.65039E+12</t>
  </si>
  <si>
    <t>81</t>
  </si>
  <si>
    <t>1.65038E+12</t>
  </si>
  <si>
    <t>1.64667E+12</t>
  </si>
  <si>
    <t>72</t>
  </si>
  <si>
    <t>4900</t>
  </si>
  <si>
    <t>1.65056E+12</t>
  </si>
  <si>
    <t>5100</t>
  </si>
  <si>
    <t>5200</t>
  </si>
  <si>
    <t>1.64366E+12</t>
  </si>
  <si>
    <t>1.64305E+12</t>
  </si>
  <si>
    <t>5300</t>
  </si>
  <si>
    <t>5500</t>
  </si>
  <si>
    <t>5800</t>
  </si>
  <si>
    <t>5900</t>
  </si>
  <si>
    <t>1.6421E+12</t>
  </si>
  <si>
    <t>2000</t>
  </si>
  <si>
    <t>1.64875E+12</t>
  </si>
  <si>
    <t>2600</t>
  </si>
  <si>
    <t>3300</t>
  </si>
  <si>
    <t>891.2</t>
  </si>
  <si>
    <t>3500</t>
  </si>
  <si>
    <t>592.28</t>
  </si>
  <si>
    <t>4000</t>
  </si>
  <si>
    <t>248.2</t>
  </si>
  <si>
    <t>120</t>
  </si>
  <si>
    <t>175.7</t>
  </si>
  <si>
    <t>4400</t>
  </si>
  <si>
    <t>4600</t>
  </si>
  <si>
    <t>59.5</t>
  </si>
  <si>
    <t>319</t>
  </si>
  <si>
    <t>46</t>
  </si>
  <si>
    <t>41</t>
  </si>
  <si>
    <t>44.9</t>
  </si>
  <si>
    <t>28.6</t>
  </si>
  <si>
    <t>25.6</t>
  </si>
  <si>
    <t>4800</t>
  </si>
  <si>
    <t>64</t>
  </si>
  <si>
    <t>185</t>
  </si>
  <si>
    <t>113</t>
  </si>
  <si>
    <t>85</t>
  </si>
  <si>
    <t>5.2</t>
  </si>
  <si>
    <t>106</t>
  </si>
  <si>
    <t>1000</t>
  </si>
  <si>
    <t>132</t>
  </si>
  <si>
    <t>1200</t>
  </si>
  <si>
    <t>119</t>
  </si>
  <si>
    <t>1400</t>
  </si>
  <si>
    <t>4.4</t>
  </si>
  <si>
    <t>1600</t>
  </si>
  <si>
    <t>8.4</t>
  </si>
  <si>
    <t>1.64995E+12</t>
  </si>
  <si>
    <t>5400</t>
  </si>
  <si>
    <t>93</t>
  </si>
  <si>
    <t>5600</t>
  </si>
  <si>
    <t>1.6491E+12</t>
  </si>
  <si>
    <t>6000</t>
  </si>
  <si>
    <t>0.05</t>
  </si>
  <si>
    <t>6600</t>
  </si>
  <si>
    <t>9.8</t>
  </si>
  <si>
    <t>5000</t>
  </si>
  <si>
    <t>105</t>
  </si>
  <si>
    <t>2200</t>
  </si>
  <si>
    <t>261</t>
  </si>
  <si>
    <t>51</t>
  </si>
  <si>
    <t>3700</t>
  </si>
  <si>
    <t>1.65029E+12</t>
  </si>
  <si>
    <t>143</t>
  </si>
  <si>
    <t>200</t>
  </si>
  <si>
    <t>204.1</t>
  </si>
  <si>
    <t>4100</t>
  </si>
  <si>
    <t>4300</t>
  </si>
  <si>
    <t>128.4</t>
  </si>
  <si>
    <t>75</t>
  </si>
  <si>
    <t>98</t>
  </si>
  <si>
    <t>335</t>
  </si>
  <si>
    <t>71.9</t>
  </si>
  <si>
    <t>1.64796E+12</t>
  </si>
  <si>
    <t>23.6</t>
  </si>
  <si>
    <t>107</t>
  </si>
  <si>
    <t>10.2</t>
  </si>
  <si>
    <t>2.2</t>
  </si>
  <si>
    <t>273</t>
  </si>
  <si>
    <t>5700</t>
  </si>
  <si>
    <t>1800</t>
  </si>
  <si>
    <t>1.7</t>
  </si>
  <si>
    <t>6200</t>
  </si>
  <si>
    <t>6400</t>
  </si>
  <si>
    <t>800</t>
  </si>
  <si>
    <t>274</t>
  </si>
  <si>
    <t>271</t>
  </si>
  <si>
    <t>2800</t>
  </si>
  <si>
    <t>1.64848E+12</t>
  </si>
  <si>
    <t>375</t>
  </si>
  <si>
    <t>79.8</t>
  </si>
  <si>
    <t>178</t>
  </si>
  <si>
    <t>115</t>
  </si>
  <si>
    <t>171</t>
  </si>
  <si>
    <t>67</t>
  </si>
  <si>
    <t>178.3</t>
  </si>
  <si>
    <t>241</t>
  </si>
  <si>
    <t>103.8</t>
  </si>
  <si>
    <t>1.64979E+12</t>
  </si>
  <si>
    <t>1.64945E+12</t>
  </si>
  <si>
    <t>701.2</t>
  </si>
  <si>
    <t>377.9</t>
  </si>
  <si>
    <t>300</t>
  </si>
  <si>
    <t>731.5</t>
  </si>
  <si>
    <t>843.5</t>
  </si>
  <si>
    <t>5.5</t>
  </si>
  <si>
    <t>159</t>
  </si>
  <si>
    <t>94.2</t>
  </si>
  <si>
    <t>553</t>
  </si>
  <si>
    <t>555</t>
  </si>
  <si>
    <t>161.7</t>
  </si>
  <si>
    <t>238.5</t>
  </si>
  <si>
    <t>61.8</t>
  </si>
  <si>
    <t>49.5</t>
  </si>
  <si>
    <t>875</t>
  </si>
  <si>
    <t>131</t>
  </si>
  <si>
    <t>245.6</t>
  </si>
  <si>
    <t>176</t>
  </si>
  <si>
    <t>1249.5</t>
  </si>
  <si>
    <t>35.5</t>
  </si>
  <si>
    <t>409</t>
  </si>
  <si>
    <t>225.3</t>
  </si>
  <si>
    <t>20.8</t>
  </si>
  <si>
    <t>233</t>
  </si>
  <si>
    <t>291</t>
  </si>
  <si>
    <t>736</t>
  </si>
  <si>
    <t>1.65168E+12</t>
  </si>
  <si>
    <t>459.7</t>
  </si>
  <si>
    <t>498</t>
  </si>
  <si>
    <t>1.65167E+12</t>
  </si>
  <si>
    <t>334</t>
  </si>
  <si>
    <t>2967.9</t>
  </si>
  <si>
    <t>1157.6</t>
  </si>
  <si>
    <t>327</t>
  </si>
  <si>
    <t>36.6</t>
  </si>
  <si>
    <t>43.7</t>
  </si>
  <si>
    <t>40.3</t>
  </si>
  <si>
    <t>303</t>
  </si>
  <si>
    <t>1780</t>
  </si>
  <si>
    <t>14.1</t>
  </si>
  <si>
    <t>18.9</t>
  </si>
  <si>
    <t>827</t>
  </si>
  <si>
    <t>64.3</t>
  </si>
  <si>
    <t>39.1</t>
  </si>
  <si>
    <t>31.9</t>
  </si>
  <si>
    <t>29.7</t>
  </si>
  <si>
    <t>-25</t>
  </si>
  <si>
    <t>12.32</t>
  </si>
  <si>
    <t>12.3</t>
  </si>
  <si>
    <t>400</t>
  </si>
  <si>
    <t>330.5</t>
  </si>
  <si>
    <t>392.8</t>
  </si>
  <si>
    <t>32.6</t>
  </si>
  <si>
    <t>115.3</t>
  </si>
  <si>
    <t>70.2</t>
  </si>
  <si>
    <t>55.4</t>
  </si>
  <si>
    <t>83.9</t>
  </si>
  <si>
    <t>412</t>
  </si>
  <si>
    <t>JSON</t>
  </si>
  <si>
    <t>Location</t>
  </si>
  <si>
    <t>C:\Python310\GreekCalculator\</t>
  </si>
  <si>
    <t>Contract Size</t>
  </si>
  <si>
    <t>Option Type</t>
  </si>
  <si>
    <t>81.6</t>
  </si>
  <si>
    <t>2026-12-18</t>
  </si>
  <si>
    <t>SPX261218P00200000</t>
  </si>
  <si>
    <t>SPX Dec 18 2026 $200.00 Put</t>
  </si>
  <si>
    <t>standard</t>
  </si>
  <si>
    <t>SPX261218C00200000</t>
  </si>
  <si>
    <t>SPX Dec 18 2026 $200.00 Call</t>
  </si>
  <si>
    <t>3994.67</t>
  </si>
  <si>
    <t>3525.2</t>
  </si>
  <si>
    <t>4041.3</t>
  </si>
  <si>
    <t>1.64971E+12</t>
  </si>
  <si>
    <t>SPX261218P00400000</t>
  </si>
  <si>
    <t>SPX Dec 18 2026 $400.00 Put</t>
  </si>
  <si>
    <t>SPX261218C00400000</t>
  </si>
  <si>
    <t>SPX Dec 18 2026 $400.00 Call</t>
  </si>
  <si>
    <t>3879.5</t>
  </si>
  <si>
    <t>3359.6</t>
  </si>
  <si>
    <t>3870.3</t>
  </si>
  <si>
    <t>1.64399E+12</t>
  </si>
  <si>
    <t>SPX261218P00600000</t>
  </si>
  <si>
    <t>SPX Dec 18 2026 $600.00 Put</t>
  </si>
  <si>
    <t>600</t>
  </si>
  <si>
    <t>SPX261218P00800000</t>
  </si>
  <si>
    <t>SPX Dec 18 2026 $800.00 Put</t>
  </si>
  <si>
    <t>SPX261218P01400000</t>
  </si>
  <si>
    <t>SPX Dec 18 2026 $1400.00 Put</t>
  </si>
  <si>
    <t>1.64201E+12</t>
  </si>
  <si>
    <t>SPX261218P01600000</t>
  </si>
  <si>
    <t>SPX Dec 18 2026 $1600.00 Put</t>
  </si>
  <si>
    <t>SPX261218P01800000</t>
  </si>
  <si>
    <t>SPX Dec 18 2026 $1800.00 Put</t>
  </si>
  <si>
    <t>78.3</t>
  </si>
  <si>
    <t>1.64754E+12</t>
  </si>
  <si>
    <t>SPX261218C01800000</t>
  </si>
  <si>
    <t>SPX Dec 18 2026 $1800.00 Call</t>
  </si>
  <si>
    <t>2652.69</t>
  </si>
  <si>
    <t>2306.6</t>
  </si>
  <si>
    <t>2606.6</t>
  </si>
  <si>
    <t>SPX261218C02000000</t>
  </si>
  <si>
    <t>SPX Dec 18 2026 $2000.00 Call</t>
  </si>
  <si>
    <t>2180.7</t>
  </si>
  <si>
    <t>2480.7</t>
  </si>
  <si>
    <t>1.64813E+12</t>
  </si>
  <si>
    <t>SPX261218P02000000</t>
  </si>
  <si>
    <t>SPX Dec 18 2026 $2000.00 Put</t>
  </si>
  <si>
    <t>346</t>
  </si>
  <si>
    <t>SPX261218C02200000</t>
  </si>
  <si>
    <t>SPX Dec 18 2026 $2200.00 Call</t>
  </si>
  <si>
    <t>2332.98</t>
  </si>
  <si>
    <t>2029.3</t>
  </si>
  <si>
    <t>2329.3</t>
  </si>
  <si>
    <t>1.64373E+12</t>
  </si>
  <si>
    <t>SPX261218P02200000</t>
  </si>
  <si>
    <t>SPX Dec 18 2026 $2200.00 Put</t>
  </si>
  <si>
    <t>332</t>
  </si>
  <si>
    <t>SPX261218C02400000</t>
  </si>
  <si>
    <t>SPX Dec 18 2026 $2400.00 Call</t>
  </si>
  <si>
    <t>1950</t>
  </si>
  <si>
    <t>1815.1</t>
  </si>
  <si>
    <t>2180.9</t>
  </si>
  <si>
    <t>1.64676E+12</t>
  </si>
  <si>
    <t>SPX261218P02400000</t>
  </si>
  <si>
    <t>SPX Dec 18 2026 $2400.00 Put</t>
  </si>
  <si>
    <t>104.4</t>
  </si>
  <si>
    <t>153.1</t>
  </si>
  <si>
    <t>SPX261218P02600000</t>
  </si>
  <si>
    <t>SPX Dec 18 2026 $2600.00 Put</t>
  </si>
  <si>
    <t>168.1</t>
  </si>
  <si>
    <t>152.3</t>
  </si>
  <si>
    <t>SPX261218P02800000</t>
  </si>
  <si>
    <t>SPX Dec 18 2026 $2800.00 Put</t>
  </si>
  <si>
    <t>231.7</t>
  </si>
  <si>
    <t>492</t>
  </si>
  <si>
    <t>SPX261218C02800000</t>
  </si>
  <si>
    <t>SPX Dec 18 2026 $2800.00 Call</t>
  </si>
  <si>
    <t>1737.99</t>
  </si>
  <si>
    <t>1644.3</t>
  </si>
  <si>
    <t>1836.3</t>
  </si>
  <si>
    <t>SPX261218C03000000</t>
  </si>
  <si>
    <t>SPX Dec 18 2026 $3000.00 Call</t>
  </si>
  <si>
    <t>1824.6</t>
  </si>
  <si>
    <t>1508.3</t>
  </si>
  <si>
    <t>1700.3</t>
  </si>
  <si>
    <t>SPX261218P03000000</t>
  </si>
  <si>
    <t>SPX Dec 18 2026 $3000.00 Put</t>
  </si>
  <si>
    <t>232.25</t>
  </si>
  <si>
    <t>218.2</t>
  </si>
  <si>
    <t>SPX261218C03200000</t>
  </si>
  <si>
    <t>SPX Dec 18 2026 $3200.00 Call</t>
  </si>
  <si>
    <t>1402.19</t>
  </si>
  <si>
    <t>1376.6</t>
  </si>
  <si>
    <t>1568.6</t>
  </si>
  <si>
    <t>1.64677E+12</t>
  </si>
  <si>
    <t>SPX261218P03200000</t>
  </si>
  <si>
    <t>SPX Dec 18 2026 $3200.00 Put</t>
  </si>
  <si>
    <t>308.6</t>
  </si>
  <si>
    <t>1.64935E+12</t>
  </si>
  <si>
    <t>SPX261218C03300000</t>
  </si>
  <si>
    <t>SPX Dec 18 2026 $3300.00 Call</t>
  </si>
  <si>
    <t>1609.6</t>
  </si>
  <si>
    <t>1312.5</t>
  </si>
  <si>
    <t>1504.5</t>
  </si>
  <si>
    <t>1.63578E+12</t>
  </si>
  <si>
    <t>SPX261218P03400000</t>
  </si>
  <si>
    <t>SPX Dec 18 2026 $3400.00 Put</t>
  </si>
  <si>
    <t>354.3</t>
  </si>
  <si>
    <t>SPX261218P03500000</t>
  </si>
  <si>
    <t>SPX Dec 18 2026 $3500.00 Put</t>
  </si>
  <si>
    <t>378.6</t>
  </si>
  <si>
    <t>SPX261218C03500000</t>
  </si>
  <si>
    <t>SPX Dec 18 2026 $3500.00 Call</t>
  </si>
  <si>
    <t>1416.97</t>
  </si>
  <si>
    <t>1187.7</t>
  </si>
  <si>
    <t>1379.7</t>
  </si>
  <si>
    <t>1.6503E+12</t>
  </si>
  <si>
    <t>SPX261218P03600000</t>
  </si>
  <si>
    <t>SPX Dec 18 2026 $3600.00 Put</t>
  </si>
  <si>
    <t>459.85</t>
  </si>
  <si>
    <t>351.2</t>
  </si>
  <si>
    <t>380.1</t>
  </si>
  <si>
    <t>1.64666E+12</t>
  </si>
  <si>
    <t>SPX261218C03600000</t>
  </si>
  <si>
    <t>SPX Dec 18 2026 $3600.00 Call</t>
  </si>
  <si>
    <t>1331.63</t>
  </si>
  <si>
    <t>1127.1</t>
  </si>
  <si>
    <t>1319.1</t>
  </si>
  <si>
    <t>1.64502E+12</t>
  </si>
  <si>
    <t>SPX261218C03700000</t>
  </si>
  <si>
    <t>SPX Dec 18 2026 $3700.00 Call</t>
  </si>
  <si>
    <t>1104.84</t>
  </si>
  <si>
    <t>1067.7</t>
  </si>
  <si>
    <t>1259.7</t>
  </si>
  <si>
    <t>1.64729E+12</t>
  </si>
  <si>
    <t>SPX261218P03700000</t>
  </si>
  <si>
    <t>SPX Dec 18 2026 $3700.00 Put</t>
  </si>
  <si>
    <t>483.28</t>
  </si>
  <si>
    <t>406.9</t>
  </si>
  <si>
    <t>SPX261218C03800000</t>
  </si>
  <si>
    <t>SPX Dec 18 2026 $3800.00 Call</t>
  </si>
  <si>
    <t>1341.66</t>
  </si>
  <si>
    <t>1009.6</t>
  </si>
  <si>
    <t>1201.6</t>
  </si>
  <si>
    <t>SPX261218P03800000</t>
  </si>
  <si>
    <t>SPX Dec 18 2026 $3800.00 Put</t>
  </si>
  <si>
    <t>SPX261218P03900000</t>
  </si>
  <si>
    <t>SPX Dec 18 2026 $3900.00 Put</t>
  </si>
  <si>
    <t>489.4</t>
  </si>
  <si>
    <t>SPX261218C04000000</t>
  </si>
  <si>
    <t>SPX Dec 18 2026 $4000.00 Call</t>
  </si>
  <si>
    <t>989.11</t>
  </si>
  <si>
    <t>897.5</t>
  </si>
  <si>
    <t>1089.5</t>
  </si>
  <si>
    <t>536</t>
  </si>
  <si>
    <t>SPX261218P04000000</t>
  </si>
  <si>
    <t>SPX Dec 18 2026 $4000.00 Put</t>
  </si>
  <si>
    <t>525.94</t>
  </si>
  <si>
    <t>442.6</t>
  </si>
  <si>
    <t>520.5</t>
  </si>
  <si>
    <t>646</t>
  </si>
  <si>
    <t>SPX261218P04400000</t>
  </si>
  <si>
    <t>SPX Dec 18 2026 $4400.00 Put</t>
  </si>
  <si>
    <t>651.62</t>
  </si>
  <si>
    <t>577.7</t>
  </si>
  <si>
    <t>659.7</t>
  </si>
  <si>
    <t>SPX261218C04400000</t>
  </si>
  <si>
    <t>SPX Dec 18 2026 $4400.00 Call</t>
  </si>
  <si>
    <t>941</t>
  </si>
  <si>
    <t>656.1</t>
  </si>
  <si>
    <t>921.7</t>
  </si>
  <si>
    <t>SPX261218C04500000</t>
  </si>
  <si>
    <t>SPX Dec 18 2026 $4500.00 Call</t>
  </si>
  <si>
    <t>766.06</t>
  </si>
  <si>
    <t>624</t>
  </si>
  <si>
    <t>857.4</t>
  </si>
  <si>
    <t>SPX261218P04500000</t>
  </si>
  <si>
    <t>SPX Dec 18 2026 $4500.00 Put</t>
  </si>
  <si>
    <t>686.61</t>
  </si>
  <si>
    <t>698.3</t>
  </si>
  <si>
    <t>SPX261218C04600000</t>
  </si>
  <si>
    <t>SPX Dec 18 2026 $4600.00 Call</t>
  </si>
  <si>
    <t>581.6</t>
  </si>
  <si>
    <t>806.3</t>
  </si>
  <si>
    <t>SPX261218P04600000</t>
  </si>
  <si>
    <t>SPX Dec 18 2026 $4600.00 Put</t>
  </si>
  <si>
    <t>719.3</t>
  </si>
  <si>
    <t>679.6</t>
  </si>
  <si>
    <t>711.5</t>
  </si>
  <si>
    <t>SPX261218C04700000</t>
  </si>
  <si>
    <t>SPX Dec 18 2026 $4700.00 Call</t>
  </si>
  <si>
    <t>745.04</t>
  </si>
  <si>
    <t>541.1</t>
  </si>
  <si>
    <t>745.3</t>
  </si>
  <si>
    <t>1286</t>
  </si>
  <si>
    <t>SPX261218P04700000</t>
  </si>
  <si>
    <t>SPX Dec 18 2026 $4700.00 Put</t>
  </si>
  <si>
    <t>752.2</t>
  </si>
  <si>
    <t>1388</t>
  </si>
  <si>
    <t>SPX261218C04800000</t>
  </si>
  <si>
    <t>SPX Dec 18 2026 $4800.00 Call</t>
  </si>
  <si>
    <t>723.33</t>
  </si>
  <si>
    <t>501.9</t>
  </si>
  <si>
    <t>711.3</t>
  </si>
  <si>
    <t>423</t>
  </si>
  <si>
    <t>SPX261218P04800000</t>
  </si>
  <si>
    <t>SPX Dec 18 2026 $4800.00 Put</t>
  </si>
  <si>
    <t>767.98</t>
  </si>
  <si>
    <t>SPX261218C04900000</t>
  </si>
  <si>
    <t>SPX Dec 18 2026 $4900.00 Call</t>
  </si>
  <si>
    <t>620</t>
  </si>
  <si>
    <t>464.5</t>
  </si>
  <si>
    <t>601.5</t>
  </si>
  <si>
    <t>1.64633E+12</t>
  </si>
  <si>
    <t>SPX261218P04900000</t>
  </si>
  <si>
    <t>SPX Dec 18 2026 $4900.00 Put</t>
  </si>
  <si>
    <t>952.5</t>
  </si>
  <si>
    <t>869.5</t>
  </si>
  <si>
    <t>1.6434E+12</t>
  </si>
  <si>
    <t>SPX261218P05000000</t>
  </si>
  <si>
    <t>SPX Dec 18 2026 $5000.00 Put</t>
  </si>
  <si>
    <t>889</t>
  </si>
  <si>
    <t>916.8</t>
  </si>
  <si>
    <t>SPX261218C05000000</t>
  </si>
  <si>
    <t>SPX Dec 18 2026 $5000.00 Call</t>
  </si>
  <si>
    <t>521.26</t>
  </si>
  <si>
    <t>2775</t>
  </si>
  <si>
    <t>SPX261218P05100000</t>
  </si>
  <si>
    <t>SPX Dec 18 2026 $5100.00 Put</t>
  </si>
  <si>
    <t>974.9</t>
  </si>
  <si>
    <t>863.9</t>
  </si>
  <si>
    <t>966.2</t>
  </si>
  <si>
    <t>SPX261218C05100000</t>
  </si>
  <si>
    <t>SPX Dec 18 2026 $5100.00 Call</t>
  </si>
  <si>
    <t>573.9</t>
  </si>
  <si>
    <t>SPX261218P05200000</t>
  </si>
  <si>
    <t>SPX Dec 18 2026 $5200.00 Put</t>
  </si>
  <si>
    <t>908.6</t>
  </si>
  <si>
    <t>1019.3</t>
  </si>
  <si>
    <t>1.64882E+12</t>
  </si>
  <si>
    <t>SPX261218C05200000</t>
  </si>
  <si>
    <t>SPX Dec 18 2026 $5200.00 Call</t>
  </si>
  <si>
    <t>576.95</t>
  </si>
  <si>
    <t>359.5</t>
  </si>
  <si>
    <t>532.9</t>
  </si>
  <si>
    <t>SPX261218C05300000</t>
  </si>
  <si>
    <t>SPX Dec 18 2026 $5300.00 Call</t>
  </si>
  <si>
    <t>381.3</t>
  </si>
  <si>
    <t>443.6</t>
  </si>
  <si>
    <t>SPX261218P05300000</t>
  </si>
  <si>
    <t>SPX Dec 18 2026 $5300.00 Put</t>
  </si>
  <si>
    <t>1070.65</t>
  </si>
  <si>
    <t>991.3</t>
  </si>
  <si>
    <t>1036.2</t>
  </si>
  <si>
    <t>SPX261218C05400000</t>
  </si>
  <si>
    <t>SPX Dec 18 2026 $5400.00 Call</t>
  </si>
  <si>
    <t>541.45</t>
  </si>
  <si>
    <t>299.8</t>
  </si>
  <si>
    <t>SPX261218P05400000</t>
  </si>
  <si>
    <t>SPX Dec 18 2026 $5400.00 Put</t>
  </si>
  <si>
    <t>1111</t>
  </si>
  <si>
    <t>1042.3</t>
  </si>
  <si>
    <t>1091.1</t>
  </si>
  <si>
    <t>SPX261218C05500000</t>
  </si>
  <si>
    <t>SPX Dec 18 2026 $5500.00 Call</t>
  </si>
  <si>
    <t>299.3</t>
  </si>
  <si>
    <t>320.2</t>
  </si>
  <si>
    <t>1.64573E+12</t>
  </si>
  <si>
    <t>SPX261218P05500000</t>
  </si>
  <si>
    <t>SPX Dec 18 2026 $5500.00 Put</t>
  </si>
  <si>
    <t>1005</t>
  </si>
  <si>
    <t>1194</t>
  </si>
  <si>
    <t>SPX261218C05600000</t>
  </si>
  <si>
    <t>SPX Dec 18 2026 $5600.00 Call</t>
  </si>
  <si>
    <t>479.55</t>
  </si>
  <si>
    <t>346.3</t>
  </si>
  <si>
    <t>1.6389E+12</t>
  </si>
  <si>
    <t>SPX261218P05600000</t>
  </si>
  <si>
    <t>SPX Dec 18 2026 $5600.00 Put</t>
  </si>
  <si>
    <t>1103.6</t>
  </si>
  <si>
    <t>1257.1</t>
  </si>
  <si>
    <t>1.64132E+12</t>
  </si>
  <si>
    <t>SPX261218P05700000</t>
  </si>
  <si>
    <t>SPX Dec 18 2026 $5700.00 Put</t>
  </si>
  <si>
    <t>1363</t>
  </si>
  <si>
    <t>1156.7</t>
  </si>
  <si>
    <t>1322.6</t>
  </si>
  <si>
    <t>1.6388E+12</t>
  </si>
  <si>
    <t>SPX261218C05800000</t>
  </si>
  <si>
    <t>SPX Dec 18 2026 $5800.00 Call</t>
  </si>
  <si>
    <t>322.24</t>
  </si>
  <si>
    <t>SPX261218P05800000</t>
  </si>
  <si>
    <t>SPX Dec 18 2026 $5800.00 Put</t>
  </si>
  <si>
    <t>1208.02</t>
  </si>
  <si>
    <t>1211.5</t>
  </si>
  <si>
    <t>1390.4</t>
  </si>
  <si>
    <t>SPX261218C05900000</t>
  </si>
  <si>
    <t>SPX Dec 18 2026 $5900.00 Call</t>
  </si>
  <si>
    <t>295.99</t>
  </si>
  <si>
    <t>184.7</t>
  </si>
  <si>
    <t>304.4</t>
  </si>
  <si>
    <t>SPX261218P05900000</t>
  </si>
  <si>
    <t>SPX Dec 18 2026 $5900.00 Put</t>
  </si>
  <si>
    <t>1428.2</t>
  </si>
  <si>
    <t>1281.4</t>
  </si>
  <si>
    <t>1460.3</t>
  </si>
  <si>
    <t>1.63639E+12</t>
  </si>
  <si>
    <t>SPX261218P06000000</t>
  </si>
  <si>
    <t>SPX Dec 18 2026 $6000.00 Put</t>
  </si>
  <si>
    <t>1310</t>
  </si>
  <si>
    <t>1346.2</t>
  </si>
  <si>
    <t>1532.1</t>
  </si>
  <si>
    <t>1.64944E+12</t>
  </si>
  <si>
    <t>SPX261218C06000000</t>
  </si>
  <si>
    <t>SPX Dec 18 2026 $6000.00 Call</t>
  </si>
  <si>
    <t>166.9</t>
  </si>
  <si>
    <t>280.5</t>
  </si>
  <si>
    <t>SPX261218C06200000</t>
  </si>
  <si>
    <t>SPX Dec 18 2026 $6200.00 Call</t>
  </si>
  <si>
    <t>135.8</t>
  </si>
  <si>
    <t>SPX261218P06200000</t>
  </si>
  <si>
    <t>SPX Dec 18 2026 $6200.00 Put</t>
  </si>
  <si>
    <t>1727.75</t>
  </si>
  <si>
    <t>1481</t>
  </si>
  <si>
    <t>1673</t>
  </si>
  <si>
    <t>1.64625E+12</t>
  </si>
  <si>
    <t>SPX261218C06400000</t>
  </si>
  <si>
    <t>SPX Dec 18 2026 $6400.00 Call</t>
  </si>
  <si>
    <t>172.2</t>
  </si>
  <si>
    <t>110.1</t>
  </si>
  <si>
    <t>SPX261218P06400000</t>
  </si>
  <si>
    <t>SPX Dec 18 2026 $6400.00 Put</t>
  </si>
  <si>
    <t>1622</t>
  </si>
  <si>
    <t>1814</t>
  </si>
  <si>
    <t>SPX261218C06600000</t>
  </si>
  <si>
    <t>SPX Dec 18 2026 $6600.00 Call</t>
  </si>
  <si>
    <t>89.3</t>
  </si>
  <si>
    <t>149.6</t>
  </si>
  <si>
    <t>SPX261218P06600000</t>
  </si>
  <si>
    <t>SPX Dec 18 2026 $6600.00 Put</t>
  </si>
  <si>
    <t>2129.05</t>
  </si>
  <si>
    <t>1768.7</t>
  </si>
  <si>
    <t>1960.7</t>
  </si>
  <si>
    <t>SPX261218C06800000</t>
  </si>
  <si>
    <t>SPX Dec 18 2026 $6800.00 Call</t>
  </si>
  <si>
    <t>194.7</t>
  </si>
  <si>
    <t>6800</t>
  </si>
  <si>
    <t>1.64071E+12</t>
  </si>
  <si>
    <t>SPX261218C07000000</t>
  </si>
  <si>
    <t>SPX Dec 18 2026 $7000.00 Call</t>
  </si>
  <si>
    <t>132.2</t>
  </si>
  <si>
    <t>81.8</t>
  </si>
  <si>
    <t>7000</t>
  </si>
  <si>
    <t>SPX261218C07200000</t>
  </si>
  <si>
    <t>SPX Dec 18 2026 $7200.00 Call</t>
  </si>
  <si>
    <t>7200</t>
  </si>
  <si>
    <t>1.64003E+12</t>
  </si>
  <si>
    <t>SPX261218P07200000</t>
  </si>
  <si>
    <t>SPX Dec 18 2026 $7200.00 Put</t>
  </si>
  <si>
    <t>2623.6</t>
  </si>
  <si>
    <t>2234.4</t>
  </si>
  <si>
    <t>2426.4</t>
  </si>
  <si>
    <t>SPX261218C07400000</t>
  </si>
  <si>
    <t>SPX Dec 18 2026 $7400.00 Call</t>
  </si>
  <si>
    <t>96.99</t>
  </si>
  <si>
    <t>58.3</t>
  </si>
  <si>
    <t>84.9</t>
  </si>
  <si>
    <t>7400</t>
  </si>
  <si>
    <t>SPX261218C07600000</t>
  </si>
  <si>
    <t>SPX Dec 18 2026 $7600.00 Call</t>
  </si>
  <si>
    <t>49.28</t>
  </si>
  <si>
    <t>38.9</t>
  </si>
  <si>
    <t>7600</t>
  </si>
  <si>
    <t>1.64571E+12</t>
  </si>
  <si>
    <t>SPX261218C07800000</t>
  </si>
  <si>
    <t>SPX Dec 18 2026 $7800.00 Call</t>
  </si>
  <si>
    <t>62.97</t>
  </si>
  <si>
    <t>7800</t>
  </si>
  <si>
    <t>597</t>
  </si>
  <si>
    <t>SPX261218C08000000</t>
  </si>
  <si>
    <t>SPX Dec 18 2026 $8000.00 Call</t>
  </si>
  <si>
    <t>41.73</t>
  </si>
  <si>
    <t>8000</t>
  </si>
  <si>
    <t>848</t>
  </si>
  <si>
    <t>SPX261218P08000000</t>
  </si>
  <si>
    <t>SPX Dec 18 2026 $8000.00 Put</t>
  </si>
  <si>
    <t>3334.08</t>
  </si>
  <si>
    <t>2832.1</t>
  </si>
  <si>
    <t>3132.1</t>
  </si>
  <si>
    <t>SPX261218C08200000</t>
  </si>
  <si>
    <t>SPX Dec 18 2026 $8200.00 Call</t>
  </si>
  <si>
    <t>66.09</t>
  </si>
  <si>
    <t>8200</t>
  </si>
  <si>
    <t>SPX261218C08400000</t>
  </si>
  <si>
    <t>SPX Dec 18 2026 $8400.00 Call</t>
  </si>
  <si>
    <t>38.52</t>
  </si>
  <si>
    <t>49.6</t>
  </si>
  <si>
    <t>8400</t>
  </si>
  <si>
    <t>1.64321E+12</t>
  </si>
  <si>
    <t>SPX261218C08600000</t>
  </si>
  <si>
    <t>SPX Dec 18 2026 $8600.00 Call</t>
  </si>
  <si>
    <t>33.22</t>
  </si>
  <si>
    <t>8600</t>
  </si>
  <si>
    <t>SPX261218P08600000</t>
  </si>
  <si>
    <t>SPX Dec 18 2026 $8600.00 Put</t>
  </si>
  <si>
    <t>3862.26</t>
  </si>
  <si>
    <t>3336</t>
  </si>
  <si>
    <t>3636</t>
  </si>
  <si>
    <t>SPX261218P08800000</t>
  </si>
  <si>
    <t>SPX Dec 18 2026 $8800.00 Put</t>
  </si>
  <si>
    <t>3672.06</t>
  </si>
  <si>
    <t>3504.2</t>
  </si>
  <si>
    <t>3804.2</t>
  </si>
  <si>
    <t>8800</t>
  </si>
  <si>
    <t>1.64787E+12</t>
  </si>
  <si>
    <t>SPX261218C08800000</t>
  </si>
  <si>
    <t>SPX Dec 18 2026 $8800.00 Call</t>
  </si>
  <si>
    <t>37.1</t>
  </si>
  <si>
    <t>1.64806E+12</t>
  </si>
  <si>
    <t>SPX261218C09000000</t>
  </si>
  <si>
    <t>SPX Dec 18 2026 $9000.00 Call</t>
  </si>
  <si>
    <t>9000</t>
  </si>
  <si>
    <t>SPX261218P09000000</t>
  </si>
  <si>
    <t>SPX Dec 18 2026 $9000.00 Put</t>
  </si>
  <si>
    <t>3843.56</t>
  </si>
  <si>
    <t>3674.1</t>
  </si>
  <si>
    <t>3974.1</t>
  </si>
  <si>
    <t>SPX261218P09200000</t>
  </si>
  <si>
    <t>SPX Dec 18 2026 $9200.00 Put</t>
  </si>
  <si>
    <t>4288.34</t>
  </si>
  <si>
    <t>3842.7</t>
  </si>
  <si>
    <t>4142.7</t>
  </si>
  <si>
    <t>9200</t>
  </si>
  <si>
    <t>1.64624E+12</t>
  </si>
  <si>
    <t>SPX261218C09600000</t>
  </si>
  <si>
    <t>SPX Dec 18 2026 $9600.00 Call</t>
  </si>
  <si>
    <t>46.93</t>
  </si>
  <si>
    <t>9600</t>
  </si>
  <si>
    <t>1.64427E+12</t>
  </si>
  <si>
    <t>SPX261218C10000000</t>
  </si>
  <si>
    <t>SPX Dec 18 2026 $10000.00 Call</t>
  </si>
  <si>
    <t>10000</t>
  </si>
  <si>
    <t>SPX261218P10000000</t>
  </si>
  <si>
    <t>SPX Dec 18 2026 $10000.00 Put</t>
  </si>
  <si>
    <t>4528.15</t>
  </si>
  <si>
    <t>4373.5</t>
  </si>
  <si>
    <t>4940.1</t>
  </si>
  <si>
    <t>SPX261218C09200000</t>
  </si>
  <si>
    <t>SPX Dec 18 2026 $9200.00 Call</t>
  </si>
  <si>
    <t>19099</t>
  </si>
  <si>
    <t>SPX261218C00600000</t>
  </si>
  <si>
    <t>SPX Dec 18 2026 $600.00 Call</t>
  </si>
  <si>
    <t>3357.8</t>
  </si>
  <si>
    <t>3549.8</t>
  </si>
  <si>
    <t>SPX261218C00800000</t>
  </si>
  <si>
    <t>SPX Dec 18 2026 $800.00 Call</t>
  </si>
  <si>
    <t>3191.1</t>
  </si>
  <si>
    <t>3383.1</t>
  </si>
  <si>
    <t>SPX261218C01000000</t>
  </si>
  <si>
    <t>SPX Dec 18 2026 $1000.00 Call</t>
  </si>
  <si>
    <t>3025.5</t>
  </si>
  <si>
    <t>3217.5</t>
  </si>
  <si>
    <t>SPX261218P01000000</t>
  </si>
  <si>
    <t>SPX Dec 18 2026 $1000.00 Put</t>
  </si>
  <si>
    <t>SPX261218C01200000</t>
  </si>
  <si>
    <t>SPX Dec 18 2026 $1200.00 Call</t>
  </si>
  <si>
    <t>2717</t>
  </si>
  <si>
    <t>3197.4</t>
  </si>
  <si>
    <t>SPX261218P01200000</t>
  </si>
  <si>
    <t>SPX Dec 18 2026 $1200.00 Put</t>
  </si>
  <si>
    <t>SPX261218C01400000</t>
  </si>
  <si>
    <t>SPX Dec 18 2026 $1400.00 Call</t>
  </si>
  <si>
    <t>2649.1</t>
  </si>
  <si>
    <t>2949.1</t>
  </si>
  <si>
    <t>SPX261218C01600000</t>
  </si>
  <si>
    <t>SPX Dec 18 2026 $1600.00 Call</t>
  </si>
  <si>
    <t>2490.8</t>
  </si>
  <si>
    <t>2790.8</t>
  </si>
  <si>
    <t>SPX261218C02600000</t>
  </si>
  <si>
    <t>SPX Dec 18 2026 $2600.00 Call</t>
  </si>
  <si>
    <t>1676.6</t>
  </si>
  <si>
    <t>1978.7</t>
  </si>
  <si>
    <t>SPX261218P03300000</t>
  </si>
  <si>
    <t>SPX Dec 18 2026 $3300.00 Put</t>
  </si>
  <si>
    <t>298.5</t>
  </si>
  <si>
    <t>-20.5</t>
  </si>
  <si>
    <t>279.1</t>
  </si>
  <si>
    <t>307.3</t>
  </si>
  <si>
    <t>-6.43</t>
  </si>
  <si>
    <t>SPX261218C03400000</t>
  </si>
  <si>
    <t>SPX Dec 18 2026 $3400.00 Call</t>
  </si>
  <si>
    <t>1441.5</t>
  </si>
  <si>
    <t>SPX261218C03900000</t>
  </si>
  <si>
    <t>SPX Dec 18 2026 $3900.00 Call</t>
  </si>
  <si>
    <t>952.8</t>
  </si>
  <si>
    <t>1144.8</t>
  </si>
  <si>
    <t>SPX261218C04100000</t>
  </si>
  <si>
    <t>SPX Dec 18 2026 $4100.00 Call</t>
  </si>
  <si>
    <t>915.53</t>
  </si>
  <si>
    <t>-163.16</t>
  </si>
  <si>
    <t>1035.5</t>
  </si>
  <si>
    <t>-15.13</t>
  </si>
  <si>
    <t>1078.69</t>
  </si>
  <si>
    <t>SPX261218P04100000</t>
  </si>
  <si>
    <t>SPX Dec 18 2026 $4100.00 Put</t>
  </si>
  <si>
    <t>521.61</t>
  </si>
  <si>
    <t>-38.78</t>
  </si>
  <si>
    <t>474.5</t>
  </si>
  <si>
    <t>-6.92</t>
  </si>
  <si>
    <t>560.39</t>
  </si>
  <si>
    <t>SPX261218P04200000</t>
  </si>
  <si>
    <t>SPX Dec 18 2026 $4200.00 Put</t>
  </si>
  <si>
    <t>-25.92</t>
  </si>
  <si>
    <t>507.7</t>
  </si>
  <si>
    <t>587</t>
  </si>
  <si>
    <t>-4.47</t>
  </si>
  <si>
    <t>580.92</t>
  </si>
  <si>
    <t>SPX261218C04200000</t>
  </si>
  <si>
    <t>SPX Dec 18 2026 $4200.00 Call</t>
  </si>
  <si>
    <t>872.5</t>
  </si>
  <si>
    <t>791.1</t>
  </si>
  <si>
    <t>983.1</t>
  </si>
  <si>
    <t>-2.78</t>
  </si>
  <si>
    <t>900</t>
  </si>
  <si>
    <t>SPX261218P04300000</t>
  </si>
  <si>
    <t>SPX Dec 18 2026 $4300.00 Put</t>
  </si>
  <si>
    <t>542.1</t>
  </si>
  <si>
    <t>622.6</t>
  </si>
  <si>
    <t>2.13</t>
  </si>
  <si>
    <t>579.96</t>
  </si>
  <si>
    <t>SPX261218C04300000</t>
  </si>
  <si>
    <t>SPX Dec 18 2026 $4300.00 Call</t>
  </si>
  <si>
    <t>815.2</t>
  </si>
  <si>
    <t>-43.37</t>
  </si>
  <si>
    <t>975.9</t>
  </si>
  <si>
    <t>-5.06</t>
  </si>
  <si>
    <t>858.57</t>
  </si>
  <si>
    <t>SPX261218C05700000</t>
  </si>
  <si>
    <t>SPX Dec 18 2026 $5700.00 Call</t>
  </si>
  <si>
    <t>318.1</t>
  </si>
  <si>
    <t>SPX261218P06800000</t>
  </si>
  <si>
    <t>SPX Dec 18 2026 $6800.00 Put</t>
  </si>
  <si>
    <t>1920.3</t>
  </si>
  <si>
    <t>2112.3</t>
  </si>
  <si>
    <t>SPX261218P07000000</t>
  </si>
  <si>
    <t>SPX Dec 18 2026 $7000.00 Put</t>
  </si>
  <si>
    <t>2076.1</t>
  </si>
  <si>
    <t>2268.1</t>
  </si>
  <si>
    <t>SPX261218P07400000</t>
  </si>
  <si>
    <t>SPX Dec 18 2026 $7400.00 Put</t>
  </si>
  <si>
    <t>2394.9</t>
  </si>
  <si>
    <t>2586.9</t>
  </si>
  <si>
    <t>SPX261218P07600000</t>
  </si>
  <si>
    <t>SPX Dec 18 2026 $7600.00 Put</t>
  </si>
  <si>
    <t>2848</t>
  </si>
  <si>
    <t>SPX261218P07800000</t>
  </si>
  <si>
    <t>SPX Dec 18 2026 $7800.00 Put</t>
  </si>
  <si>
    <t>2667.9</t>
  </si>
  <si>
    <t>SPX261218P08200000</t>
  </si>
  <si>
    <t>SPX Dec 18 2026 $8200.00 Put</t>
  </si>
  <si>
    <t>3001</t>
  </si>
  <si>
    <t>3301</t>
  </si>
  <si>
    <t>SPX261218P08400000</t>
  </si>
  <si>
    <t>SPX Dec 18 2026 $8400.00 Put</t>
  </si>
  <si>
    <t>3538.7</t>
  </si>
  <si>
    <t>SPX261218P09600000</t>
  </si>
  <si>
    <t>SPX Dec 18 2026 $9600.00 Put</t>
  </si>
  <si>
    <t>4183.2</t>
  </si>
  <si>
    <t>4483.2</t>
  </si>
  <si>
    <t>Exch</t>
  </si>
  <si>
    <t>Bidsize</t>
  </si>
  <si>
    <t>Asksize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</si>
</sst>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14" fontId="0" fillId="0" borderId="0" xfId="0" applyNumberFormat="1"/>
    <xf numFmtId="0" fontId="1" fillId="0" borderId="0" xfId="0" applyFont="1"/>
    <xf numFmtId="0" fontId="2" fillId="0" borderId="0" xfId="1"/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12596811-5347-4282-86C5-B91BB47BB0B9}" autoFormatId="16" applyNumberFormats="0" applyBorderFormats="0" applyFontFormats="0" applyPatternFormats="0" applyAlignmentFormats="0" applyWidthHeightFormats="0">
  <queryTableRefresh nextId="62">
    <queryTableFields count="34">
      <queryTableField id="35" name="Symbol" tableColumnId="35"/>
      <queryTableField id="36" name="Description" tableColumnId="36"/>
      <queryTableField id="40" name="Option Type" tableColumnId="38"/>
      <queryTableField id="43" name="Strike" tableColumnId="39"/>
      <queryTableField id="50" name="Bid" tableColumnId="42"/>
      <queryTableField id="51" name="Ask" tableColumnId="43"/>
      <queryTableField id="44" name="Last" tableColumnId="40"/>
      <queryTableField id="52" name="Bidsize" tableColumnId="44"/>
      <queryTableField id="4" name="Column1.type" tableColumnId="4"/>
      <queryTableField id="45" name="Exch" tableColumnId="41"/>
      <queryTableField id="6" name="Column1.change" tableColumnId="6"/>
      <queryTableField id="53" name="Volume" tableColumnId="45"/>
      <queryTableField id="8" name="Column1.open" tableColumnId="8"/>
      <queryTableField id="9" name="Column1.high" tableColumnId="9"/>
      <queryTableField id="10" name="Column1.low" tableColumnId="10"/>
      <queryTableField id="54" name="Close" tableColumnId="46"/>
      <queryTableField id="14" name="Column1.underlying" tableColumnId="14"/>
      <queryTableField id="16" name="Column1.change_percentage" tableColumnId="16"/>
      <queryTableField id="17" name="Column1.average_volume" tableColumnId="17"/>
      <queryTableField id="18" name="Column1.last_volume" tableColumnId="18"/>
      <queryTableField id="19" name="Column1.trade_date" tableColumnId="19"/>
      <queryTableField id="20" name="Column1.prevclose" tableColumnId="20"/>
      <queryTableField id="21" name="Column1.week_52_high" tableColumnId="21"/>
      <queryTableField id="22" name="Column1.week_52_low" tableColumnId="22"/>
      <queryTableField id="24" name="Column1.bidexch" tableColumnId="24"/>
      <queryTableField id="25" name="Column1.bid_date" tableColumnId="25"/>
      <queryTableField id="55" name="Asksize" tableColumnId="47"/>
      <queryTableField id="27" name="Column1.askexch" tableColumnId="27"/>
      <queryTableField id="28" name="Column1.ask_date" tableColumnId="28"/>
      <queryTableField id="29" name="Column1.open_interest" tableColumnId="29"/>
      <queryTableField id="39" name="Contract Size" tableColumnId="37"/>
      <queryTableField id="31" name="Column1.expiration_date" tableColumnId="31"/>
      <queryTableField id="32" name="Column1.expiration_type" tableColumnId="32"/>
      <queryTableField id="34" name="Column1.root_symbol" tableColumnId="34"/>
    </queryTableFields>
  </queryTableRefresh>
  <extLst>
    <ext xmlns:x15="http://schemas.microsoft.com/office/spreadsheetml/2010/11/main" uri="{883FBD77-0823-4a55-B5E3-86C4891E6966}">
      <x15:queryTable sourceDataName="Query - data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714DFB-C0F1-4EE6-BDBF-7FB175BEF30E}" name="data" displayName="data" ref="A1:AH125" tableType="queryTable" totalsRowShown="0">
  <autoFilter ref="A1:AH125" xr:uid="{5D714DFB-C0F1-4EE6-BDBF-7FB175BEF30E}"/>
  <tableColumns count="34">
    <tableColumn id="35" xr3:uid="{CEB9CE65-2162-4ED9-9016-CB2FCE641286}" uniqueName="35" name="Symbol" queryTableFieldId="35"/>
    <tableColumn id="36" xr3:uid="{2A7A8BE2-DA45-4A2C-B295-AEF0F791EB60}" uniqueName="36" name="Description" queryTableFieldId="36"/>
    <tableColumn id="38" xr3:uid="{A6370AE0-8F47-40D1-93E3-0EE6B0CE5E22}" uniqueName="38" name="Option Type" queryTableFieldId="40"/>
    <tableColumn id="39" xr3:uid="{D8930245-CC01-4E0B-AF76-0A9C083B1450}" uniqueName="39" name="Strike" queryTableFieldId="43"/>
    <tableColumn id="42" xr3:uid="{B04D7747-3E36-4766-A7D1-8E718D9F62DE}" uniqueName="42" name="Bid" queryTableFieldId="50"/>
    <tableColumn id="43" xr3:uid="{33C3473D-4BB6-4D2D-9550-53AA22E4446E}" uniqueName="43" name="Ask" queryTableFieldId="51"/>
    <tableColumn id="40" xr3:uid="{2D6C5234-D164-463F-A322-80918A5761D3}" uniqueName="40" name="Last" queryTableFieldId="44"/>
    <tableColumn id="44" xr3:uid="{94FEA75E-C560-408E-8F96-C76A7FBAF3E9}" uniqueName="44" name="Bidsize" queryTableFieldId="52"/>
    <tableColumn id="4" xr3:uid="{BCF14F1F-7CE6-4782-BA55-C9A4E5278ACE}" uniqueName="4" name="Column1.type" queryTableFieldId="4"/>
    <tableColumn id="41" xr3:uid="{0DDDA443-81E6-46FB-BCD8-09F9AE99CC00}" uniqueName="41" name="Exch" queryTableFieldId="45"/>
    <tableColumn id="6" xr3:uid="{5DE19769-A645-4563-8158-FCF96DF1C459}" uniqueName="6" name="Column1.change" queryTableFieldId="6"/>
    <tableColumn id="45" xr3:uid="{A0AA97A7-B7C0-494D-9334-7B49D5B837E2}" uniqueName="45" name="Volume" queryTableFieldId="53"/>
    <tableColumn id="8" xr3:uid="{0307FD8C-DE81-4089-9FA7-C0B2E8A10627}" uniqueName="8" name="Column1.open" queryTableFieldId="8"/>
    <tableColumn id="9" xr3:uid="{D5773F86-F65A-4E2B-A369-32BF28760D5B}" uniqueName="9" name="Column1.high" queryTableFieldId="9"/>
    <tableColumn id="10" xr3:uid="{32BB9CC0-FF15-4E2B-B029-C14BF32311FF}" uniqueName="10" name="Column1.low" queryTableFieldId="10"/>
    <tableColumn id="46" xr3:uid="{139E0BD1-C28C-422D-BCC7-B4B6FCB6122E}" uniqueName="46" name="Close" queryTableFieldId="54"/>
    <tableColumn id="14" xr3:uid="{6777BF94-73C1-46AD-9EA9-C88A76241DDA}" uniqueName="14" name="Column1.underlying" queryTableFieldId="14"/>
    <tableColumn id="16" xr3:uid="{42D86354-6DA2-4AA0-8748-51167654AA1F}" uniqueName="16" name="Column1.change_percentage" queryTableFieldId="16"/>
    <tableColumn id="17" xr3:uid="{CF2DF021-1922-4724-8209-4A7CA14E418D}" uniqueName="17" name="Column1.average_volume" queryTableFieldId="17"/>
    <tableColumn id="18" xr3:uid="{5538D03A-5834-447F-A008-9EA34C7C5E1E}" uniqueName="18" name="Column1.last_volume" queryTableFieldId="18"/>
    <tableColumn id="19" xr3:uid="{92B7F7F2-771B-4761-BE7C-914A57829C22}" uniqueName="19" name="Column1.trade_date" queryTableFieldId="19"/>
    <tableColumn id="20" xr3:uid="{A2D7700C-0C76-454F-A39E-9E719494EFCF}" uniqueName="20" name="Column1.prevclose" queryTableFieldId="20"/>
    <tableColumn id="21" xr3:uid="{B5F424F3-FDCA-4752-BB04-376A5B324655}" uniqueName="21" name="Column1.week_52_high" queryTableFieldId="21"/>
    <tableColumn id="22" xr3:uid="{4B2CEFF9-6C81-440A-B5E0-93F6A5DC21C9}" uniqueName="22" name="Column1.week_52_low" queryTableFieldId="22"/>
    <tableColumn id="24" xr3:uid="{8438ABF8-01C5-41D3-B398-302A0226F18B}" uniqueName="24" name="Column1.bidexch" queryTableFieldId="24"/>
    <tableColumn id="25" xr3:uid="{D1E6CB48-A3D7-4A08-ACD4-54EBFE97BA24}" uniqueName="25" name="Column1.bid_date" queryTableFieldId="25"/>
    <tableColumn id="47" xr3:uid="{8D21FA33-94CF-4DE7-B1C0-AA244EDAAD0C}" uniqueName="47" name="Asksize" queryTableFieldId="55"/>
    <tableColumn id="27" xr3:uid="{45AD97A4-AE75-464B-92A7-1A9BD3551651}" uniqueName="27" name="Column1.askexch" queryTableFieldId="27"/>
    <tableColumn id="28" xr3:uid="{392A9F6B-367D-4ED5-A9A8-6511CC9C10A6}" uniqueName="28" name="Column1.ask_date" queryTableFieldId="28"/>
    <tableColumn id="29" xr3:uid="{6A58A4AF-0AF6-47AF-9415-F1C83D585798}" uniqueName="29" name="Column1.open_interest" queryTableFieldId="29"/>
    <tableColumn id="37" xr3:uid="{2CCAFD98-2273-42CC-921A-FC883E2645E6}" uniqueName="37" name="Contract Size" queryTableFieldId="39"/>
    <tableColumn id="31" xr3:uid="{CFF51BE0-F7DD-4154-A647-72875FB0675C}" uniqueName="31" name="Column1.expiration_date" queryTableFieldId="31"/>
    <tableColumn id="32" xr3:uid="{C6893056-D251-4D65-A873-65B02D77B78E}" uniqueName="32" name="Column1.expiration_type" queryTableFieldId="32"/>
    <tableColumn id="34" xr3:uid="{A2B7C5A9-7416-4CAE-915D-CDC21C766784}" uniqueName="34" name="Column1.root_symbol" queryTableFieldId="3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api.tradier.com/v1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9FAA6-1A7A-4CA6-8E33-0ED9DD1F8B6E}">
  <sheetPr codeName="Sheet3"/>
  <dimension ref="A1:O14"/>
  <sheetViews>
    <sheetView workbookViewId="0">
      <selection activeCell="B14" sqref="B14"/>
    </sheetView>
  </sheetViews>
  <sheetFormatPr defaultRowHeight="15.6" x14ac:dyDescent="0.3"/>
  <cols>
    <col min="1" max="1" width="12.19921875" customWidth="1"/>
  </cols>
  <sheetData>
    <row r="1" spans="1:15" x14ac:dyDescent="0.3">
      <c r="A1" s="3" t="s">
        <v>16</v>
      </c>
      <c r="B1" s="3" t="s">
        <v>17</v>
      </c>
      <c r="C1" s="3" t="s">
        <v>18</v>
      </c>
      <c r="K1" t="s">
        <v>61</v>
      </c>
      <c r="M1" t="s">
        <v>63</v>
      </c>
      <c r="O1" t="s">
        <v>15</v>
      </c>
    </row>
    <row r="2" spans="1:15" x14ac:dyDescent="0.3">
      <c r="A2" s="3" t="s">
        <v>19</v>
      </c>
      <c r="B2" s="3" t="s">
        <v>20</v>
      </c>
      <c r="C2" s="3" t="s">
        <v>21</v>
      </c>
      <c r="K2" t="s">
        <v>62</v>
      </c>
      <c r="M2" t="s">
        <v>45</v>
      </c>
      <c r="O2" t="s">
        <v>64</v>
      </c>
    </row>
    <row r="3" spans="1:15" x14ac:dyDescent="0.3">
      <c r="A3" s="3" t="s">
        <v>23</v>
      </c>
      <c r="B3" s="3" t="s">
        <v>20</v>
      </c>
      <c r="C3" s="3" t="s">
        <v>21</v>
      </c>
      <c r="K3" t="s">
        <v>60</v>
      </c>
      <c r="O3" t="s">
        <v>65</v>
      </c>
    </row>
    <row r="4" spans="1:15" x14ac:dyDescent="0.3">
      <c r="O4" t="s">
        <v>35</v>
      </c>
    </row>
    <row r="5" spans="1:15" x14ac:dyDescent="0.3">
      <c r="A5" s="5" t="s">
        <v>30</v>
      </c>
    </row>
    <row r="6" spans="1:15" x14ac:dyDescent="0.3">
      <c r="A6" t="s">
        <v>33</v>
      </c>
      <c r="B6" t="s">
        <v>21</v>
      </c>
    </row>
    <row r="7" spans="1:15" x14ac:dyDescent="0.3">
      <c r="A7" t="s">
        <v>34</v>
      </c>
    </row>
    <row r="9" spans="1:15" x14ac:dyDescent="0.3">
      <c r="A9" s="5" t="s">
        <v>22</v>
      </c>
    </row>
    <row r="10" spans="1:15" x14ac:dyDescent="0.3">
      <c r="A10" t="s">
        <v>31</v>
      </c>
      <c r="B10" s="6" t="s">
        <v>62</v>
      </c>
    </row>
    <row r="11" spans="1:15" x14ac:dyDescent="0.3">
      <c r="A11" t="s">
        <v>32</v>
      </c>
      <c r="B11" t="str">
        <f>M2</f>
        <v>LXVkmzoytEbdiNQc6gcmOkF1rMxH</v>
      </c>
    </row>
    <row r="13" spans="1:15" x14ac:dyDescent="0.3">
      <c r="A13" t="s">
        <v>345</v>
      </c>
    </row>
    <row r="14" spans="1:15" x14ac:dyDescent="0.3">
      <c r="A14" t="s">
        <v>346</v>
      </c>
      <c r="B14" t="s">
        <v>347</v>
      </c>
    </row>
  </sheetData>
  <dataValidations count="1">
    <dataValidation type="list" allowBlank="1" showInputMessage="1" showErrorMessage="1" sqref="B10" xr:uid="{F361C60E-2318-4773-93E3-53FF351BFE0C}">
      <formula1>$K$2:$K$4</formula1>
    </dataValidation>
  </dataValidations>
  <hyperlinks>
    <hyperlink ref="B10" r:id="rId1" display="https://api.tradier.com/v1/" xr:uid="{3F8C36DD-20DF-4887-A7F6-A54B1D68FD2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4"/>
  <sheetViews>
    <sheetView workbookViewId="0">
      <selection activeCell="B6" sqref="B6"/>
    </sheetView>
  </sheetViews>
  <sheetFormatPr defaultColWidth="11" defaultRowHeight="15.6" x14ac:dyDescent="0.3"/>
  <cols>
    <col min="2" max="2" width="14.69921875" customWidth="1"/>
    <col min="3" max="3" width="18.09765625" bestFit="1" customWidth="1"/>
  </cols>
  <sheetData>
    <row r="1" spans="1:16" x14ac:dyDescent="0.3">
      <c r="A1" t="s">
        <v>29</v>
      </c>
      <c r="B1" s="4">
        <f ca="1">TODAY()</f>
        <v>44686</v>
      </c>
      <c r="O1" t="s">
        <v>40</v>
      </c>
    </row>
    <row r="2" spans="1:16" x14ac:dyDescent="0.3">
      <c r="A2" t="s">
        <v>15</v>
      </c>
      <c r="B2" t="s">
        <v>64</v>
      </c>
      <c r="N2">
        <v>1</v>
      </c>
      <c r="O2" t="s">
        <v>39</v>
      </c>
    </row>
    <row r="3" spans="1:16" x14ac:dyDescent="0.3">
      <c r="A3" t="s">
        <v>68</v>
      </c>
      <c r="B3" t="s">
        <v>351</v>
      </c>
      <c r="N3">
        <v>2</v>
      </c>
      <c r="O3" t="s">
        <v>41</v>
      </c>
    </row>
    <row r="4" spans="1:16" x14ac:dyDescent="0.3">
      <c r="A4" t="s">
        <v>71</v>
      </c>
    </row>
    <row r="5" spans="1:16" x14ac:dyDescent="0.3">
      <c r="A5" t="s">
        <v>74</v>
      </c>
      <c r="B5" t="str">
        <f>optionChainFile(Static!B14,B3,B2,Static!B11,Static!B10)</f>
        <v>124 lines written 05/05/2022, 01:20:44</v>
      </c>
    </row>
    <row r="7" spans="1:16" x14ac:dyDescent="0.3">
      <c r="A7" s="5" t="s">
        <v>66</v>
      </c>
      <c r="B7" s="5" t="s">
        <v>67</v>
      </c>
      <c r="C7" s="5" t="s">
        <v>69</v>
      </c>
      <c r="N7">
        <v>3</v>
      </c>
    </row>
    <row r="8" spans="1:16" x14ac:dyDescent="0.3">
      <c r="A8" t="str">
        <f t="array" ref="A8:A54">TRANSPOSE(optionExpiries(Static!$B$11,$B$2,Static!$B$10))</f>
        <v>2022-05-04</v>
      </c>
      <c r="B8" s="7">
        <f ca="1">A8-$B$1</f>
        <v>-1</v>
      </c>
      <c r="C8" t="str">
        <f ca="1">_xlfn.IFNA(A8  &amp; "  ("  &amp; B8  &amp; ")","")</f>
        <v>2022-05-04  (-1)</v>
      </c>
    </row>
    <row r="9" spans="1:16" x14ac:dyDescent="0.3">
      <c r="A9" t="str">
        <v>2022-05-06</v>
      </c>
      <c r="B9" s="7">
        <f t="shared" ref="B9:B48" ca="1" si="0">A9-$B$1</f>
        <v>1</v>
      </c>
      <c r="C9" t="str">
        <f t="shared" ref="C9:C54" ca="1" si="1">_xlfn.IFNA(A9  &amp; "  ("  &amp; B9  &amp; ")","")</f>
        <v>2022-05-06  (1)</v>
      </c>
    </row>
    <row r="10" spans="1:16" x14ac:dyDescent="0.3">
      <c r="A10" t="str">
        <v>2022-05-09</v>
      </c>
      <c r="B10" s="7">
        <f t="shared" ca="1" si="0"/>
        <v>4</v>
      </c>
      <c r="C10" t="str">
        <f t="shared" ca="1" si="1"/>
        <v>2022-05-09  (4)</v>
      </c>
    </row>
    <row r="11" spans="1:16" x14ac:dyDescent="0.3">
      <c r="A11" t="str">
        <v>2022-05-10</v>
      </c>
      <c r="B11" s="7">
        <f t="shared" ca="1" si="0"/>
        <v>5</v>
      </c>
      <c r="C11" t="str">
        <f t="shared" ca="1" si="1"/>
        <v>2022-05-10  (5)</v>
      </c>
    </row>
    <row r="12" spans="1:16" x14ac:dyDescent="0.3">
      <c r="A12" t="str">
        <v>2022-05-11</v>
      </c>
      <c r="B12" s="7">
        <f t="shared" ca="1" si="0"/>
        <v>6</v>
      </c>
      <c r="C12" t="str">
        <f t="shared" ca="1" si="1"/>
        <v>2022-05-11  (6)</v>
      </c>
    </row>
    <row r="13" spans="1:16" x14ac:dyDescent="0.3">
      <c r="A13" t="str">
        <v>2022-05-13</v>
      </c>
      <c r="B13" s="7">
        <f t="shared" ca="1" si="0"/>
        <v>8</v>
      </c>
      <c r="C13" t="str">
        <f t="shared" ca="1" si="1"/>
        <v>2022-05-13  (8)</v>
      </c>
    </row>
    <row r="14" spans="1:16" x14ac:dyDescent="0.3">
      <c r="A14" t="str">
        <v>2022-05-16</v>
      </c>
      <c r="B14" s="7">
        <f t="shared" ca="1" si="0"/>
        <v>11</v>
      </c>
      <c r="C14" t="str">
        <f t="shared" ca="1" si="1"/>
        <v>2022-05-16  (11)</v>
      </c>
    </row>
    <row r="15" spans="1:16" x14ac:dyDescent="0.3">
      <c r="A15" t="str">
        <v>2022-05-17</v>
      </c>
      <c r="B15" s="7">
        <f t="shared" ca="1" si="0"/>
        <v>12</v>
      </c>
      <c r="C15" t="str">
        <f t="shared" ca="1" si="1"/>
        <v>2022-05-17  (12)</v>
      </c>
      <c r="N15" t="s">
        <v>44</v>
      </c>
      <c r="O15" t="s">
        <v>42</v>
      </c>
      <c r="P15" t="s">
        <v>43</v>
      </c>
    </row>
    <row r="16" spans="1:16" x14ac:dyDescent="0.3">
      <c r="A16" t="str">
        <v>2022-05-18</v>
      </c>
      <c r="B16" s="7">
        <f t="shared" ca="1" si="0"/>
        <v>13</v>
      </c>
      <c r="C16" t="str">
        <f t="shared" ca="1" si="1"/>
        <v>2022-05-18  (13)</v>
      </c>
    </row>
    <row r="17" spans="1:3" x14ac:dyDescent="0.3">
      <c r="A17" t="str">
        <v>2022-05-20</v>
      </c>
      <c r="B17" s="7">
        <f t="shared" ca="1" si="0"/>
        <v>15</v>
      </c>
      <c r="C17" t="str">
        <f t="shared" ca="1" si="1"/>
        <v>2022-05-20  (15)</v>
      </c>
    </row>
    <row r="18" spans="1:3" x14ac:dyDescent="0.3">
      <c r="A18" t="str">
        <v>2022-05-23</v>
      </c>
      <c r="B18" s="7">
        <f t="shared" ca="1" si="0"/>
        <v>18</v>
      </c>
      <c r="C18" t="str">
        <f t="shared" ca="1" si="1"/>
        <v>2022-05-23  (18)</v>
      </c>
    </row>
    <row r="19" spans="1:3" x14ac:dyDescent="0.3">
      <c r="A19" t="str">
        <v>2022-05-25</v>
      </c>
      <c r="B19" s="7">
        <f t="shared" ca="1" si="0"/>
        <v>20</v>
      </c>
      <c r="C19" t="str">
        <f t="shared" ca="1" si="1"/>
        <v>2022-05-25  (20)</v>
      </c>
    </row>
    <row r="20" spans="1:3" x14ac:dyDescent="0.3">
      <c r="A20" t="str">
        <v>2022-05-27</v>
      </c>
      <c r="B20" s="7">
        <f t="shared" ca="1" si="0"/>
        <v>22</v>
      </c>
      <c r="C20" t="str">
        <f t="shared" ca="1" si="1"/>
        <v>2022-05-27  (22)</v>
      </c>
    </row>
    <row r="21" spans="1:3" x14ac:dyDescent="0.3">
      <c r="A21" t="str">
        <v>2022-05-31</v>
      </c>
      <c r="B21" s="7">
        <f t="shared" ca="1" si="0"/>
        <v>26</v>
      </c>
      <c r="C21" t="str">
        <f t="shared" ca="1" si="1"/>
        <v>2022-05-31  (26)</v>
      </c>
    </row>
    <row r="22" spans="1:3" x14ac:dyDescent="0.3">
      <c r="A22" t="str">
        <v>2022-06-01</v>
      </c>
      <c r="B22" s="7">
        <f t="shared" ca="1" si="0"/>
        <v>27</v>
      </c>
      <c r="C22" t="str">
        <f t="shared" ca="1" si="1"/>
        <v>2022-06-01  (27)</v>
      </c>
    </row>
    <row r="23" spans="1:3" x14ac:dyDescent="0.3">
      <c r="A23" t="str">
        <v>2022-06-03</v>
      </c>
      <c r="B23" s="7">
        <f t="shared" ca="1" si="0"/>
        <v>29</v>
      </c>
      <c r="C23" t="str">
        <f t="shared" ca="1" si="1"/>
        <v>2022-06-03  (29)</v>
      </c>
    </row>
    <row r="24" spans="1:3" x14ac:dyDescent="0.3">
      <c r="A24" t="str">
        <v>2022-06-10</v>
      </c>
      <c r="B24" s="7">
        <f t="shared" ca="1" si="0"/>
        <v>36</v>
      </c>
      <c r="C24" t="str">
        <f t="shared" ca="1" si="1"/>
        <v>2022-06-10  (36)</v>
      </c>
    </row>
    <row r="25" spans="1:3" x14ac:dyDescent="0.3">
      <c r="A25" t="str">
        <v>2022-06-17</v>
      </c>
      <c r="B25" s="7">
        <f t="shared" ca="1" si="0"/>
        <v>43</v>
      </c>
      <c r="C25" t="str">
        <f t="shared" ca="1" si="1"/>
        <v>2022-06-17  (43)</v>
      </c>
    </row>
    <row r="26" spans="1:3" x14ac:dyDescent="0.3">
      <c r="A26" t="str">
        <v>2022-06-30</v>
      </c>
      <c r="B26" s="7">
        <f t="shared" ca="1" si="0"/>
        <v>56</v>
      </c>
      <c r="C26" t="str">
        <f t="shared" ca="1" si="1"/>
        <v>2022-06-30  (56)</v>
      </c>
    </row>
    <row r="27" spans="1:3" x14ac:dyDescent="0.3">
      <c r="A27" t="str">
        <v>2022-07-15</v>
      </c>
      <c r="B27" s="7">
        <f t="shared" ca="1" si="0"/>
        <v>71</v>
      </c>
      <c r="C27" t="str">
        <f t="shared" ca="1" si="1"/>
        <v>2022-07-15  (71)</v>
      </c>
    </row>
    <row r="28" spans="1:3" x14ac:dyDescent="0.3">
      <c r="A28" t="str">
        <v>2022-07-29</v>
      </c>
      <c r="B28" s="7">
        <f t="shared" ca="1" si="0"/>
        <v>85</v>
      </c>
      <c r="C28" t="str">
        <f t="shared" ca="1" si="1"/>
        <v>2022-07-29  (85)</v>
      </c>
    </row>
    <row r="29" spans="1:3" x14ac:dyDescent="0.3">
      <c r="A29" t="str">
        <v>2022-08-19</v>
      </c>
      <c r="B29" s="7">
        <f t="shared" ca="1" si="0"/>
        <v>106</v>
      </c>
      <c r="C29" t="str">
        <f t="shared" ca="1" si="1"/>
        <v>2022-08-19  (106)</v>
      </c>
    </row>
    <row r="30" spans="1:3" x14ac:dyDescent="0.3">
      <c r="A30" t="str">
        <v>2022-08-31</v>
      </c>
      <c r="B30" s="7">
        <f t="shared" ca="1" si="0"/>
        <v>118</v>
      </c>
      <c r="C30" t="str">
        <f t="shared" ca="1" si="1"/>
        <v>2022-08-31  (118)</v>
      </c>
    </row>
    <row r="31" spans="1:3" x14ac:dyDescent="0.3">
      <c r="A31" t="str">
        <v>2022-09-16</v>
      </c>
      <c r="B31" s="7">
        <f t="shared" ca="1" si="0"/>
        <v>134</v>
      </c>
      <c r="C31" t="str">
        <f t="shared" ca="1" si="1"/>
        <v>2022-09-16  (134)</v>
      </c>
    </row>
    <row r="32" spans="1:3" x14ac:dyDescent="0.3">
      <c r="A32" t="str">
        <v>2022-09-30</v>
      </c>
      <c r="B32" s="7">
        <f t="shared" ca="1" si="0"/>
        <v>148</v>
      </c>
      <c r="C32" t="str">
        <f t="shared" ca="1" si="1"/>
        <v>2022-09-30  (148)</v>
      </c>
    </row>
    <row r="33" spans="1:3" x14ac:dyDescent="0.3">
      <c r="A33" t="str">
        <v>2022-10-21</v>
      </c>
      <c r="B33" s="7">
        <f t="shared" ca="1" si="0"/>
        <v>169</v>
      </c>
      <c r="C33" t="str">
        <f t="shared" ca="1" si="1"/>
        <v>2022-10-21  (169)</v>
      </c>
    </row>
    <row r="34" spans="1:3" x14ac:dyDescent="0.3">
      <c r="A34" t="str">
        <v>2022-10-31</v>
      </c>
      <c r="B34" s="7">
        <f t="shared" ca="1" si="0"/>
        <v>179</v>
      </c>
      <c r="C34" t="str">
        <f t="shared" ca="1" si="1"/>
        <v>2022-10-31  (179)</v>
      </c>
    </row>
    <row r="35" spans="1:3" x14ac:dyDescent="0.3">
      <c r="A35" t="str">
        <v>2022-11-18</v>
      </c>
      <c r="B35" s="7">
        <f t="shared" ca="1" si="0"/>
        <v>197</v>
      </c>
      <c r="C35" t="str">
        <f t="shared" ca="1" si="1"/>
        <v>2022-11-18  (197)</v>
      </c>
    </row>
    <row r="36" spans="1:3" x14ac:dyDescent="0.3">
      <c r="A36" t="str">
        <v>2022-12-16</v>
      </c>
      <c r="B36" s="7">
        <f t="shared" ca="1" si="0"/>
        <v>225</v>
      </c>
      <c r="C36" t="str">
        <f t="shared" ca="1" si="1"/>
        <v>2022-12-16  (225)</v>
      </c>
    </row>
    <row r="37" spans="1:3" x14ac:dyDescent="0.3">
      <c r="A37" t="str">
        <v>2022-12-30</v>
      </c>
      <c r="B37" s="7">
        <f t="shared" ca="1" si="0"/>
        <v>239</v>
      </c>
      <c r="C37" t="str">
        <f t="shared" ca="1" si="1"/>
        <v>2022-12-30  (239)</v>
      </c>
    </row>
    <row r="38" spans="1:3" x14ac:dyDescent="0.3">
      <c r="A38" t="str">
        <v>2023-01-20</v>
      </c>
      <c r="B38" s="7">
        <f t="shared" ca="1" si="0"/>
        <v>260</v>
      </c>
      <c r="C38" t="str">
        <f t="shared" ca="1" si="1"/>
        <v>2023-01-20  (260)</v>
      </c>
    </row>
    <row r="39" spans="1:3" x14ac:dyDescent="0.3">
      <c r="A39" t="str">
        <v>2023-02-17</v>
      </c>
      <c r="B39" s="7">
        <f t="shared" ca="1" si="0"/>
        <v>288</v>
      </c>
      <c r="C39" t="str">
        <f t="shared" ca="1" si="1"/>
        <v>2023-02-17  (288)</v>
      </c>
    </row>
    <row r="40" spans="1:3" x14ac:dyDescent="0.3">
      <c r="A40" t="str">
        <v>2023-03-17</v>
      </c>
      <c r="B40" s="7">
        <f t="shared" ca="1" si="0"/>
        <v>316</v>
      </c>
      <c r="C40" t="str">
        <f t="shared" ca="1" si="1"/>
        <v>2023-03-17  (316)</v>
      </c>
    </row>
    <row r="41" spans="1:3" x14ac:dyDescent="0.3">
      <c r="A41" t="str">
        <v>2023-03-31</v>
      </c>
      <c r="B41" s="7">
        <f t="shared" ca="1" si="0"/>
        <v>330</v>
      </c>
      <c r="C41" t="str">
        <f t="shared" ca="1" si="1"/>
        <v>2023-03-31  (330)</v>
      </c>
    </row>
    <row r="42" spans="1:3" x14ac:dyDescent="0.3">
      <c r="A42" t="str">
        <v>2023-04-21</v>
      </c>
      <c r="B42" s="7">
        <f t="shared" ca="1" si="0"/>
        <v>351</v>
      </c>
      <c r="C42" t="str">
        <f t="shared" ca="1" si="1"/>
        <v>2023-04-21  (351)</v>
      </c>
    </row>
    <row r="43" spans="1:3" x14ac:dyDescent="0.3">
      <c r="A43" t="str">
        <v>2023-05-19</v>
      </c>
      <c r="B43" s="7">
        <f t="shared" ca="1" si="0"/>
        <v>379</v>
      </c>
      <c r="C43" t="str">
        <f t="shared" ca="1" si="1"/>
        <v>2023-05-19  (379)</v>
      </c>
    </row>
    <row r="44" spans="1:3" x14ac:dyDescent="0.3">
      <c r="A44" t="str">
        <v>2023-06-16</v>
      </c>
      <c r="B44" s="7">
        <f t="shared" ca="1" si="0"/>
        <v>407</v>
      </c>
      <c r="C44" t="str">
        <f t="shared" ca="1" si="1"/>
        <v>2023-06-16  (407)</v>
      </c>
    </row>
    <row r="45" spans="1:3" x14ac:dyDescent="0.3">
      <c r="A45" t="str">
        <v>2023-09-15</v>
      </c>
      <c r="B45" s="7">
        <f t="shared" ca="1" si="0"/>
        <v>498</v>
      </c>
      <c r="C45" t="str">
        <f t="shared" ca="1" si="1"/>
        <v>2023-09-15  (498)</v>
      </c>
    </row>
    <row r="46" spans="1:3" x14ac:dyDescent="0.3">
      <c r="A46" t="str">
        <v>2023-12-15</v>
      </c>
      <c r="B46" s="7">
        <f t="shared" ca="1" si="0"/>
        <v>589</v>
      </c>
      <c r="C46" t="str">
        <f t="shared" ca="1" si="1"/>
        <v>2023-12-15  (589)</v>
      </c>
    </row>
    <row r="47" spans="1:3" x14ac:dyDescent="0.3">
      <c r="A47" t="str">
        <v>2024-12-20</v>
      </c>
      <c r="B47" s="7">
        <f t="shared" ca="1" si="0"/>
        <v>960</v>
      </c>
      <c r="C47" t="str">
        <f t="shared" ca="1" si="1"/>
        <v>2024-12-20  (960)</v>
      </c>
    </row>
    <row r="48" spans="1:3" x14ac:dyDescent="0.3">
      <c r="A48" t="str">
        <v>2025-12-19</v>
      </c>
      <c r="B48" s="7">
        <f t="shared" ca="1" si="0"/>
        <v>1324</v>
      </c>
      <c r="C48" t="str">
        <f t="shared" ca="1" si="1"/>
        <v>2025-12-19  (1324)</v>
      </c>
    </row>
    <row r="49" spans="1:3" x14ac:dyDescent="0.3">
      <c r="A49" t="str">
        <v>2026-12-18</v>
      </c>
      <c r="C49" t="str">
        <f t="shared" si="1"/>
        <v>2026-12-18  ()</v>
      </c>
    </row>
    <row r="50" spans="1:3" x14ac:dyDescent="0.3">
      <c r="A50" t="e">
        <v>#N/A</v>
      </c>
      <c r="C50" t="str">
        <f t="shared" si="1"/>
        <v/>
      </c>
    </row>
    <row r="51" spans="1:3" x14ac:dyDescent="0.3">
      <c r="A51" t="e">
        <v>#N/A</v>
      </c>
      <c r="C51" t="str">
        <f t="shared" si="1"/>
        <v/>
      </c>
    </row>
    <row r="52" spans="1:3" x14ac:dyDescent="0.3">
      <c r="A52" t="e">
        <v>#N/A</v>
      </c>
      <c r="C52" t="str">
        <f t="shared" si="1"/>
        <v/>
      </c>
    </row>
    <row r="53" spans="1:3" x14ac:dyDescent="0.3">
      <c r="A53" t="e">
        <v>#N/A</v>
      </c>
      <c r="C53" t="str">
        <f t="shared" si="1"/>
        <v/>
      </c>
    </row>
    <row r="54" spans="1:3" x14ac:dyDescent="0.3">
      <c r="A54" t="e">
        <v>#N/A</v>
      </c>
      <c r="C54" t="str">
        <f t="shared" si="1"/>
        <v/>
      </c>
    </row>
  </sheetData>
  <dataValidations count="2">
    <dataValidation type="list" allowBlank="1" showInputMessage="1" showErrorMessage="1" sqref="D2" xr:uid="{A218AECD-8476-4D8C-8E67-C3D3CAF1DC35}">
      <formula1>CalcMode</formula1>
    </dataValidation>
    <dataValidation type="list" allowBlank="1" showInputMessage="1" showErrorMessage="1" sqref="B3" xr:uid="{23DBBA2B-9CD9-4AC2-8C70-4D364A101839}">
      <formula1>$A$8:$A$54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A3D0E1-B897-40F0-9E31-FC9C483FEAEC}">
          <x14:formula1>
            <xm:f>Static!$O$2:$O$11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3E197-4DE5-4520-BA2F-23D4312D4734}">
  <sheetPr codeName="Sheet7"/>
  <dimension ref="A1:AH125"/>
  <sheetViews>
    <sheetView tabSelected="1" workbookViewId="0">
      <selection activeCell="F1" sqref="F1:M1048576"/>
    </sheetView>
  </sheetViews>
  <sheetFormatPr defaultRowHeight="15.6" x14ac:dyDescent="0.3"/>
  <cols>
    <col min="1" max="1" width="19.09765625" bestFit="1" customWidth="1"/>
    <col min="2" max="2" width="27.296875" bestFit="1" customWidth="1"/>
    <col min="3" max="3" width="13.296875" bestFit="1" customWidth="1"/>
    <col min="4" max="4" width="7.69921875" bestFit="1" customWidth="1"/>
    <col min="5" max="6" width="6.3984375" bestFit="1" customWidth="1"/>
    <col min="7" max="7" width="7.3984375" bestFit="1" customWidth="1"/>
    <col min="8" max="8" width="8.69921875" bestFit="1" customWidth="1"/>
    <col min="9" max="9" width="14.59765625" bestFit="1" customWidth="1"/>
    <col min="10" max="10" width="6.69921875" bestFit="1" customWidth="1"/>
    <col min="11" max="11" width="16.8984375" bestFit="1" customWidth="1"/>
    <col min="12" max="12" width="9.3984375" bestFit="1" customWidth="1"/>
    <col min="13" max="13" width="15.296875" bestFit="1" customWidth="1"/>
    <col min="14" max="14" width="14.5" bestFit="1" customWidth="1"/>
    <col min="15" max="15" width="14" bestFit="1" customWidth="1"/>
    <col min="16" max="16" width="7.3984375" bestFit="1" customWidth="1"/>
    <col min="17" max="17" width="20" bestFit="1" customWidth="1"/>
    <col min="18" max="18" width="27.5" bestFit="1" customWidth="1"/>
    <col min="19" max="19" width="24.8984375" bestFit="1" customWidth="1"/>
    <col min="20" max="20" width="21.296875" bestFit="1" customWidth="1"/>
    <col min="21" max="21" width="20.3984375" bestFit="1" customWidth="1"/>
    <col min="22" max="22" width="18.8984375" bestFit="1" customWidth="1"/>
    <col min="23" max="23" width="23.296875" bestFit="1" customWidth="1"/>
    <col min="24" max="24" width="22.69921875" bestFit="1" customWidth="1"/>
    <col min="25" max="25" width="17.5" bestFit="1" customWidth="1"/>
    <col min="26" max="26" width="18.5" bestFit="1" customWidth="1"/>
    <col min="27" max="27" width="9" bestFit="1" customWidth="1"/>
    <col min="28" max="28" width="17.59765625" bestFit="1" customWidth="1"/>
    <col min="29" max="29" width="18.59765625" bestFit="1" customWidth="1"/>
    <col min="30" max="30" width="22.8984375" bestFit="1" customWidth="1"/>
    <col min="31" max="31" width="13.796875" bestFit="1" customWidth="1"/>
    <col min="32" max="32" width="24.59765625" bestFit="1" customWidth="1"/>
    <col min="33" max="33" width="24.5" bestFit="1" customWidth="1"/>
    <col min="34" max="34" width="21.69921875" bestFit="1" customWidth="1"/>
    <col min="35" max="35" width="18.59765625" bestFit="1" customWidth="1"/>
    <col min="36" max="36" width="22.8984375" bestFit="1" customWidth="1"/>
    <col min="37" max="37" width="13.796875" bestFit="1" customWidth="1"/>
    <col min="38" max="38" width="24.59765625" bestFit="1" customWidth="1"/>
    <col min="39" max="39" width="24.5" bestFit="1" customWidth="1"/>
    <col min="40" max="40" width="21.69921875" bestFit="1" customWidth="1"/>
    <col min="41" max="41" width="24.5" bestFit="1" customWidth="1"/>
    <col min="42" max="42" width="13.296875" bestFit="1" customWidth="1"/>
    <col min="43" max="43" width="21.69921875" bestFit="1" customWidth="1"/>
    <col min="44" max="44" width="21.3984375" bestFit="1" customWidth="1"/>
    <col min="45" max="45" width="21.69921875" bestFit="1" customWidth="1"/>
    <col min="46" max="46" width="21.3984375" bestFit="1" customWidth="1"/>
    <col min="47" max="47" width="21.69921875" bestFit="1" customWidth="1"/>
  </cols>
  <sheetData>
    <row r="1" spans="1:34" x14ac:dyDescent="0.3">
      <c r="A1" t="s">
        <v>75</v>
      </c>
      <c r="B1" t="s">
        <v>76</v>
      </c>
      <c r="C1" t="s">
        <v>349</v>
      </c>
      <c r="D1" t="s">
        <v>70</v>
      </c>
      <c r="E1" t="s">
        <v>80</v>
      </c>
      <c r="F1" t="s">
        <v>81</v>
      </c>
      <c r="G1" t="s">
        <v>77</v>
      </c>
      <c r="H1" t="s">
        <v>918</v>
      </c>
      <c r="I1" t="s">
        <v>82</v>
      </c>
      <c r="J1" t="s">
        <v>917</v>
      </c>
      <c r="K1" t="s">
        <v>83</v>
      </c>
      <c r="L1" t="s">
        <v>78</v>
      </c>
      <c r="M1" t="s">
        <v>84</v>
      </c>
      <c r="N1" t="s">
        <v>85</v>
      </c>
      <c r="O1" t="s">
        <v>86</v>
      </c>
      <c r="P1" t="s">
        <v>79</v>
      </c>
      <c r="Q1" t="s">
        <v>87</v>
      </c>
      <c r="R1" t="s">
        <v>88</v>
      </c>
      <c r="S1" t="s">
        <v>89</v>
      </c>
      <c r="T1" t="s">
        <v>90</v>
      </c>
      <c r="U1" t="s">
        <v>91</v>
      </c>
      <c r="V1" t="s">
        <v>92</v>
      </c>
      <c r="W1" t="s">
        <v>93</v>
      </c>
      <c r="X1" t="s">
        <v>94</v>
      </c>
      <c r="Y1" t="s">
        <v>95</v>
      </c>
      <c r="Z1" t="s">
        <v>96</v>
      </c>
      <c r="AA1" t="s">
        <v>919</v>
      </c>
      <c r="AB1" t="s">
        <v>97</v>
      </c>
      <c r="AC1" t="s">
        <v>98</v>
      </c>
      <c r="AD1" t="s">
        <v>99</v>
      </c>
      <c r="AE1" t="s">
        <v>348</v>
      </c>
      <c r="AF1" t="s">
        <v>100</v>
      </c>
      <c r="AG1" t="s">
        <v>101</v>
      </c>
      <c r="AH1" t="s">
        <v>102</v>
      </c>
    </row>
    <row r="2" spans="1:34" x14ac:dyDescent="0.3">
      <c r="A2" t="s">
        <v>352</v>
      </c>
      <c r="B2" t="s">
        <v>353</v>
      </c>
      <c r="C2" t="s">
        <v>44</v>
      </c>
      <c r="D2" t="s">
        <v>251</v>
      </c>
      <c r="E2" t="s">
        <v>268</v>
      </c>
      <c r="F2" t="s">
        <v>264</v>
      </c>
      <c r="G2" t="s">
        <v>268</v>
      </c>
      <c r="H2" t="s">
        <v>105</v>
      </c>
      <c r="I2" t="s">
        <v>72</v>
      </c>
      <c r="J2" t="s">
        <v>51</v>
      </c>
      <c r="K2" t="s">
        <v>104</v>
      </c>
      <c r="L2" t="s">
        <v>104</v>
      </c>
      <c r="Q2" t="s">
        <v>64</v>
      </c>
      <c r="R2" t="s">
        <v>104</v>
      </c>
      <c r="S2" t="s">
        <v>104</v>
      </c>
      <c r="T2" t="s">
        <v>105</v>
      </c>
      <c r="U2" t="s">
        <v>117</v>
      </c>
      <c r="V2" t="s">
        <v>268</v>
      </c>
      <c r="W2" t="s">
        <v>104</v>
      </c>
      <c r="X2" t="s">
        <v>104</v>
      </c>
      <c r="Y2" t="s">
        <v>51</v>
      </c>
      <c r="Z2" t="s">
        <v>316</v>
      </c>
      <c r="AA2" t="s">
        <v>105</v>
      </c>
      <c r="AB2" t="s">
        <v>51</v>
      </c>
      <c r="AC2" t="s">
        <v>313</v>
      </c>
      <c r="AD2" t="s">
        <v>317</v>
      </c>
      <c r="AE2" t="s">
        <v>107</v>
      </c>
      <c r="AF2" t="s">
        <v>351</v>
      </c>
      <c r="AG2" t="s">
        <v>354</v>
      </c>
      <c r="AH2" t="s">
        <v>64</v>
      </c>
    </row>
    <row r="3" spans="1:34" x14ac:dyDescent="0.3">
      <c r="A3" t="s">
        <v>355</v>
      </c>
      <c r="B3" t="s">
        <v>356</v>
      </c>
      <c r="C3" t="s">
        <v>73</v>
      </c>
      <c r="D3" t="s">
        <v>251</v>
      </c>
      <c r="E3" t="s">
        <v>358</v>
      </c>
      <c r="F3" t="s">
        <v>359</v>
      </c>
      <c r="G3" t="s">
        <v>357</v>
      </c>
      <c r="H3" t="s">
        <v>142</v>
      </c>
      <c r="I3" t="s">
        <v>72</v>
      </c>
      <c r="J3" t="s">
        <v>51</v>
      </c>
      <c r="K3" t="s">
        <v>104</v>
      </c>
      <c r="L3" t="s">
        <v>104</v>
      </c>
      <c r="Q3" t="s">
        <v>64</v>
      </c>
      <c r="R3" t="s">
        <v>104</v>
      </c>
      <c r="S3" t="s">
        <v>104</v>
      </c>
      <c r="T3" t="s">
        <v>105</v>
      </c>
      <c r="U3" t="s">
        <v>360</v>
      </c>
      <c r="V3" t="s">
        <v>357</v>
      </c>
      <c r="W3" t="s">
        <v>104</v>
      </c>
      <c r="X3" t="s">
        <v>104</v>
      </c>
      <c r="Y3" t="s">
        <v>51</v>
      </c>
      <c r="Z3" t="s">
        <v>313</v>
      </c>
      <c r="AA3" t="s">
        <v>142</v>
      </c>
      <c r="AB3" t="s">
        <v>51</v>
      </c>
      <c r="AC3" t="s">
        <v>313</v>
      </c>
      <c r="AD3" t="s">
        <v>142</v>
      </c>
      <c r="AE3" t="s">
        <v>107</v>
      </c>
      <c r="AF3" t="s">
        <v>351</v>
      </c>
      <c r="AG3" t="s">
        <v>354</v>
      </c>
      <c r="AH3" t="s">
        <v>64</v>
      </c>
    </row>
    <row r="4" spans="1:34" x14ac:dyDescent="0.3">
      <c r="A4" t="s">
        <v>361</v>
      </c>
      <c r="B4" t="s">
        <v>362</v>
      </c>
      <c r="C4" t="s">
        <v>44</v>
      </c>
      <c r="D4" t="s">
        <v>336</v>
      </c>
      <c r="E4" t="s">
        <v>224</v>
      </c>
      <c r="F4" t="s">
        <v>263</v>
      </c>
      <c r="G4" t="s">
        <v>292</v>
      </c>
      <c r="H4" t="s">
        <v>105</v>
      </c>
      <c r="I4" t="s">
        <v>72</v>
      </c>
      <c r="J4" t="s">
        <v>51</v>
      </c>
      <c r="K4" t="s">
        <v>104</v>
      </c>
      <c r="L4" t="s">
        <v>104</v>
      </c>
      <c r="Q4" t="s">
        <v>64</v>
      </c>
      <c r="R4" t="s">
        <v>104</v>
      </c>
      <c r="S4" t="s">
        <v>104</v>
      </c>
      <c r="T4" t="s">
        <v>105</v>
      </c>
      <c r="U4" t="s">
        <v>112</v>
      </c>
      <c r="V4" t="s">
        <v>292</v>
      </c>
      <c r="W4" t="s">
        <v>104</v>
      </c>
      <c r="X4" t="s">
        <v>104</v>
      </c>
      <c r="Y4" t="s">
        <v>51</v>
      </c>
      <c r="Z4" t="s">
        <v>316</v>
      </c>
      <c r="AA4" t="s">
        <v>149</v>
      </c>
      <c r="AB4" t="s">
        <v>51</v>
      </c>
      <c r="AC4" t="s">
        <v>313</v>
      </c>
      <c r="AD4" t="s">
        <v>187</v>
      </c>
      <c r="AE4" t="s">
        <v>107</v>
      </c>
      <c r="AF4" t="s">
        <v>351</v>
      </c>
      <c r="AG4" t="s">
        <v>354</v>
      </c>
      <c r="AH4" t="s">
        <v>64</v>
      </c>
    </row>
    <row r="5" spans="1:34" x14ac:dyDescent="0.3">
      <c r="A5" t="s">
        <v>363</v>
      </c>
      <c r="B5" t="s">
        <v>364</v>
      </c>
      <c r="C5" t="s">
        <v>73</v>
      </c>
      <c r="D5" t="s">
        <v>336</v>
      </c>
      <c r="E5" t="s">
        <v>366</v>
      </c>
      <c r="F5" t="s">
        <v>367</v>
      </c>
      <c r="G5" t="s">
        <v>365</v>
      </c>
      <c r="H5" t="s">
        <v>142</v>
      </c>
      <c r="I5" t="s">
        <v>72</v>
      </c>
      <c r="J5" t="s">
        <v>51</v>
      </c>
      <c r="K5" t="s">
        <v>104</v>
      </c>
      <c r="L5" t="s">
        <v>104</v>
      </c>
      <c r="Q5" t="s">
        <v>64</v>
      </c>
      <c r="R5" t="s">
        <v>104</v>
      </c>
      <c r="S5" t="s">
        <v>104</v>
      </c>
      <c r="T5" t="s">
        <v>142</v>
      </c>
      <c r="U5" t="s">
        <v>368</v>
      </c>
      <c r="V5" t="s">
        <v>365</v>
      </c>
      <c r="W5" t="s">
        <v>104</v>
      </c>
      <c r="X5" t="s">
        <v>104</v>
      </c>
      <c r="Y5" t="s">
        <v>51</v>
      </c>
      <c r="Z5" t="s">
        <v>313</v>
      </c>
      <c r="AA5" t="s">
        <v>142</v>
      </c>
      <c r="AB5" t="s">
        <v>51</v>
      </c>
      <c r="AC5" t="s">
        <v>313</v>
      </c>
      <c r="AD5" t="s">
        <v>142</v>
      </c>
      <c r="AE5" t="s">
        <v>107</v>
      </c>
      <c r="AF5" t="s">
        <v>351</v>
      </c>
      <c r="AG5" t="s">
        <v>354</v>
      </c>
      <c r="AH5" t="s">
        <v>64</v>
      </c>
    </row>
    <row r="6" spans="1:34" x14ac:dyDescent="0.3">
      <c r="A6" t="s">
        <v>369</v>
      </c>
      <c r="B6" t="s">
        <v>370</v>
      </c>
      <c r="C6" t="s">
        <v>44</v>
      </c>
      <c r="D6" t="s">
        <v>371</v>
      </c>
      <c r="E6" t="s">
        <v>233</v>
      </c>
      <c r="F6" t="s">
        <v>326</v>
      </c>
      <c r="G6" t="s">
        <v>242</v>
      </c>
      <c r="H6" t="s">
        <v>105</v>
      </c>
      <c r="I6" t="s">
        <v>72</v>
      </c>
      <c r="J6" t="s">
        <v>51</v>
      </c>
      <c r="K6" t="s">
        <v>104</v>
      </c>
      <c r="L6" t="s">
        <v>104</v>
      </c>
      <c r="Q6" t="s">
        <v>64</v>
      </c>
      <c r="R6" t="s">
        <v>104</v>
      </c>
      <c r="S6" t="s">
        <v>104</v>
      </c>
      <c r="T6" t="s">
        <v>105</v>
      </c>
      <c r="U6" t="s">
        <v>173</v>
      </c>
      <c r="V6" t="s">
        <v>242</v>
      </c>
      <c r="W6" t="s">
        <v>104</v>
      </c>
      <c r="X6" t="s">
        <v>104</v>
      </c>
      <c r="Y6" t="s">
        <v>51</v>
      </c>
      <c r="Z6" t="s">
        <v>316</v>
      </c>
      <c r="AA6" t="s">
        <v>149</v>
      </c>
      <c r="AB6" t="s">
        <v>51</v>
      </c>
      <c r="AC6" t="s">
        <v>313</v>
      </c>
      <c r="AD6" t="s">
        <v>223</v>
      </c>
      <c r="AE6" t="s">
        <v>107</v>
      </c>
      <c r="AF6" t="s">
        <v>351</v>
      </c>
      <c r="AG6" t="s">
        <v>354</v>
      </c>
      <c r="AH6" t="s">
        <v>64</v>
      </c>
    </row>
    <row r="7" spans="1:34" x14ac:dyDescent="0.3">
      <c r="A7" t="s">
        <v>372</v>
      </c>
      <c r="B7" t="s">
        <v>373</v>
      </c>
      <c r="C7" t="s">
        <v>44</v>
      </c>
      <c r="D7" t="s">
        <v>271</v>
      </c>
      <c r="E7" t="s">
        <v>142</v>
      </c>
      <c r="F7" t="s">
        <v>330</v>
      </c>
      <c r="G7" t="s">
        <v>156</v>
      </c>
      <c r="H7" t="s">
        <v>135</v>
      </c>
      <c r="I7" t="s">
        <v>72</v>
      </c>
      <c r="J7" t="s">
        <v>51</v>
      </c>
      <c r="K7" t="s">
        <v>104</v>
      </c>
      <c r="L7" t="s">
        <v>104</v>
      </c>
      <c r="Q7" t="s">
        <v>64</v>
      </c>
      <c r="R7" t="s">
        <v>104</v>
      </c>
      <c r="S7" t="s">
        <v>104</v>
      </c>
      <c r="T7" t="s">
        <v>105</v>
      </c>
      <c r="U7" t="s">
        <v>238</v>
      </c>
      <c r="V7" t="s">
        <v>156</v>
      </c>
      <c r="W7" t="s">
        <v>104</v>
      </c>
      <c r="X7" t="s">
        <v>104</v>
      </c>
      <c r="Y7" t="s">
        <v>51</v>
      </c>
      <c r="Z7" t="s">
        <v>313</v>
      </c>
      <c r="AA7" t="s">
        <v>147</v>
      </c>
      <c r="AB7" t="s">
        <v>51</v>
      </c>
      <c r="AC7" t="s">
        <v>313</v>
      </c>
      <c r="AD7" t="s">
        <v>168</v>
      </c>
      <c r="AE7" t="s">
        <v>107</v>
      </c>
      <c r="AF7" t="s">
        <v>351</v>
      </c>
      <c r="AG7" t="s">
        <v>354</v>
      </c>
      <c r="AH7" t="s">
        <v>64</v>
      </c>
    </row>
    <row r="8" spans="1:34" x14ac:dyDescent="0.3">
      <c r="A8" t="s">
        <v>374</v>
      </c>
      <c r="B8" t="s">
        <v>375</v>
      </c>
      <c r="C8" t="s">
        <v>44</v>
      </c>
      <c r="D8" t="s">
        <v>230</v>
      </c>
      <c r="E8" t="s">
        <v>180</v>
      </c>
      <c r="F8" t="s">
        <v>121</v>
      </c>
      <c r="G8" t="s">
        <v>216</v>
      </c>
      <c r="H8" t="s">
        <v>225</v>
      </c>
      <c r="I8" t="s">
        <v>72</v>
      </c>
      <c r="J8" t="s">
        <v>51</v>
      </c>
      <c r="K8" t="s">
        <v>104</v>
      </c>
      <c r="L8" t="s">
        <v>104</v>
      </c>
      <c r="Q8" t="s">
        <v>64</v>
      </c>
      <c r="R8" t="s">
        <v>104</v>
      </c>
      <c r="S8" t="s">
        <v>104</v>
      </c>
      <c r="T8" t="s">
        <v>105</v>
      </c>
      <c r="U8" t="s">
        <v>376</v>
      </c>
      <c r="V8" t="s">
        <v>216</v>
      </c>
      <c r="W8" t="s">
        <v>104</v>
      </c>
      <c r="X8" t="s">
        <v>104</v>
      </c>
      <c r="Y8" t="s">
        <v>51</v>
      </c>
      <c r="Z8" t="s">
        <v>313</v>
      </c>
      <c r="AA8" t="s">
        <v>225</v>
      </c>
      <c r="AB8" t="s">
        <v>51</v>
      </c>
      <c r="AC8" t="s">
        <v>313</v>
      </c>
      <c r="AD8" t="s">
        <v>164</v>
      </c>
      <c r="AE8" t="s">
        <v>107</v>
      </c>
      <c r="AF8" t="s">
        <v>351</v>
      </c>
      <c r="AG8" t="s">
        <v>354</v>
      </c>
      <c r="AH8" t="s">
        <v>64</v>
      </c>
    </row>
    <row r="9" spans="1:34" x14ac:dyDescent="0.3">
      <c r="A9" t="s">
        <v>377</v>
      </c>
      <c r="B9" t="s">
        <v>378</v>
      </c>
      <c r="C9" t="s">
        <v>44</v>
      </c>
      <c r="D9" t="s">
        <v>232</v>
      </c>
      <c r="E9" t="s">
        <v>331</v>
      </c>
      <c r="F9" t="s">
        <v>125</v>
      </c>
      <c r="G9" t="s">
        <v>220</v>
      </c>
      <c r="H9" t="s">
        <v>104</v>
      </c>
      <c r="I9" t="s">
        <v>72</v>
      </c>
      <c r="J9" t="s">
        <v>51</v>
      </c>
      <c r="K9" t="s">
        <v>104</v>
      </c>
      <c r="L9" t="s">
        <v>104</v>
      </c>
      <c r="Q9" t="s">
        <v>64</v>
      </c>
      <c r="R9" t="s">
        <v>104</v>
      </c>
      <c r="S9" t="s">
        <v>104</v>
      </c>
      <c r="T9" t="s">
        <v>105</v>
      </c>
      <c r="U9" t="s">
        <v>173</v>
      </c>
      <c r="V9" t="s">
        <v>220</v>
      </c>
      <c r="W9" t="s">
        <v>104</v>
      </c>
      <c r="X9" t="s">
        <v>104</v>
      </c>
      <c r="Y9" t="s">
        <v>51</v>
      </c>
      <c r="Z9" t="s">
        <v>313</v>
      </c>
      <c r="AA9" t="s">
        <v>104</v>
      </c>
      <c r="AB9" t="s">
        <v>51</v>
      </c>
      <c r="AC9" t="s">
        <v>313</v>
      </c>
      <c r="AD9" t="s">
        <v>283</v>
      </c>
      <c r="AE9" t="s">
        <v>107</v>
      </c>
      <c r="AF9" t="s">
        <v>351</v>
      </c>
      <c r="AG9" t="s">
        <v>354</v>
      </c>
      <c r="AH9" t="s">
        <v>64</v>
      </c>
    </row>
    <row r="10" spans="1:34" x14ac:dyDescent="0.3">
      <c r="A10" t="s">
        <v>379</v>
      </c>
      <c r="B10" t="s">
        <v>380</v>
      </c>
      <c r="C10" t="s">
        <v>44</v>
      </c>
      <c r="D10" t="s">
        <v>267</v>
      </c>
      <c r="E10" t="s">
        <v>329</v>
      </c>
      <c r="F10" t="s">
        <v>343</v>
      </c>
      <c r="G10" t="s">
        <v>381</v>
      </c>
      <c r="H10" t="s">
        <v>157</v>
      </c>
      <c r="I10" t="s">
        <v>72</v>
      </c>
      <c r="J10" t="s">
        <v>51</v>
      </c>
      <c r="K10" t="s">
        <v>104</v>
      </c>
      <c r="L10" t="s">
        <v>104</v>
      </c>
      <c r="Q10" t="s">
        <v>64</v>
      </c>
      <c r="R10" t="s">
        <v>104</v>
      </c>
      <c r="S10" t="s">
        <v>104</v>
      </c>
      <c r="T10" t="s">
        <v>163</v>
      </c>
      <c r="U10" t="s">
        <v>382</v>
      </c>
      <c r="V10" t="s">
        <v>381</v>
      </c>
      <c r="W10" t="s">
        <v>104</v>
      </c>
      <c r="X10" t="s">
        <v>104</v>
      </c>
      <c r="Y10" t="s">
        <v>51</v>
      </c>
      <c r="Z10" t="s">
        <v>313</v>
      </c>
      <c r="AA10" t="s">
        <v>141</v>
      </c>
      <c r="AB10" t="s">
        <v>51</v>
      </c>
      <c r="AC10" t="s">
        <v>313</v>
      </c>
      <c r="AD10" t="s">
        <v>278</v>
      </c>
      <c r="AE10" t="s">
        <v>107</v>
      </c>
      <c r="AF10" t="s">
        <v>351</v>
      </c>
      <c r="AG10" t="s">
        <v>354</v>
      </c>
      <c r="AH10" t="s">
        <v>64</v>
      </c>
    </row>
    <row r="11" spans="1:34" x14ac:dyDescent="0.3">
      <c r="A11" t="s">
        <v>383</v>
      </c>
      <c r="B11" t="s">
        <v>384</v>
      </c>
      <c r="C11" t="s">
        <v>73</v>
      </c>
      <c r="D11" t="s">
        <v>267</v>
      </c>
      <c r="E11" t="s">
        <v>386</v>
      </c>
      <c r="F11" t="s">
        <v>387</v>
      </c>
      <c r="G11" t="s">
        <v>385</v>
      </c>
      <c r="H11" t="s">
        <v>142</v>
      </c>
      <c r="I11" t="s">
        <v>72</v>
      </c>
      <c r="J11" t="s">
        <v>51</v>
      </c>
      <c r="K11" t="s">
        <v>104</v>
      </c>
      <c r="L11" t="s">
        <v>104</v>
      </c>
      <c r="Q11" t="s">
        <v>64</v>
      </c>
      <c r="R11" t="s">
        <v>104</v>
      </c>
      <c r="S11" t="s">
        <v>104</v>
      </c>
      <c r="T11" t="s">
        <v>105</v>
      </c>
      <c r="U11" t="s">
        <v>192</v>
      </c>
      <c r="V11" t="s">
        <v>385</v>
      </c>
      <c r="W11" t="s">
        <v>104</v>
      </c>
      <c r="X11" t="s">
        <v>104</v>
      </c>
      <c r="Y11" t="s">
        <v>51</v>
      </c>
      <c r="Z11" t="s">
        <v>313</v>
      </c>
      <c r="AA11" t="s">
        <v>142</v>
      </c>
      <c r="AB11" t="s">
        <v>51</v>
      </c>
      <c r="AC11" t="s">
        <v>313</v>
      </c>
      <c r="AD11" t="s">
        <v>164</v>
      </c>
      <c r="AE11" t="s">
        <v>107</v>
      </c>
      <c r="AF11" t="s">
        <v>351</v>
      </c>
      <c r="AG11" t="s">
        <v>354</v>
      </c>
      <c r="AH11" t="s">
        <v>64</v>
      </c>
    </row>
    <row r="12" spans="1:34" x14ac:dyDescent="0.3">
      <c r="A12" t="s">
        <v>388</v>
      </c>
      <c r="B12" t="s">
        <v>389</v>
      </c>
      <c r="C12" t="s">
        <v>73</v>
      </c>
      <c r="D12" t="s">
        <v>199</v>
      </c>
      <c r="E12" t="s">
        <v>390</v>
      </c>
      <c r="F12" t="s">
        <v>391</v>
      </c>
      <c r="G12" t="s">
        <v>201</v>
      </c>
      <c r="H12" t="s">
        <v>142</v>
      </c>
      <c r="I12" t="s">
        <v>72</v>
      </c>
      <c r="J12" t="s">
        <v>51</v>
      </c>
      <c r="K12" t="s">
        <v>104</v>
      </c>
      <c r="L12" t="s">
        <v>104</v>
      </c>
      <c r="Q12" t="s">
        <v>64</v>
      </c>
      <c r="R12" t="s">
        <v>104</v>
      </c>
      <c r="S12" t="s">
        <v>104</v>
      </c>
      <c r="T12" t="s">
        <v>131</v>
      </c>
      <c r="U12" t="s">
        <v>392</v>
      </c>
      <c r="V12" t="s">
        <v>201</v>
      </c>
      <c r="W12" t="s">
        <v>104</v>
      </c>
      <c r="X12" t="s">
        <v>104</v>
      </c>
      <c r="Y12" t="s">
        <v>51</v>
      </c>
      <c r="Z12" t="s">
        <v>313</v>
      </c>
      <c r="AA12" t="s">
        <v>142</v>
      </c>
      <c r="AB12" t="s">
        <v>51</v>
      </c>
      <c r="AC12" t="s">
        <v>313</v>
      </c>
      <c r="AD12" t="s">
        <v>124</v>
      </c>
      <c r="AE12" t="s">
        <v>107</v>
      </c>
      <c r="AF12" t="s">
        <v>351</v>
      </c>
      <c r="AG12" t="s">
        <v>354</v>
      </c>
      <c r="AH12" t="s">
        <v>64</v>
      </c>
    </row>
    <row r="13" spans="1:34" x14ac:dyDescent="0.3">
      <c r="A13" t="s">
        <v>393</v>
      </c>
      <c r="B13" t="s">
        <v>394</v>
      </c>
      <c r="C13" t="s">
        <v>44</v>
      </c>
      <c r="D13" t="s">
        <v>199</v>
      </c>
      <c r="E13" t="s">
        <v>350</v>
      </c>
      <c r="F13" t="s">
        <v>284</v>
      </c>
      <c r="G13" t="s">
        <v>107</v>
      </c>
      <c r="H13" t="s">
        <v>163</v>
      </c>
      <c r="I13" t="s">
        <v>72</v>
      </c>
      <c r="J13" t="s">
        <v>51</v>
      </c>
      <c r="K13" t="s">
        <v>104</v>
      </c>
      <c r="L13" t="s">
        <v>104</v>
      </c>
      <c r="Q13" t="s">
        <v>64</v>
      </c>
      <c r="R13" t="s">
        <v>104</v>
      </c>
      <c r="S13" t="s">
        <v>104</v>
      </c>
      <c r="T13" t="s">
        <v>131</v>
      </c>
      <c r="U13" t="s">
        <v>392</v>
      </c>
      <c r="V13" t="s">
        <v>107</v>
      </c>
      <c r="W13" t="s">
        <v>104</v>
      </c>
      <c r="X13" t="s">
        <v>104</v>
      </c>
      <c r="Y13" t="s">
        <v>51</v>
      </c>
      <c r="Z13" t="s">
        <v>313</v>
      </c>
      <c r="AA13" t="s">
        <v>126</v>
      </c>
      <c r="AB13" t="s">
        <v>51</v>
      </c>
      <c r="AC13" t="s">
        <v>313</v>
      </c>
      <c r="AD13" t="s">
        <v>395</v>
      </c>
      <c r="AE13" t="s">
        <v>107</v>
      </c>
      <c r="AF13" t="s">
        <v>351</v>
      </c>
      <c r="AG13" t="s">
        <v>354</v>
      </c>
      <c r="AH13" t="s">
        <v>64</v>
      </c>
    </row>
    <row r="14" spans="1:34" x14ac:dyDescent="0.3">
      <c r="A14" t="s">
        <v>396</v>
      </c>
      <c r="B14" t="s">
        <v>397</v>
      </c>
      <c r="C14" t="s">
        <v>73</v>
      </c>
      <c r="D14" t="s">
        <v>245</v>
      </c>
      <c r="E14" t="s">
        <v>399</v>
      </c>
      <c r="F14" t="s">
        <v>400</v>
      </c>
      <c r="G14" t="s">
        <v>398</v>
      </c>
      <c r="H14" t="s">
        <v>142</v>
      </c>
      <c r="I14" t="s">
        <v>72</v>
      </c>
      <c r="J14" t="s">
        <v>51</v>
      </c>
      <c r="K14" t="s">
        <v>104</v>
      </c>
      <c r="L14" t="s">
        <v>104</v>
      </c>
      <c r="Q14" t="s">
        <v>64</v>
      </c>
      <c r="R14" t="s">
        <v>104</v>
      </c>
      <c r="S14" t="s">
        <v>104</v>
      </c>
      <c r="T14" t="s">
        <v>105</v>
      </c>
      <c r="U14" t="s">
        <v>401</v>
      </c>
      <c r="V14" t="s">
        <v>398</v>
      </c>
      <c r="W14" t="s">
        <v>104</v>
      </c>
      <c r="X14" t="s">
        <v>104</v>
      </c>
      <c r="Y14" t="s">
        <v>51</v>
      </c>
      <c r="Z14" t="s">
        <v>313</v>
      </c>
      <c r="AA14" t="s">
        <v>142</v>
      </c>
      <c r="AB14" t="s">
        <v>51</v>
      </c>
      <c r="AC14" t="s">
        <v>313</v>
      </c>
      <c r="AD14" t="s">
        <v>105</v>
      </c>
      <c r="AE14" t="s">
        <v>107</v>
      </c>
      <c r="AF14" t="s">
        <v>351</v>
      </c>
      <c r="AG14" t="s">
        <v>354</v>
      </c>
      <c r="AH14" t="s">
        <v>64</v>
      </c>
    </row>
    <row r="15" spans="1:34" x14ac:dyDescent="0.3">
      <c r="A15" t="s">
        <v>402</v>
      </c>
      <c r="B15" t="s">
        <v>403</v>
      </c>
      <c r="C15" t="s">
        <v>44</v>
      </c>
      <c r="D15" t="s">
        <v>245</v>
      </c>
      <c r="E15" t="s">
        <v>294</v>
      </c>
      <c r="F15" t="s">
        <v>139</v>
      </c>
      <c r="G15" t="s">
        <v>148</v>
      </c>
      <c r="H15" t="s">
        <v>184</v>
      </c>
      <c r="I15" t="s">
        <v>72</v>
      </c>
      <c r="J15" t="s">
        <v>51</v>
      </c>
      <c r="K15" t="s">
        <v>104</v>
      </c>
      <c r="L15" t="s">
        <v>104</v>
      </c>
      <c r="Q15" t="s">
        <v>64</v>
      </c>
      <c r="R15" t="s">
        <v>104</v>
      </c>
      <c r="S15" t="s">
        <v>104</v>
      </c>
      <c r="T15" t="s">
        <v>142</v>
      </c>
      <c r="U15" t="s">
        <v>260</v>
      </c>
      <c r="V15" t="s">
        <v>148</v>
      </c>
      <c r="W15" t="s">
        <v>104</v>
      </c>
      <c r="X15" t="s">
        <v>104</v>
      </c>
      <c r="Y15" t="s">
        <v>51</v>
      </c>
      <c r="Z15" t="s">
        <v>313</v>
      </c>
      <c r="AA15" t="s">
        <v>184</v>
      </c>
      <c r="AB15" t="s">
        <v>51</v>
      </c>
      <c r="AC15" t="s">
        <v>313</v>
      </c>
      <c r="AD15" t="s">
        <v>404</v>
      </c>
      <c r="AE15" t="s">
        <v>107</v>
      </c>
      <c r="AF15" t="s">
        <v>351</v>
      </c>
      <c r="AG15" t="s">
        <v>354</v>
      </c>
      <c r="AH15" t="s">
        <v>64</v>
      </c>
    </row>
    <row r="16" spans="1:34" x14ac:dyDescent="0.3">
      <c r="A16" t="s">
        <v>405</v>
      </c>
      <c r="B16" t="s">
        <v>406</v>
      </c>
      <c r="C16" t="s">
        <v>73</v>
      </c>
      <c r="D16" t="s">
        <v>108</v>
      </c>
      <c r="E16" t="s">
        <v>408</v>
      </c>
      <c r="F16" t="s">
        <v>409</v>
      </c>
      <c r="G16" t="s">
        <v>407</v>
      </c>
      <c r="H16" t="s">
        <v>142</v>
      </c>
      <c r="I16" t="s">
        <v>72</v>
      </c>
      <c r="J16" t="s">
        <v>51</v>
      </c>
      <c r="K16" t="s">
        <v>104</v>
      </c>
      <c r="L16" t="s">
        <v>104</v>
      </c>
      <c r="Q16" t="s">
        <v>64</v>
      </c>
      <c r="R16" t="s">
        <v>104</v>
      </c>
      <c r="S16" t="s">
        <v>104</v>
      </c>
      <c r="T16" t="s">
        <v>105</v>
      </c>
      <c r="U16" t="s">
        <v>410</v>
      </c>
      <c r="V16" t="s">
        <v>407</v>
      </c>
      <c r="W16" t="s">
        <v>104</v>
      </c>
      <c r="X16" t="s">
        <v>104</v>
      </c>
      <c r="Y16" t="s">
        <v>51</v>
      </c>
      <c r="Z16" t="s">
        <v>313</v>
      </c>
      <c r="AA16" t="s">
        <v>104</v>
      </c>
      <c r="AB16" t="s">
        <v>51</v>
      </c>
      <c r="AC16" t="s">
        <v>313</v>
      </c>
      <c r="AD16" t="s">
        <v>143</v>
      </c>
      <c r="AE16" t="s">
        <v>107</v>
      </c>
      <c r="AF16" t="s">
        <v>351</v>
      </c>
      <c r="AG16" t="s">
        <v>354</v>
      </c>
      <c r="AH16" t="s">
        <v>64</v>
      </c>
    </row>
    <row r="17" spans="1:34" x14ac:dyDescent="0.3">
      <c r="A17" t="s">
        <v>411</v>
      </c>
      <c r="B17" t="s">
        <v>412</v>
      </c>
      <c r="C17" t="s">
        <v>44</v>
      </c>
      <c r="D17" t="s">
        <v>108</v>
      </c>
      <c r="E17" t="s">
        <v>413</v>
      </c>
      <c r="F17" t="s">
        <v>414</v>
      </c>
      <c r="G17" t="s">
        <v>250</v>
      </c>
      <c r="H17" t="s">
        <v>142</v>
      </c>
      <c r="I17" t="s">
        <v>72</v>
      </c>
      <c r="J17" t="s">
        <v>51</v>
      </c>
      <c r="K17" t="s">
        <v>104</v>
      </c>
      <c r="L17" t="s">
        <v>104</v>
      </c>
      <c r="Q17" t="s">
        <v>64</v>
      </c>
      <c r="R17" t="s">
        <v>104</v>
      </c>
      <c r="S17" t="s">
        <v>104</v>
      </c>
      <c r="T17" t="s">
        <v>105</v>
      </c>
      <c r="U17" t="s">
        <v>160</v>
      </c>
      <c r="V17" t="s">
        <v>250</v>
      </c>
      <c r="W17" t="s">
        <v>104</v>
      </c>
      <c r="X17" t="s">
        <v>104</v>
      </c>
      <c r="Y17" t="s">
        <v>51</v>
      </c>
      <c r="Z17" t="s">
        <v>313</v>
      </c>
      <c r="AA17" t="s">
        <v>104</v>
      </c>
      <c r="AB17" t="s">
        <v>51</v>
      </c>
      <c r="AC17" t="s">
        <v>313</v>
      </c>
      <c r="AD17" t="s">
        <v>344</v>
      </c>
      <c r="AE17" t="s">
        <v>107</v>
      </c>
      <c r="AF17" t="s">
        <v>351</v>
      </c>
      <c r="AG17" t="s">
        <v>354</v>
      </c>
      <c r="AH17" t="s">
        <v>64</v>
      </c>
    </row>
    <row r="18" spans="1:34" x14ac:dyDescent="0.3">
      <c r="A18" t="s">
        <v>415</v>
      </c>
      <c r="B18" t="s">
        <v>416</v>
      </c>
      <c r="C18" t="s">
        <v>44</v>
      </c>
      <c r="D18" t="s">
        <v>201</v>
      </c>
      <c r="E18" t="s">
        <v>418</v>
      </c>
      <c r="F18" t="s">
        <v>282</v>
      </c>
      <c r="G18" t="s">
        <v>417</v>
      </c>
      <c r="H18" t="s">
        <v>142</v>
      </c>
      <c r="I18" t="s">
        <v>72</v>
      </c>
      <c r="J18" t="s">
        <v>51</v>
      </c>
      <c r="K18" t="s">
        <v>104</v>
      </c>
      <c r="L18" t="s">
        <v>104</v>
      </c>
      <c r="Q18" t="s">
        <v>64</v>
      </c>
      <c r="R18" t="s">
        <v>104</v>
      </c>
      <c r="S18" t="s">
        <v>104</v>
      </c>
      <c r="T18" t="s">
        <v>105</v>
      </c>
      <c r="U18" t="s">
        <v>260</v>
      </c>
      <c r="V18" t="s">
        <v>417</v>
      </c>
      <c r="W18" t="s">
        <v>104</v>
      </c>
      <c r="X18" t="s">
        <v>104</v>
      </c>
      <c r="Y18" t="s">
        <v>51</v>
      </c>
      <c r="Z18" t="s">
        <v>313</v>
      </c>
      <c r="AA18" t="s">
        <v>142</v>
      </c>
      <c r="AB18" t="s">
        <v>51</v>
      </c>
      <c r="AC18" t="s">
        <v>313</v>
      </c>
      <c r="AD18" t="s">
        <v>151</v>
      </c>
      <c r="AE18" t="s">
        <v>107</v>
      </c>
      <c r="AF18" t="s">
        <v>351</v>
      </c>
      <c r="AG18" t="s">
        <v>354</v>
      </c>
      <c r="AH18" t="s">
        <v>64</v>
      </c>
    </row>
    <row r="19" spans="1:34" x14ac:dyDescent="0.3">
      <c r="A19" t="s">
        <v>419</v>
      </c>
      <c r="B19" t="s">
        <v>420</v>
      </c>
      <c r="C19" t="s">
        <v>44</v>
      </c>
      <c r="D19" t="s">
        <v>274</v>
      </c>
      <c r="E19" t="s">
        <v>297</v>
      </c>
      <c r="F19" t="s">
        <v>421</v>
      </c>
      <c r="G19" t="s">
        <v>221</v>
      </c>
      <c r="H19" t="s">
        <v>142</v>
      </c>
      <c r="I19" t="s">
        <v>72</v>
      </c>
      <c r="J19" t="s">
        <v>51</v>
      </c>
      <c r="K19" t="s">
        <v>104</v>
      </c>
      <c r="L19" t="s">
        <v>104</v>
      </c>
      <c r="Q19" t="s">
        <v>64</v>
      </c>
      <c r="R19" t="s">
        <v>104</v>
      </c>
      <c r="S19" t="s">
        <v>104</v>
      </c>
      <c r="T19" t="s">
        <v>107</v>
      </c>
      <c r="U19" t="s">
        <v>183</v>
      </c>
      <c r="V19" t="s">
        <v>221</v>
      </c>
      <c r="W19" t="s">
        <v>104</v>
      </c>
      <c r="X19" t="s">
        <v>104</v>
      </c>
      <c r="Y19" t="s">
        <v>51</v>
      </c>
      <c r="Z19" t="s">
        <v>313</v>
      </c>
      <c r="AA19" t="s">
        <v>142</v>
      </c>
      <c r="AB19" t="s">
        <v>51</v>
      </c>
      <c r="AC19" t="s">
        <v>313</v>
      </c>
      <c r="AD19" t="s">
        <v>422</v>
      </c>
      <c r="AE19" t="s">
        <v>107</v>
      </c>
      <c r="AF19" t="s">
        <v>351</v>
      </c>
      <c r="AG19" t="s">
        <v>354</v>
      </c>
      <c r="AH19" t="s">
        <v>64</v>
      </c>
    </row>
    <row r="20" spans="1:34" x14ac:dyDescent="0.3">
      <c r="A20" t="s">
        <v>423</v>
      </c>
      <c r="B20" t="s">
        <v>424</v>
      </c>
      <c r="C20" t="s">
        <v>73</v>
      </c>
      <c r="D20" t="s">
        <v>274</v>
      </c>
      <c r="E20" t="s">
        <v>426</v>
      </c>
      <c r="F20" t="s">
        <v>427</v>
      </c>
      <c r="G20" t="s">
        <v>425</v>
      </c>
      <c r="H20" t="s">
        <v>142</v>
      </c>
      <c r="I20" t="s">
        <v>72</v>
      </c>
      <c r="J20" t="s">
        <v>51</v>
      </c>
      <c r="K20" t="s">
        <v>104</v>
      </c>
      <c r="L20" t="s">
        <v>104</v>
      </c>
      <c r="Q20" t="s">
        <v>64</v>
      </c>
      <c r="R20" t="s">
        <v>104</v>
      </c>
      <c r="S20" t="s">
        <v>104</v>
      </c>
      <c r="T20" t="s">
        <v>105</v>
      </c>
      <c r="U20" t="s">
        <v>193</v>
      </c>
      <c r="V20" t="s">
        <v>425</v>
      </c>
      <c r="W20" t="s">
        <v>104</v>
      </c>
      <c r="X20" t="s">
        <v>104</v>
      </c>
      <c r="Y20" t="s">
        <v>51</v>
      </c>
      <c r="Z20" t="s">
        <v>313</v>
      </c>
      <c r="AA20" t="s">
        <v>142</v>
      </c>
      <c r="AB20" t="s">
        <v>51</v>
      </c>
      <c r="AC20" t="s">
        <v>313</v>
      </c>
      <c r="AD20" t="s">
        <v>105</v>
      </c>
      <c r="AE20" t="s">
        <v>107</v>
      </c>
      <c r="AF20" t="s">
        <v>351</v>
      </c>
      <c r="AG20" t="s">
        <v>354</v>
      </c>
      <c r="AH20" t="s">
        <v>64</v>
      </c>
    </row>
    <row r="21" spans="1:34" x14ac:dyDescent="0.3">
      <c r="A21" t="s">
        <v>428</v>
      </c>
      <c r="B21" t="s">
        <v>429</v>
      </c>
      <c r="C21" t="s">
        <v>73</v>
      </c>
      <c r="D21" t="s">
        <v>115</v>
      </c>
      <c r="E21" t="s">
        <v>431</v>
      </c>
      <c r="F21" t="s">
        <v>432</v>
      </c>
      <c r="G21" t="s">
        <v>430</v>
      </c>
      <c r="H21" t="s">
        <v>142</v>
      </c>
      <c r="I21" t="s">
        <v>72</v>
      </c>
      <c r="J21" t="s">
        <v>51</v>
      </c>
      <c r="K21" t="s">
        <v>104</v>
      </c>
      <c r="L21" t="s">
        <v>104</v>
      </c>
      <c r="Q21" t="s">
        <v>64</v>
      </c>
      <c r="R21" t="s">
        <v>104</v>
      </c>
      <c r="S21" t="s">
        <v>104</v>
      </c>
      <c r="T21" t="s">
        <v>105</v>
      </c>
      <c r="U21" t="s">
        <v>183</v>
      </c>
      <c r="V21" t="s">
        <v>430</v>
      </c>
      <c r="W21" t="s">
        <v>104</v>
      </c>
      <c r="X21" t="s">
        <v>104</v>
      </c>
      <c r="Y21" t="s">
        <v>51</v>
      </c>
      <c r="Z21" t="s">
        <v>313</v>
      </c>
      <c r="AA21" t="s">
        <v>142</v>
      </c>
      <c r="AB21" t="s">
        <v>51</v>
      </c>
      <c r="AC21" t="s">
        <v>313</v>
      </c>
      <c r="AD21" t="s">
        <v>127</v>
      </c>
      <c r="AE21" t="s">
        <v>107</v>
      </c>
      <c r="AF21" t="s">
        <v>351</v>
      </c>
      <c r="AG21" t="s">
        <v>354</v>
      </c>
      <c r="AH21" t="s">
        <v>64</v>
      </c>
    </row>
    <row r="22" spans="1:34" x14ac:dyDescent="0.3">
      <c r="A22" t="s">
        <v>433</v>
      </c>
      <c r="B22" t="s">
        <v>434</v>
      </c>
      <c r="C22" t="s">
        <v>44</v>
      </c>
      <c r="D22" t="s">
        <v>115</v>
      </c>
      <c r="E22" t="s">
        <v>436</v>
      </c>
      <c r="F22" t="s">
        <v>303</v>
      </c>
      <c r="G22" t="s">
        <v>435</v>
      </c>
      <c r="H22" t="s">
        <v>142</v>
      </c>
      <c r="I22" t="s">
        <v>72</v>
      </c>
      <c r="J22" t="s">
        <v>51</v>
      </c>
      <c r="K22" t="s">
        <v>104</v>
      </c>
      <c r="L22" t="s">
        <v>104</v>
      </c>
      <c r="Q22" t="s">
        <v>64</v>
      </c>
      <c r="R22" t="s">
        <v>104</v>
      </c>
      <c r="S22" t="s">
        <v>104</v>
      </c>
      <c r="T22" t="s">
        <v>105</v>
      </c>
      <c r="U22" t="s">
        <v>249</v>
      </c>
      <c r="V22" t="s">
        <v>435</v>
      </c>
      <c r="W22" t="s">
        <v>104</v>
      </c>
      <c r="X22" t="s">
        <v>104</v>
      </c>
      <c r="Y22" t="s">
        <v>51</v>
      </c>
      <c r="Z22" t="s">
        <v>313</v>
      </c>
      <c r="AA22" t="s">
        <v>142</v>
      </c>
      <c r="AB22" t="s">
        <v>51</v>
      </c>
      <c r="AC22" t="s">
        <v>313</v>
      </c>
      <c r="AD22" t="s">
        <v>272</v>
      </c>
      <c r="AE22" t="s">
        <v>107</v>
      </c>
      <c r="AF22" t="s">
        <v>351</v>
      </c>
      <c r="AG22" t="s">
        <v>354</v>
      </c>
      <c r="AH22" t="s">
        <v>64</v>
      </c>
    </row>
    <row r="23" spans="1:34" x14ac:dyDescent="0.3">
      <c r="A23" t="s">
        <v>437</v>
      </c>
      <c r="B23" t="s">
        <v>438</v>
      </c>
      <c r="C23" t="s">
        <v>73</v>
      </c>
      <c r="D23" t="s">
        <v>118</v>
      </c>
      <c r="E23" t="s">
        <v>440</v>
      </c>
      <c r="F23" t="s">
        <v>441</v>
      </c>
      <c r="G23" t="s">
        <v>439</v>
      </c>
      <c r="H23" t="s">
        <v>142</v>
      </c>
      <c r="I23" t="s">
        <v>72</v>
      </c>
      <c r="J23" t="s">
        <v>51</v>
      </c>
      <c r="K23" t="s">
        <v>104</v>
      </c>
      <c r="L23" t="s">
        <v>104</v>
      </c>
      <c r="Q23" t="s">
        <v>64</v>
      </c>
      <c r="R23" t="s">
        <v>104</v>
      </c>
      <c r="S23" t="s">
        <v>104</v>
      </c>
      <c r="T23" t="s">
        <v>105</v>
      </c>
      <c r="U23" t="s">
        <v>442</v>
      </c>
      <c r="V23" t="s">
        <v>439</v>
      </c>
      <c r="W23" t="s">
        <v>104</v>
      </c>
      <c r="X23" t="s">
        <v>104</v>
      </c>
      <c r="Y23" t="s">
        <v>51</v>
      </c>
      <c r="Z23" t="s">
        <v>313</v>
      </c>
      <c r="AA23" t="s">
        <v>142</v>
      </c>
      <c r="AB23" t="s">
        <v>51</v>
      </c>
      <c r="AC23" t="s">
        <v>313</v>
      </c>
      <c r="AD23" t="s">
        <v>105</v>
      </c>
      <c r="AE23" t="s">
        <v>107</v>
      </c>
      <c r="AF23" t="s">
        <v>351</v>
      </c>
      <c r="AG23" t="s">
        <v>354</v>
      </c>
      <c r="AH23" t="s">
        <v>64</v>
      </c>
    </row>
    <row r="24" spans="1:34" x14ac:dyDescent="0.3">
      <c r="A24" t="s">
        <v>443</v>
      </c>
      <c r="B24" t="s">
        <v>444</v>
      </c>
      <c r="C24" t="s">
        <v>44</v>
      </c>
      <c r="D24" t="s">
        <v>118</v>
      </c>
      <c r="E24" t="s">
        <v>104</v>
      </c>
      <c r="F24" t="s">
        <v>445</v>
      </c>
      <c r="G24" t="s">
        <v>246</v>
      </c>
      <c r="H24" t="s">
        <v>104</v>
      </c>
      <c r="I24" t="s">
        <v>72</v>
      </c>
      <c r="J24" t="s">
        <v>51</v>
      </c>
      <c r="K24" t="s">
        <v>104</v>
      </c>
      <c r="L24" t="s">
        <v>104</v>
      </c>
      <c r="Q24" t="s">
        <v>64</v>
      </c>
      <c r="R24" t="s">
        <v>104</v>
      </c>
      <c r="S24" t="s">
        <v>104</v>
      </c>
      <c r="T24" t="s">
        <v>123</v>
      </c>
      <c r="U24" t="s">
        <v>446</v>
      </c>
      <c r="V24" t="s">
        <v>246</v>
      </c>
      <c r="W24" t="s">
        <v>104</v>
      </c>
      <c r="X24" t="s">
        <v>104</v>
      </c>
      <c r="Y24" t="s">
        <v>51</v>
      </c>
      <c r="Z24" t="s">
        <v>313</v>
      </c>
      <c r="AA24" t="s">
        <v>142</v>
      </c>
      <c r="AB24" t="s">
        <v>51</v>
      </c>
      <c r="AC24" t="s">
        <v>313</v>
      </c>
      <c r="AD24" t="s">
        <v>111</v>
      </c>
      <c r="AE24" t="s">
        <v>107</v>
      </c>
      <c r="AF24" t="s">
        <v>351</v>
      </c>
      <c r="AG24" t="s">
        <v>354</v>
      </c>
      <c r="AH24" t="s">
        <v>64</v>
      </c>
    </row>
    <row r="25" spans="1:34" x14ac:dyDescent="0.3">
      <c r="A25" t="s">
        <v>447</v>
      </c>
      <c r="B25" t="s">
        <v>448</v>
      </c>
      <c r="C25" t="s">
        <v>73</v>
      </c>
      <c r="D25" t="s">
        <v>202</v>
      </c>
      <c r="E25" t="s">
        <v>450</v>
      </c>
      <c r="F25" t="s">
        <v>451</v>
      </c>
      <c r="G25" t="s">
        <v>449</v>
      </c>
      <c r="H25" t="s">
        <v>142</v>
      </c>
      <c r="I25" t="s">
        <v>72</v>
      </c>
      <c r="J25" t="s">
        <v>51</v>
      </c>
      <c r="K25" t="s">
        <v>104</v>
      </c>
      <c r="L25" t="s">
        <v>104</v>
      </c>
      <c r="Q25" t="s">
        <v>64</v>
      </c>
      <c r="R25" t="s">
        <v>104</v>
      </c>
      <c r="S25" t="s">
        <v>104</v>
      </c>
      <c r="T25" t="s">
        <v>105</v>
      </c>
      <c r="U25" t="s">
        <v>452</v>
      </c>
      <c r="V25" t="s">
        <v>449</v>
      </c>
      <c r="W25" t="s">
        <v>104</v>
      </c>
      <c r="X25" t="s">
        <v>104</v>
      </c>
      <c r="Y25" t="s">
        <v>51</v>
      </c>
      <c r="Z25" t="s">
        <v>313</v>
      </c>
      <c r="AA25" t="s">
        <v>142</v>
      </c>
      <c r="AB25" t="s">
        <v>51</v>
      </c>
      <c r="AC25" t="s">
        <v>313</v>
      </c>
      <c r="AD25" t="s">
        <v>247</v>
      </c>
      <c r="AE25" t="s">
        <v>107</v>
      </c>
      <c r="AF25" t="s">
        <v>351</v>
      </c>
      <c r="AG25" t="s">
        <v>354</v>
      </c>
      <c r="AH25" t="s">
        <v>64</v>
      </c>
    </row>
    <row r="26" spans="1:34" x14ac:dyDescent="0.3">
      <c r="A26" t="s">
        <v>453</v>
      </c>
      <c r="B26" t="s">
        <v>454</v>
      </c>
      <c r="C26" t="s">
        <v>44</v>
      </c>
      <c r="D26" t="s">
        <v>128</v>
      </c>
      <c r="E26" t="s">
        <v>104</v>
      </c>
      <c r="F26" t="s">
        <v>455</v>
      </c>
      <c r="G26" t="s">
        <v>289</v>
      </c>
      <c r="H26" t="s">
        <v>104</v>
      </c>
      <c r="I26" t="s">
        <v>72</v>
      </c>
      <c r="J26" t="s">
        <v>51</v>
      </c>
      <c r="K26" t="s">
        <v>104</v>
      </c>
      <c r="L26" t="s">
        <v>104</v>
      </c>
      <c r="Q26" t="s">
        <v>64</v>
      </c>
      <c r="R26" t="s">
        <v>104</v>
      </c>
      <c r="S26" t="s">
        <v>104</v>
      </c>
      <c r="T26" t="s">
        <v>107</v>
      </c>
      <c r="U26" t="s">
        <v>286</v>
      </c>
      <c r="V26" t="s">
        <v>289</v>
      </c>
      <c r="W26" t="s">
        <v>104</v>
      </c>
      <c r="X26" t="s">
        <v>104</v>
      </c>
      <c r="Y26" t="s">
        <v>51</v>
      </c>
      <c r="Z26" t="s">
        <v>313</v>
      </c>
      <c r="AA26" t="s">
        <v>142</v>
      </c>
      <c r="AB26" t="s">
        <v>51</v>
      </c>
      <c r="AC26" t="s">
        <v>313</v>
      </c>
      <c r="AD26" t="s">
        <v>251</v>
      </c>
      <c r="AE26" t="s">
        <v>107</v>
      </c>
      <c r="AF26" t="s">
        <v>351</v>
      </c>
      <c r="AG26" t="s">
        <v>354</v>
      </c>
      <c r="AH26" t="s">
        <v>64</v>
      </c>
    </row>
    <row r="27" spans="1:34" x14ac:dyDescent="0.3">
      <c r="A27" t="s">
        <v>456</v>
      </c>
      <c r="B27" t="s">
        <v>457</v>
      </c>
      <c r="C27" t="s">
        <v>44</v>
      </c>
      <c r="D27" t="s">
        <v>204</v>
      </c>
      <c r="E27" t="s">
        <v>104</v>
      </c>
      <c r="F27" t="s">
        <v>458</v>
      </c>
      <c r="G27" t="s">
        <v>169</v>
      </c>
      <c r="H27" t="s">
        <v>104</v>
      </c>
      <c r="I27" t="s">
        <v>72</v>
      </c>
      <c r="J27" t="s">
        <v>51</v>
      </c>
      <c r="K27" t="s">
        <v>104</v>
      </c>
      <c r="L27" t="s">
        <v>104</v>
      </c>
      <c r="Q27" t="s">
        <v>64</v>
      </c>
      <c r="R27" t="s">
        <v>104</v>
      </c>
      <c r="S27" t="s">
        <v>104</v>
      </c>
      <c r="T27" t="s">
        <v>135</v>
      </c>
      <c r="U27" t="s">
        <v>153</v>
      </c>
      <c r="V27" t="s">
        <v>169</v>
      </c>
      <c r="W27" t="s">
        <v>104</v>
      </c>
      <c r="X27" t="s">
        <v>104</v>
      </c>
      <c r="Y27" t="s">
        <v>51</v>
      </c>
      <c r="Z27" t="s">
        <v>313</v>
      </c>
      <c r="AA27" t="s">
        <v>142</v>
      </c>
      <c r="AB27" t="s">
        <v>51</v>
      </c>
      <c r="AC27" t="s">
        <v>313</v>
      </c>
      <c r="AD27" t="s">
        <v>181</v>
      </c>
      <c r="AE27" t="s">
        <v>107</v>
      </c>
      <c r="AF27" t="s">
        <v>351</v>
      </c>
      <c r="AG27" t="s">
        <v>354</v>
      </c>
      <c r="AH27" t="s">
        <v>64</v>
      </c>
    </row>
    <row r="28" spans="1:34" x14ac:dyDescent="0.3">
      <c r="A28" t="s">
        <v>459</v>
      </c>
      <c r="B28" t="s">
        <v>460</v>
      </c>
      <c r="C28" t="s">
        <v>73</v>
      </c>
      <c r="D28" t="s">
        <v>204</v>
      </c>
      <c r="E28" t="s">
        <v>462</v>
      </c>
      <c r="F28" t="s">
        <v>463</v>
      </c>
      <c r="G28" t="s">
        <v>461</v>
      </c>
      <c r="H28" t="s">
        <v>142</v>
      </c>
      <c r="I28" t="s">
        <v>72</v>
      </c>
      <c r="J28" t="s">
        <v>51</v>
      </c>
      <c r="K28" t="s">
        <v>104</v>
      </c>
      <c r="L28" t="s">
        <v>104</v>
      </c>
      <c r="Q28" t="s">
        <v>64</v>
      </c>
      <c r="R28" t="s">
        <v>104</v>
      </c>
      <c r="S28" t="s">
        <v>104</v>
      </c>
      <c r="T28" t="s">
        <v>105</v>
      </c>
      <c r="U28" t="s">
        <v>464</v>
      </c>
      <c r="V28" t="s">
        <v>461</v>
      </c>
      <c r="W28" t="s">
        <v>104</v>
      </c>
      <c r="X28" t="s">
        <v>104</v>
      </c>
      <c r="Y28" t="s">
        <v>51</v>
      </c>
      <c r="Z28" t="s">
        <v>313</v>
      </c>
      <c r="AA28" t="s">
        <v>142</v>
      </c>
      <c r="AB28" t="s">
        <v>51</v>
      </c>
      <c r="AC28" t="s">
        <v>313</v>
      </c>
      <c r="AD28" t="s">
        <v>168</v>
      </c>
      <c r="AE28" t="s">
        <v>107</v>
      </c>
      <c r="AF28" t="s">
        <v>351</v>
      </c>
      <c r="AG28" t="s">
        <v>354</v>
      </c>
      <c r="AH28" t="s">
        <v>64</v>
      </c>
    </row>
    <row r="29" spans="1:34" x14ac:dyDescent="0.3">
      <c r="A29" t="s">
        <v>465</v>
      </c>
      <c r="B29" t="s">
        <v>466</v>
      </c>
      <c r="C29" t="s">
        <v>44</v>
      </c>
      <c r="D29" t="s">
        <v>144</v>
      </c>
      <c r="E29" t="s">
        <v>468</v>
      </c>
      <c r="F29" t="s">
        <v>469</v>
      </c>
      <c r="G29" t="s">
        <v>467</v>
      </c>
      <c r="H29" t="s">
        <v>142</v>
      </c>
      <c r="I29" t="s">
        <v>72</v>
      </c>
      <c r="J29" t="s">
        <v>51</v>
      </c>
      <c r="K29" t="s">
        <v>104</v>
      </c>
      <c r="L29" t="s">
        <v>104</v>
      </c>
      <c r="Q29" t="s">
        <v>64</v>
      </c>
      <c r="R29" t="s">
        <v>104</v>
      </c>
      <c r="S29" t="s">
        <v>104</v>
      </c>
      <c r="T29" t="s">
        <v>105</v>
      </c>
      <c r="U29" t="s">
        <v>470</v>
      </c>
      <c r="V29" t="s">
        <v>467</v>
      </c>
      <c r="W29" t="s">
        <v>104</v>
      </c>
      <c r="X29" t="s">
        <v>104</v>
      </c>
      <c r="Y29" t="s">
        <v>51</v>
      </c>
      <c r="Z29" t="s">
        <v>313</v>
      </c>
      <c r="AA29" t="s">
        <v>142</v>
      </c>
      <c r="AB29" t="s">
        <v>51</v>
      </c>
      <c r="AC29" t="s">
        <v>313</v>
      </c>
      <c r="AD29" t="s">
        <v>225</v>
      </c>
      <c r="AE29" t="s">
        <v>107</v>
      </c>
      <c r="AF29" t="s">
        <v>351</v>
      </c>
      <c r="AG29" t="s">
        <v>354</v>
      </c>
      <c r="AH29" t="s">
        <v>64</v>
      </c>
    </row>
    <row r="30" spans="1:34" x14ac:dyDescent="0.3">
      <c r="A30" t="s">
        <v>471</v>
      </c>
      <c r="B30" t="s">
        <v>472</v>
      </c>
      <c r="C30" t="s">
        <v>73</v>
      </c>
      <c r="D30" t="s">
        <v>144</v>
      </c>
      <c r="E30" t="s">
        <v>474</v>
      </c>
      <c r="F30" t="s">
        <v>475</v>
      </c>
      <c r="G30" t="s">
        <v>473</v>
      </c>
      <c r="H30" t="s">
        <v>142</v>
      </c>
      <c r="I30" t="s">
        <v>72</v>
      </c>
      <c r="J30" t="s">
        <v>51</v>
      </c>
      <c r="K30" t="s">
        <v>104</v>
      </c>
      <c r="L30" t="s">
        <v>104</v>
      </c>
      <c r="Q30" t="s">
        <v>64</v>
      </c>
      <c r="R30" t="s">
        <v>104</v>
      </c>
      <c r="S30" t="s">
        <v>104</v>
      </c>
      <c r="T30" t="s">
        <v>105</v>
      </c>
      <c r="U30" t="s">
        <v>476</v>
      </c>
      <c r="V30" t="s">
        <v>473</v>
      </c>
      <c r="W30" t="s">
        <v>104</v>
      </c>
      <c r="X30" t="s">
        <v>104</v>
      </c>
      <c r="Y30" t="s">
        <v>51</v>
      </c>
      <c r="Z30" t="s">
        <v>313</v>
      </c>
      <c r="AA30" t="s">
        <v>142</v>
      </c>
      <c r="AB30" t="s">
        <v>51</v>
      </c>
      <c r="AC30" t="s">
        <v>313</v>
      </c>
      <c r="AD30" t="s">
        <v>105</v>
      </c>
      <c r="AE30" t="s">
        <v>107</v>
      </c>
      <c r="AF30" t="s">
        <v>351</v>
      </c>
      <c r="AG30" t="s">
        <v>354</v>
      </c>
      <c r="AH30" t="s">
        <v>64</v>
      </c>
    </row>
    <row r="31" spans="1:34" x14ac:dyDescent="0.3">
      <c r="A31" t="s">
        <v>477</v>
      </c>
      <c r="B31" t="s">
        <v>478</v>
      </c>
      <c r="C31" t="s">
        <v>73</v>
      </c>
      <c r="D31" t="s">
        <v>248</v>
      </c>
      <c r="E31" t="s">
        <v>480</v>
      </c>
      <c r="F31" t="s">
        <v>481</v>
      </c>
      <c r="G31" t="s">
        <v>479</v>
      </c>
      <c r="H31" t="s">
        <v>142</v>
      </c>
      <c r="I31" t="s">
        <v>72</v>
      </c>
      <c r="J31" t="s">
        <v>51</v>
      </c>
      <c r="K31" t="s">
        <v>104</v>
      </c>
      <c r="L31" t="s">
        <v>104</v>
      </c>
      <c r="Q31" t="s">
        <v>64</v>
      </c>
      <c r="R31" t="s">
        <v>104</v>
      </c>
      <c r="S31" t="s">
        <v>104</v>
      </c>
      <c r="T31" t="s">
        <v>105</v>
      </c>
      <c r="U31" t="s">
        <v>482</v>
      </c>
      <c r="V31" t="s">
        <v>479</v>
      </c>
      <c r="W31" t="s">
        <v>104</v>
      </c>
      <c r="X31" t="s">
        <v>104</v>
      </c>
      <c r="Y31" t="s">
        <v>51</v>
      </c>
      <c r="Z31" t="s">
        <v>313</v>
      </c>
      <c r="AA31" t="s">
        <v>142</v>
      </c>
      <c r="AB31" t="s">
        <v>51</v>
      </c>
      <c r="AC31" t="s">
        <v>313</v>
      </c>
      <c r="AD31" t="s">
        <v>163</v>
      </c>
      <c r="AE31" t="s">
        <v>107</v>
      </c>
      <c r="AF31" t="s">
        <v>351</v>
      </c>
      <c r="AG31" t="s">
        <v>354</v>
      </c>
      <c r="AH31" t="s">
        <v>64</v>
      </c>
    </row>
    <row r="32" spans="1:34" x14ac:dyDescent="0.3">
      <c r="A32" t="s">
        <v>483</v>
      </c>
      <c r="B32" t="s">
        <v>484</v>
      </c>
      <c r="C32" t="s">
        <v>44</v>
      </c>
      <c r="D32" t="s">
        <v>248</v>
      </c>
      <c r="E32" t="s">
        <v>288</v>
      </c>
      <c r="F32" t="s">
        <v>486</v>
      </c>
      <c r="G32" t="s">
        <v>485</v>
      </c>
      <c r="H32" t="s">
        <v>142</v>
      </c>
      <c r="I32" t="s">
        <v>72</v>
      </c>
      <c r="J32" t="s">
        <v>51</v>
      </c>
      <c r="K32" t="s">
        <v>104</v>
      </c>
      <c r="L32" t="s">
        <v>104</v>
      </c>
      <c r="Q32" t="s">
        <v>64</v>
      </c>
      <c r="R32" t="s">
        <v>104</v>
      </c>
      <c r="S32" t="s">
        <v>104</v>
      </c>
      <c r="T32" t="s">
        <v>105</v>
      </c>
      <c r="U32" t="s">
        <v>482</v>
      </c>
      <c r="V32" t="s">
        <v>485</v>
      </c>
      <c r="W32" t="s">
        <v>104</v>
      </c>
      <c r="X32" t="s">
        <v>104</v>
      </c>
      <c r="Y32" t="s">
        <v>51</v>
      </c>
      <c r="Z32" t="s">
        <v>313</v>
      </c>
      <c r="AA32" t="s">
        <v>142</v>
      </c>
      <c r="AB32" t="s">
        <v>51</v>
      </c>
      <c r="AC32" t="s">
        <v>313</v>
      </c>
      <c r="AD32" t="s">
        <v>279</v>
      </c>
      <c r="AE32" t="s">
        <v>107</v>
      </c>
      <c r="AF32" t="s">
        <v>351</v>
      </c>
      <c r="AG32" t="s">
        <v>354</v>
      </c>
      <c r="AH32" t="s">
        <v>64</v>
      </c>
    </row>
    <row r="33" spans="1:34" x14ac:dyDescent="0.3">
      <c r="A33" t="s">
        <v>487</v>
      </c>
      <c r="B33" t="s">
        <v>488</v>
      </c>
      <c r="C33" t="s">
        <v>73</v>
      </c>
      <c r="D33" t="s">
        <v>154</v>
      </c>
      <c r="E33" t="s">
        <v>490</v>
      </c>
      <c r="F33" t="s">
        <v>491</v>
      </c>
      <c r="G33" t="s">
        <v>489</v>
      </c>
      <c r="H33" t="s">
        <v>142</v>
      </c>
      <c r="I33" t="s">
        <v>72</v>
      </c>
      <c r="J33" t="s">
        <v>51</v>
      </c>
      <c r="K33" t="s">
        <v>104</v>
      </c>
      <c r="L33" t="s">
        <v>104</v>
      </c>
      <c r="Q33" t="s">
        <v>64</v>
      </c>
      <c r="R33" t="s">
        <v>104</v>
      </c>
      <c r="S33" t="s">
        <v>104</v>
      </c>
      <c r="T33" t="s">
        <v>105</v>
      </c>
      <c r="U33" t="s">
        <v>198</v>
      </c>
      <c r="V33" t="s">
        <v>489</v>
      </c>
      <c r="W33" t="s">
        <v>104</v>
      </c>
      <c r="X33" t="s">
        <v>104</v>
      </c>
      <c r="Y33" t="s">
        <v>51</v>
      </c>
      <c r="Z33" t="s">
        <v>313</v>
      </c>
      <c r="AA33" t="s">
        <v>142</v>
      </c>
      <c r="AB33" t="s">
        <v>51</v>
      </c>
      <c r="AC33" t="s">
        <v>313</v>
      </c>
      <c r="AD33" t="s">
        <v>134</v>
      </c>
      <c r="AE33" t="s">
        <v>107</v>
      </c>
      <c r="AF33" t="s">
        <v>351</v>
      </c>
      <c r="AG33" t="s">
        <v>354</v>
      </c>
      <c r="AH33" t="s">
        <v>64</v>
      </c>
    </row>
    <row r="34" spans="1:34" x14ac:dyDescent="0.3">
      <c r="A34" t="s">
        <v>492</v>
      </c>
      <c r="B34" t="s">
        <v>493</v>
      </c>
      <c r="C34" t="s">
        <v>44</v>
      </c>
      <c r="D34" t="s">
        <v>154</v>
      </c>
      <c r="E34" t="s">
        <v>174</v>
      </c>
      <c r="F34" t="s">
        <v>314</v>
      </c>
      <c r="G34" t="s">
        <v>276</v>
      </c>
      <c r="H34" t="s">
        <v>142</v>
      </c>
      <c r="I34" t="s">
        <v>72</v>
      </c>
      <c r="J34" t="s">
        <v>51</v>
      </c>
      <c r="K34" t="s">
        <v>104</v>
      </c>
      <c r="L34" t="s">
        <v>104</v>
      </c>
      <c r="Q34" t="s">
        <v>64</v>
      </c>
      <c r="R34" t="s">
        <v>104</v>
      </c>
      <c r="S34" t="s">
        <v>104</v>
      </c>
      <c r="T34" t="s">
        <v>119</v>
      </c>
      <c r="U34" t="s">
        <v>189</v>
      </c>
      <c r="V34" t="s">
        <v>276</v>
      </c>
      <c r="W34" t="s">
        <v>104</v>
      </c>
      <c r="X34" t="s">
        <v>104</v>
      </c>
      <c r="Y34" t="s">
        <v>51</v>
      </c>
      <c r="Z34" t="s">
        <v>313</v>
      </c>
      <c r="AA34" t="s">
        <v>142</v>
      </c>
      <c r="AB34" t="s">
        <v>51</v>
      </c>
      <c r="AC34" t="s">
        <v>313</v>
      </c>
      <c r="AD34" t="s">
        <v>293</v>
      </c>
      <c r="AE34" t="s">
        <v>107</v>
      </c>
      <c r="AF34" t="s">
        <v>351</v>
      </c>
      <c r="AG34" t="s">
        <v>354</v>
      </c>
      <c r="AH34" t="s">
        <v>64</v>
      </c>
    </row>
    <row r="35" spans="1:34" x14ac:dyDescent="0.3">
      <c r="A35" t="s">
        <v>494</v>
      </c>
      <c r="B35" t="s">
        <v>495</v>
      </c>
      <c r="C35" t="s">
        <v>44</v>
      </c>
      <c r="D35" t="s">
        <v>158</v>
      </c>
      <c r="E35" t="s">
        <v>344</v>
      </c>
      <c r="F35" t="s">
        <v>496</v>
      </c>
      <c r="G35" t="s">
        <v>106</v>
      </c>
      <c r="H35" t="s">
        <v>142</v>
      </c>
      <c r="I35" t="s">
        <v>72</v>
      </c>
      <c r="J35" t="s">
        <v>51</v>
      </c>
      <c r="K35" t="s">
        <v>104</v>
      </c>
      <c r="L35" t="s">
        <v>104</v>
      </c>
      <c r="Q35" t="s">
        <v>64</v>
      </c>
      <c r="R35" t="s">
        <v>104</v>
      </c>
      <c r="S35" t="s">
        <v>104</v>
      </c>
      <c r="T35" t="s">
        <v>256</v>
      </c>
      <c r="U35" t="s">
        <v>185</v>
      </c>
      <c r="V35" t="s">
        <v>106</v>
      </c>
      <c r="W35" t="s">
        <v>104</v>
      </c>
      <c r="X35" t="s">
        <v>104</v>
      </c>
      <c r="Y35" t="s">
        <v>51</v>
      </c>
      <c r="Z35" t="s">
        <v>313</v>
      </c>
      <c r="AA35" t="s">
        <v>142</v>
      </c>
      <c r="AB35" t="s">
        <v>51</v>
      </c>
      <c r="AC35" t="s">
        <v>313</v>
      </c>
      <c r="AD35" t="s">
        <v>324</v>
      </c>
      <c r="AE35" t="s">
        <v>107</v>
      </c>
      <c r="AF35" t="s">
        <v>351</v>
      </c>
      <c r="AG35" t="s">
        <v>354</v>
      </c>
      <c r="AH35" t="s">
        <v>64</v>
      </c>
    </row>
    <row r="36" spans="1:34" x14ac:dyDescent="0.3">
      <c r="A36" t="s">
        <v>497</v>
      </c>
      <c r="B36" t="s">
        <v>498</v>
      </c>
      <c r="C36" t="s">
        <v>73</v>
      </c>
      <c r="D36" t="s">
        <v>206</v>
      </c>
      <c r="E36" t="s">
        <v>500</v>
      </c>
      <c r="F36" t="s">
        <v>501</v>
      </c>
      <c r="G36" t="s">
        <v>499</v>
      </c>
      <c r="H36" t="s">
        <v>142</v>
      </c>
      <c r="I36" t="s">
        <v>72</v>
      </c>
      <c r="J36" t="s">
        <v>51</v>
      </c>
      <c r="K36" t="s">
        <v>104</v>
      </c>
      <c r="L36" t="s">
        <v>104</v>
      </c>
      <c r="Q36" t="s">
        <v>64</v>
      </c>
      <c r="R36" t="s">
        <v>104</v>
      </c>
      <c r="S36" t="s">
        <v>104</v>
      </c>
      <c r="T36" t="s">
        <v>251</v>
      </c>
      <c r="U36" t="s">
        <v>178</v>
      </c>
      <c r="V36" t="s">
        <v>499</v>
      </c>
      <c r="W36" t="s">
        <v>104</v>
      </c>
      <c r="X36" t="s">
        <v>104</v>
      </c>
      <c r="Y36" t="s">
        <v>51</v>
      </c>
      <c r="Z36" t="s">
        <v>313</v>
      </c>
      <c r="AA36" t="s">
        <v>142</v>
      </c>
      <c r="AB36" t="s">
        <v>51</v>
      </c>
      <c r="AC36" t="s">
        <v>313</v>
      </c>
      <c r="AD36" t="s">
        <v>502</v>
      </c>
      <c r="AE36" t="s">
        <v>107</v>
      </c>
      <c r="AF36" t="s">
        <v>351</v>
      </c>
      <c r="AG36" t="s">
        <v>354</v>
      </c>
      <c r="AH36" t="s">
        <v>64</v>
      </c>
    </row>
    <row r="37" spans="1:34" x14ac:dyDescent="0.3">
      <c r="A37" t="s">
        <v>503</v>
      </c>
      <c r="B37" t="s">
        <v>504</v>
      </c>
      <c r="C37" t="s">
        <v>44</v>
      </c>
      <c r="D37" t="s">
        <v>206</v>
      </c>
      <c r="E37" t="s">
        <v>506</v>
      </c>
      <c r="F37" t="s">
        <v>507</v>
      </c>
      <c r="G37" t="s">
        <v>505</v>
      </c>
      <c r="H37" t="s">
        <v>142</v>
      </c>
      <c r="I37" t="s">
        <v>72</v>
      </c>
      <c r="J37" t="s">
        <v>51</v>
      </c>
      <c r="K37" t="s">
        <v>104</v>
      </c>
      <c r="L37" t="s">
        <v>104</v>
      </c>
      <c r="Q37" t="s">
        <v>64</v>
      </c>
      <c r="R37" t="s">
        <v>104</v>
      </c>
      <c r="S37" t="s">
        <v>104</v>
      </c>
      <c r="T37" t="s">
        <v>105</v>
      </c>
      <c r="U37" t="s">
        <v>109</v>
      </c>
      <c r="V37" t="s">
        <v>505</v>
      </c>
      <c r="W37" t="s">
        <v>104</v>
      </c>
      <c r="X37" t="s">
        <v>104</v>
      </c>
      <c r="Y37" t="s">
        <v>51</v>
      </c>
      <c r="Z37" t="s">
        <v>313</v>
      </c>
      <c r="AA37" t="s">
        <v>142</v>
      </c>
      <c r="AB37" t="s">
        <v>51</v>
      </c>
      <c r="AC37" t="s">
        <v>313</v>
      </c>
      <c r="AD37" t="s">
        <v>508</v>
      </c>
      <c r="AE37" t="s">
        <v>107</v>
      </c>
      <c r="AF37" t="s">
        <v>351</v>
      </c>
      <c r="AG37" t="s">
        <v>354</v>
      </c>
      <c r="AH37" t="s">
        <v>64</v>
      </c>
    </row>
    <row r="38" spans="1:34" x14ac:dyDescent="0.3">
      <c r="A38" t="s">
        <v>509</v>
      </c>
      <c r="B38" t="s">
        <v>510</v>
      </c>
      <c r="C38" t="s">
        <v>44</v>
      </c>
      <c r="D38" t="s">
        <v>210</v>
      </c>
      <c r="E38" t="s">
        <v>512</v>
      </c>
      <c r="F38" t="s">
        <v>513</v>
      </c>
      <c r="G38" t="s">
        <v>511</v>
      </c>
      <c r="H38" t="s">
        <v>142</v>
      </c>
      <c r="I38" t="s">
        <v>72</v>
      </c>
      <c r="J38" t="s">
        <v>51</v>
      </c>
      <c r="K38" t="s">
        <v>104</v>
      </c>
      <c r="L38" t="s">
        <v>104</v>
      </c>
      <c r="Q38" t="s">
        <v>64</v>
      </c>
      <c r="R38" t="s">
        <v>104</v>
      </c>
      <c r="S38" t="s">
        <v>104</v>
      </c>
      <c r="T38" t="s">
        <v>105</v>
      </c>
      <c r="U38" t="s">
        <v>167</v>
      </c>
      <c r="V38" t="s">
        <v>511</v>
      </c>
      <c r="W38" t="s">
        <v>104</v>
      </c>
      <c r="X38" t="s">
        <v>104</v>
      </c>
      <c r="Y38" t="s">
        <v>51</v>
      </c>
      <c r="Z38" t="s">
        <v>313</v>
      </c>
      <c r="AA38" t="s">
        <v>142</v>
      </c>
      <c r="AB38" t="s">
        <v>51</v>
      </c>
      <c r="AC38" t="s">
        <v>313</v>
      </c>
      <c r="AD38" t="s">
        <v>310</v>
      </c>
      <c r="AE38" t="s">
        <v>107</v>
      </c>
      <c r="AF38" t="s">
        <v>351</v>
      </c>
      <c r="AG38" t="s">
        <v>354</v>
      </c>
      <c r="AH38" t="s">
        <v>64</v>
      </c>
    </row>
    <row r="39" spans="1:34" x14ac:dyDescent="0.3">
      <c r="A39" t="s">
        <v>514</v>
      </c>
      <c r="B39" t="s">
        <v>515</v>
      </c>
      <c r="C39" t="s">
        <v>73</v>
      </c>
      <c r="D39" t="s">
        <v>210</v>
      </c>
      <c r="E39" t="s">
        <v>517</v>
      </c>
      <c r="F39" t="s">
        <v>518</v>
      </c>
      <c r="G39" t="s">
        <v>516</v>
      </c>
      <c r="H39" t="s">
        <v>142</v>
      </c>
      <c r="I39" t="s">
        <v>72</v>
      </c>
      <c r="J39" t="s">
        <v>51</v>
      </c>
      <c r="K39" t="s">
        <v>104</v>
      </c>
      <c r="L39" t="s">
        <v>104</v>
      </c>
      <c r="Q39" t="s">
        <v>64</v>
      </c>
      <c r="R39" t="s">
        <v>104</v>
      </c>
      <c r="S39" t="s">
        <v>104</v>
      </c>
      <c r="T39" t="s">
        <v>135</v>
      </c>
      <c r="U39" t="s">
        <v>234</v>
      </c>
      <c r="V39" t="s">
        <v>516</v>
      </c>
      <c r="W39" t="s">
        <v>104</v>
      </c>
      <c r="X39" t="s">
        <v>104</v>
      </c>
      <c r="Y39" t="s">
        <v>51</v>
      </c>
      <c r="Z39" t="s">
        <v>313</v>
      </c>
      <c r="AA39" t="s">
        <v>142</v>
      </c>
      <c r="AB39" t="s">
        <v>51</v>
      </c>
      <c r="AC39" t="s">
        <v>313</v>
      </c>
      <c r="AD39" t="s">
        <v>244</v>
      </c>
      <c r="AE39" t="s">
        <v>107</v>
      </c>
      <c r="AF39" t="s">
        <v>351</v>
      </c>
      <c r="AG39" t="s">
        <v>354</v>
      </c>
      <c r="AH39" t="s">
        <v>64</v>
      </c>
    </row>
    <row r="40" spans="1:34" x14ac:dyDescent="0.3">
      <c r="A40" t="s">
        <v>519</v>
      </c>
      <c r="B40" t="s">
        <v>520</v>
      </c>
      <c r="C40" t="s">
        <v>73</v>
      </c>
      <c r="D40" t="s">
        <v>177</v>
      </c>
      <c r="E40" t="s">
        <v>522</v>
      </c>
      <c r="F40" t="s">
        <v>523</v>
      </c>
      <c r="G40" t="s">
        <v>521</v>
      </c>
      <c r="H40" t="s">
        <v>142</v>
      </c>
      <c r="I40" t="s">
        <v>72</v>
      </c>
      <c r="J40" t="s">
        <v>51</v>
      </c>
      <c r="K40" t="s">
        <v>104</v>
      </c>
      <c r="L40" t="s">
        <v>104</v>
      </c>
      <c r="Q40" t="s">
        <v>64</v>
      </c>
      <c r="R40" t="s">
        <v>104</v>
      </c>
      <c r="S40" t="s">
        <v>104</v>
      </c>
      <c r="T40" t="s">
        <v>105</v>
      </c>
      <c r="U40" t="s">
        <v>160</v>
      </c>
      <c r="V40" t="s">
        <v>521</v>
      </c>
      <c r="W40" t="s">
        <v>104</v>
      </c>
      <c r="X40" t="s">
        <v>104</v>
      </c>
      <c r="Y40" t="s">
        <v>51</v>
      </c>
      <c r="Z40" t="s">
        <v>313</v>
      </c>
      <c r="AA40" t="s">
        <v>142</v>
      </c>
      <c r="AB40" t="s">
        <v>51</v>
      </c>
      <c r="AC40" t="s">
        <v>313</v>
      </c>
      <c r="AD40" t="s">
        <v>130</v>
      </c>
      <c r="AE40" t="s">
        <v>107</v>
      </c>
      <c r="AF40" t="s">
        <v>351</v>
      </c>
      <c r="AG40" t="s">
        <v>354</v>
      </c>
      <c r="AH40" t="s">
        <v>64</v>
      </c>
    </row>
    <row r="41" spans="1:34" x14ac:dyDescent="0.3">
      <c r="A41" t="s">
        <v>524</v>
      </c>
      <c r="B41" t="s">
        <v>525</v>
      </c>
      <c r="C41" t="s">
        <v>44</v>
      </c>
      <c r="D41" t="s">
        <v>177</v>
      </c>
      <c r="E41" t="s">
        <v>240</v>
      </c>
      <c r="F41" t="s">
        <v>527</v>
      </c>
      <c r="G41" t="s">
        <v>526</v>
      </c>
      <c r="H41" t="s">
        <v>105</v>
      </c>
      <c r="I41" t="s">
        <v>72</v>
      </c>
      <c r="J41" t="s">
        <v>51</v>
      </c>
      <c r="K41" t="s">
        <v>104</v>
      </c>
      <c r="L41" t="s">
        <v>104</v>
      </c>
      <c r="Q41" t="s">
        <v>64</v>
      </c>
      <c r="R41" t="s">
        <v>104</v>
      </c>
      <c r="S41" t="s">
        <v>104</v>
      </c>
      <c r="T41" t="s">
        <v>105</v>
      </c>
      <c r="U41" t="s">
        <v>160</v>
      </c>
      <c r="V41" t="s">
        <v>526</v>
      </c>
      <c r="W41" t="s">
        <v>104</v>
      </c>
      <c r="X41" t="s">
        <v>104</v>
      </c>
      <c r="Y41" t="s">
        <v>51</v>
      </c>
      <c r="Z41" t="s">
        <v>313</v>
      </c>
      <c r="AA41" t="s">
        <v>142</v>
      </c>
      <c r="AB41" t="s">
        <v>51</v>
      </c>
      <c r="AC41" t="s">
        <v>313</v>
      </c>
      <c r="AD41" t="s">
        <v>236</v>
      </c>
      <c r="AE41" t="s">
        <v>107</v>
      </c>
      <c r="AF41" t="s">
        <v>351</v>
      </c>
      <c r="AG41" t="s">
        <v>354</v>
      </c>
      <c r="AH41" t="s">
        <v>64</v>
      </c>
    </row>
    <row r="42" spans="1:34" x14ac:dyDescent="0.3">
      <c r="A42" t="s">
        <v>528</v>
      </c>
      <c r="B42" t="s">
        <v>529</v>
      </c>
      <c r="C42" t="s">
        <v>73</v>
      </c>
      <c r="D42" t="s">
        <v>211</v>
      </c>
      <c r="E42" t="s">
        <v>530</v>
      </c>
      <c r="F42" t="s">
        <v>531</v>
      </c>
      <c r="G42" t="s">
        <v>290</v>
      </c>
      <c r="H42" t="s">
        <v>142</v>
      </c>
      <c r="I42" t="s">
        <v>72</v>
      </c>
      <c r="J42" t="s">
        <v>51</v>
      </c>
      <c r="K42" t="s">
        <v>104</v>
      </c>
      <c r="L42" t="s">
        <v>104</v>
      </c>
      <c r="Q42" t="s">
        <v>64</v>
      </c>
      <c r="R42" t="s">
        <v>104</v>
      </c>
      <c r="S42" t="s">
        <v>104</v>
      </c>
      <c r="T42" t="s">
        <v>105</v>
      </c>
      <c r="U42" t="s">
        <v>122</v>
      </c>
      <c r="V42" t="s">
        <v>290</v>
      </c>
      <c r="W42" t="s">
        <v>104</v>
      </c>
      <c r="X42" t="s">
        <v>104</v>
      </c>
      <c r="Y42" t="s">
        <v>51</v>
      </c>
      <c r="Z42" t="s">
        <v>313</v>
      </c>
      <c r="AA42" t="s">
        <v>142</v>
      </c>
      <c r="AB42" t="s">
        <v>51</v>
      </c>
      <c r="AC42" t="s">
        <v>313</v>
      </c>
      <c r="AD42" t="s">
        <v>257</v>
      </c>
      <c r="AE42" t="s">
        <v>107</v>
      </c>
      <c r="AF42" t="s">
        <v>351</v>
      </c>
      <c r="AG42" t="s">
        <v>354</v>
      </c>
      <c r="AH42" t="s">
        <v>64</v>
      </c>
    </row>
    <row r="43" spans="1:34" x14ac:dyDescent="0.3">
      <c r="A43" t="s">
        <v>532</v>
      </c>
      <c r="B43" t="s">
        <v>533</v>
      </c>
      <c r="C43" t="s">
        <v>44</v>
      </c>
      <c r="D43" t="s">
        <v>211</v>
      </c>
      <c r="E43" t="s">
        <v>535</v>
      </c>
      <c r="F43" t="s">
        <v>536</v>
      </c>
      <c r="G43" t="s">
        <v>534</v>
      </c>
      <c r="H43" t="s">
        <v>142</v>
      </c>
      <c r="I43" t="s">
        <v>72</v>
      </c>
      <c r="J43" t="s">
        <v>51</v>
      </c>
      <c r="K43" t="s">
        <v>104</v>
      </c>
      <c r="L43" t="s">
        <v>104</v>
      </c>
      <c r="Q43" t="s">
        <v>64</v>
      </c>
      <c r="R43" t="s">
        <v>104</v>
      </c>
      <c r="S43" t="s">
        <v>104</v>
      </c>
      <c r="T43" t="s">
        <v>105</v>
      </c>
      <c r="U43" t="s">
        <v>165</v>
      </c>
      <c r="V43" t="s">
        <v>534</v>
      </c>
      <c r="W43" t="s">
        <v>104</v>
      </c>
      <c r="X43" t="s">
        <v>104</v>
      </c>
      <c r="Y43" t="s">
        <v>51</v>
      </c>
      <c r="Z43" t="s">
        <v>313</v>
      </c>
      <c r="AA43" t="s">
        <v>142</v>
      </c>
      <c r="AB43" t="s">
        <v>51</v>
      </c>
      <c r="AC43" t="s">
        <v>313</v>
      </c>
      <c r="AD43" t="s">
        <v>222</v>
      </c>
      <c r="AE43" t="s">
        <v>107</v>
      </c>
      <c r="AF43" t="s">
        <v>351</v>
      </c>
      <c r="AG43" t="s">
        <v>354</v>
      </c>
      <c r="AH43" t="s">
        <v>64</v>
      </c>
    </row>
    <row r="44" spans="1:34" x14ac:dyDescent="0.3">
      <c r="A44" t="s">
        <v>537</v>
      </c>
      <c r="B44" t="s">
        <v>538</v>
      </c>
      <c r="C44" t="s">
        <v>73</v>
      </c>
      <c r="D44" t="s">
        <v>182</v>
      </c>
      <c r="E44" t="s">
        <v>540</v>
      </c>
      <c r="F44" t="s">
        <v>541</v>
      </c>
      <c r="G44" t="s">
        <v>539</v>
      </c>
      <c r="H44" t="s">
        <v>142</v>
      </c>
      <c r="I44" t="s">
        <v>72</v>
      </c>
      <c r="J44" t="s">
        <v>51</v>
      </c>
      <c r="K44" t="s">
        <v>104</v>
      </c>
      <c r="L44" t="s">
        <v>104</v>
      </c>
      <c r="Q44" t="s">
        <v>64</v>
      </c>
      <c r="R44" t="s">
        <v>104</v>
      </c>
      <c r="S44" t="s">
        <v>104</v>
      </c>
      <c r="T44" t="s">
        <v>134</v>
      </c>
      <c r="U44" t="s">
        <v>161</v>
      </c>
      <c r="V44" t="s">
        <v>539</v>
      </c>
      <c r="W44" t="s">
        <v>104</v>
      </c>
      <c r="X44" t="s">
        <v>104</v>
      </c>
      <c r="Y44" t="s">
        <v>51</v>
      </c>
      <c r="Z44" t="s">
        <v>313</v>
      </c>
      <c r="AA44" t="s">
        <v>104</v>
      </c>
      <c r="AB44" t="s">
        <v>51</v>
      </c>
      <c r="AC44" t="s">
        <v>313</v>
      </c>
      <c r="AD44" t="s">
        <v>542</v>
      </c>
      <c r="AE44" t="s">
        <v>107</v>
      </c>
      <c r="AF44" t="s">
        <v>351</v>
      </c>
      <c r="AG44" t="s">
        <v>354</v>
      </c>
      <c r="AH44" t="s">
        <v>64</v>
      </c>
    </row>
    <row r="45" spans="1:34" x14ac:dyDescent="0.3">
      <c r="A45" t="s">
        <v>543</v>
      </c>
      <c r="B45" t="s">
        <v>544</v>
      </c>
      <c r="C45" t="s">
        <v>44</v>
      </c>
      <c r="D45" t="s">
        <v>182</v>
      </c>
      <c r="E45" t="s">
        <v>534</v>
      </c>
      <c r="F45" t="s">
        <v>545</v>
      </c>
      <c r="G45" t="s">
        <v>312</v>
      </c>
      <c r="H45" t="s">
        <v>104</v>
      </c>
      <c r="I45" t="s">
        <v>72</v>
      </c>
      <c r="J45" t="s">
        <v>51</v>
      </c>
      <c r="K45" t="s">
        <v>104</v>
      </c>
      <c r="L45" t="s">
        <v>104</v>
      </c>
      <c r="Q45" t="s">
        <v>64</v>
      </c>
      <c r="R45" t="s">
        <v>104</v>
      </c>
      <c r="S45" t="s">
        <v>104</v>
      </c>
      <c r="T45" t="s">
        <v>105</v>
      </c>
      <c r="U45" t="s">
        <v>161</v>
      </c>
      <c r="V45" t="s">
        <v>312</v>
      </c>
      <c r="W45" t="s">
        <v>104</v>
      </c>
      <c r="X45" t="s">
        <v>104</v>
      </c>
      <c r="Y45" t="s">
        <v>51</v>
      </c>
      <c r="Z45" t="s">
        <v>313</v>
      </c>
      <c r="AA45" t="s">
        <v>104</v>
      </c>
      <c r="AB45" t="s">
        <v>51</v>
      </c>
      <c r="AC45" t="s">
        <v>313</v>
      </c>
      <c r="AD45" t="s">
        <v>546</v>
      </c>
      <c r="AE45" t="s">
        <v>107</v>
      </c>
      <c r="AF45" t="s">
        <v>351</v>
      </c>
      <c r="AG45" t="s">
        <v>354</v>
      </c>
      <c r="AH45" t="s">
        <v>64</v>
      </c>
    </row>
    <row r="46" spans="1:34" x14ac:dyDescent="0.3">
      <c r="A46" t="s">
        <v>547</v>
      </c>
      <c r="B46" t="s">
        <v>548</v>
      </c>
      <c r="C46" t="s">
        <v>73</v>
      </c>
      <c r="D46" t="s">
        <v>219</v>
      </c>
      <c r="E46" t="s">
        <v>550</v>
      </c>
      <c r="F46" t="s">
        <v>551</v>
      </c>
      <c r="G46" t="s">
        <v>549</v>
      </c>
      <c r="H46" t="s">
        <v>142</v>
      </c>
      <c r="I46" t="s">
        <v>72</v>
      </c>
      <c r="J46" t="s">
        <v>51</v>
      </c>
      <c r="K46" t="s">
        <v>104</v>
      </c>
      <c r="L46" t="s">
        <v>104</v>
      </c>
      <c r="Q46" t="s">
        <v>64</v>
      </c>
      <c r="R46" t="s">
        <v>104</v>
      </c>
      <c r="S46" t="s">
        <v>104</v>
      </c>
      <c r="T46" t="s">
        <v>105</v>
      </c>
      <c r="U46" t="s">
        <v>285</v>
      </c>
      <c r="V46" t="s">
        <v>549</v>
      </c>
      <c r="W46" t="s">
        <v>104</v>
      </c>
      <c r="X46" t="s">
        <v>104</v>
      </c>
      <c r="Y46" t="s">
        <v>51</v>
      </c>
      <c r="Z46" t="s">
        <v>313</v>
      </c>
      <c r="AA46" t="s">
        <v>104</v>
      </c>
      <c r="AB46" t="s">
        <v>51</v>
      </c>
      <c r="AC46" t="s">
        <v>313</v>
      </c>
      <c r="AD46" t="s">
        <v>552</v>
      </c>
      <c r="AE46" t="s">
        <v>107</v>
      </c>
      <c r="AF46" t="s">
        <v>351</v>
      </c>
      <c r="AG46" t="s">
        <v>354</v>
      </c>
      <c r="AH46" t="s">
        <v>64</v>
      </c>
    </row>
    <row r="47" spans="1:34" x14ac:dyDescent="0.3">
      <c r="A47" t="s">
        <v>553</v>
      </c>
      <c r="B47" t="s">
        <v>554</v>
      </c>
      <c r="C47" t="s">
        <v>44</v>
      </c>
      <c r="D47" t="s">
        <v>219</v>
      </c>
      <c r="E47" t="s">
        <v>104</v>
      </c>
      <c r="F47" t="s">
        <v>328</v>
      </c>
      <c r="G47" t="s">
        <v>555</v>
      </c>
      <c r="H47" t="s">
        <v>104</v>
      </c>
      <c r="I47" t="s">
        <v>72</v>
      </c>
      <c r="J47" t="s">
        <v>51</v>
      </c>
      <c r="K47" t="s">
        <v>104</v>
      </c>
      <c r="L47" t="s">
        <v>104</v>
      </c>
      <c r="Q47" t="s">
        <v>64</v>
      </c>
      <c r="R47" t="s">
        <v>104</v>
      </c>
      <c r="S47" t="s">
        <v>104</v>
      </c>
      <c r="T47" t="s">
        <v>105</v>
      </c>
      <c r="U47" t="s">
        <v>285</v>
      </c>
      <c r="V47" t="s">
        <v>555</v>
      </c>
      <c r="W47" t="s">
        <v>104</v>
      </c>
      <c r="X47" t="s">
        <v>104</v>
      </c>
      <c r="Y47" t="s">
        <v>51</v>
      </c>
      <c r="Z47" t="s">
        <v>313</v>
      </c>
      <c r="AA47" t="s">
        <v>142</v>
      </c>
      <c r="AB47" t="s">
        <v>51</v>
      </c>
      <c r="AC47" t="s">
        <v>313</v>
      </c>
      <c r="AD47" t="s">
        <v>265</v>
      </c>
      <c r="AE47" t="s">
        <v>107</v>
      </c>
      <c r="AF47" t="s">
        <v>351</v>
      </c>
      <c r="AG47" t="s">
        <v>354</v>
      </c>
      <c r="AH47" t="s">
        <v>64</v>
      </c>
    </row>
    <row r="48" spans="1:34" x14ac:dyDescent="0.3">
      <c r="A48" t="s">
        <v>556</v>
      </c>
      <c r="B48" t="s">
        <v>557</v>
      </c>
      <c r="C48" t="s">
        <v>73</v>
      </c>
      <c r="D48" t="s">
        <v>188</v>
      </c>
      <c r="E48" t="s">
        <v>559</v>
      </c>
      <c r="F48" t="s">
        <v>560</v>
      </c>
      <c r="G48" t="s">
        <v>558</v>
      </c>
      <c r="H48" t="s">
        <v>142</v>
      </c>
      <c r="I48" t="s">
        <v>72</v>
      </c>
      <c r="J48" t="s">
        <v>51</v>
      </c>
      <c r="K48" t="s">
        <v>104</v>
      </c>
      <c r="L48" t="s">
        <v>104</v>
      </c>
      <c r="Q48" t="s">
        <v>64</v>
      </c>
      <c r="R48" t="s">
        <v>104</v>
      </c>
      <c r="S48" t="s">
        <v>104</v>
      </c>
      <c r="T48" t="s">
        <v>155</v>
      </c>
      <c r="U48" t="s">
        <v>561</v>
      </c>
      <c r="V48" t="s">
        <v>558</v>
      </c>
      <c r="W48" t="s">
        <v>104</v>
      </c>
      <c r="X48" t="s">
        <v>104</v>
      </c>
      <c r="Y48" t="s">
        <v>51</v>
      </c>
      <c r="Z48" t="s">
        <v>313</v>
      </c>
      <c r="AA48" t="s">
        <v>104</v>
      </c>
      <c r="AB48" t="s">
        <v>51</v>
      </c>
      <c r="AC48" t="s">
        <v>313</v>
      </c>
      <c r="AD48" t="s">
        <v>137</v>
      </c>
      <c r="AE48" t="s">
        <v>107</v>
      </c>
      <c r="AF48" t="s">
        <v>351</v>
      </c>
      <c r="AG48" t="s">
        <v>354</v>
      </c>
      <c r="AH48" t="s">
        <v>64</v>
      </c>
    </row>
    <row r="49" spans="1:34" x14ac:dyDescent="0.3">
      <c r="A49" t="s">
        <v>562</v>
      </c>
      <c r="B49" t="s">
        <v>563</v>
      </c>
      <c r="C49" t="s">
        <v>44</v>
      </c>
      <c r="D49" t="s">
        <v>188</v>
      </c>
      <c r="E49" t="s">
        <v>104</v>
      </c>
      <c r="F49" t="s">
        <v>565</v>
      </c>
      <c r="G49" t="s">
        <v>564</v>
      </c>
      <c r="H49" t="s">
        <v>104</v>
      </c>
      <c r="I49" t="s">
        <v>72</v>
      </c>
      <c r="J49" t="s">
        <v>51</v>
      </c>
      <c r="K49" t="s">
        <v>104</v>
      </c>
      <c r="L49" t="s">
        <v>104</v>
      </c>
      <c r="Q49" t="s">
        <v>64</v>
      </c>
      <c r="R49" t="s">
        <v>104</v>
      </c>
      <c r="S49" t="s">
        <v>104</v>
      </c>
      <c r="T49" t="s">
        <v>142</v>
      </c>
      <c r="U49" t="s">
        <v>566</v>
      </c>
      <c r="V49" t="s">
        <v>564</v>
      </c>
      <c r="W49" t="s">
        <v>104</v>
      </c>
      <c r="X49" t="s">
        <v>104</v>
      </c>
      <c r="Y49" t="s">
        <v>51</v>
      </c>
      <c r="Z49" t="s">
        <v>313</v>
      </c>
      <c r="AA49" t="s">
        <v>142</v>
      </c>
      <c r="AB49" t="s">
        <v>51</v>
      </c>
      <c r="AC49" t="s">
        <v>313</v>
      </c>
      <c r="AD49" t="s">
        <v>142</v>
      </c>
      <c r="AE49" t="s">
        <v>107</v>
      </c>
      <c r="AF49" t="s">
        <v>351</v>
      </c>
      <c r="AG49" t="s">
        <v>354</v>
      </c>
      <c r="AH49" t="s">
        <v>64</v>
      </c>
    </row>
    <row r="50" spans="1:34" x14ac:dyDescent="0.3">
      <c r="A50" t="s">
        <v>567</v>
      </c>
      <c r="B50" t="s">
        <v>568</v>
      </c>
      <c r="C50" t="s">
        <v>44</v>
      </c>
      <c r="D50" t="s">
        <v>243</v>
      </c>
      <c r="E50" t="s">
        <v>104</v>
      </c>
      <c r="F50" t="s">
        <v>570</v>
      </c>
      <c r="G50" t="s">
        <v>569</v>
      </c>
      <c r="H50" t="s">
        <v>104</v>
      </c>
      <c r="I50" t="s">
        <v>72</v>
      </c>
      <c r="J50" t="s">
        <v>51</v>
      </c>
      <c r="K50" t="s">
        <v>104</v>
      </c>
      <c r="L50" t="s">
        <v>104</v>
      </c>
      <c r="Q50" t="s">
        <v>64</v>
      </c>
      <c r="R50" t="s">
        <v>104</v>
      </c>
      <c r="S50" t="s">
        <v>104</v>
      </c>
      <c r="T50" t="s">
        <v>105</v>
      </c>
      <c r="U50" t="s">
        <v>167</v>
      </c>
      <c r="V50" t="s">
        <v>569</v>
      </c>
      <c r="W50" t="s">
        <v>104</v>
      </c>
      <c r="X50" t="s">
        <v>104</v>
      </c>
      <c r="Y50" t="s">
        <v>51</v>
      </c>
      <c r="Z50" t="s">
        <v>313</v>
      </c>
      <c r="AA50" t="s">
        <v>142</v>
      </c>
      <c r="AB50" t="s">
        <v>51</v>
      </c>
      <c r="AC50" t="s">
        <v>313</v>
      </c>
      <c r="AD50" t="s">
        <v>311</v>
      </c>
      <c r="AE50" t="s">
        <v>107</v>
      </c>
      <c r="AF50" t="s">
        <v>351</v>
      </c>
      <c r="AG50" t="s">
        <v>354</v>
      </c>
      <c r="AH50" t="s">
        <v>64</v>
      </c>
    </row>
    <row r="51" spans="1:34" x14ac:dyDescent="0.3">
      <c r="A51" t="s">
        <v>571</v>
      </c>
      <c r="B51" t="s">
        <v>572</v>
      </c>
      <c r="C51" t="s">
        <v>73</v>
      </c>
      <c r="D51" t="s">
        <v>243</v>
      </c>
      <c r="E51" t="s">
        <v>104</v>
      </c>
      <c r="F51" t="s">
        <v>574</v>
      </c>
      <c r="G51" t="s">
        <v>573</v>
      </c>
      <c r="H51" t="s">
        <v>104</v>
      </c>
      <c r="I51" t="s">
        <v>72</v>
      </c>
      <c r="J51" t="s">
        <v>51</v>
      </c>
      <c r="K51" t="s">
        <v>104</v>
      </c>
      <c r="L51" t="s">
        <v>104</v>
      </c>
      <c r="Q51" t="s">
        <v>64</v>
      </c>
      <c r="R51" t="s">
        <v>104</v>
      </c>
      <c r="S51" t="s">
        <v>104</v>
      </c>
      <c r="T51" t="s">
        <v>251</v>
      </c>
      <c r="U51" t="s">
        <v>178</v>
      </c>
      <c r="V51" t="s">
        <v>573</v>
      </c>
      <c r="W51" t="s">
        <v>104</v>
      </c>
      <c r="X51" t="s">
        <v>104</v>
      </c>
      <c r="Y51" t="s">
        <v>51</v>
      </c>
      <c r="Z51" t="s">
        <v>313</v>
      </c>
      <c r="AA51" t="s">
        <v>105</v>
      </c>
      <c r="AB51" t="s">
        <v>51</v>
      </c>
      <c r="AC51" t="s">
        <v>313</v>
      </c>
      <c r="AD51" t="s">
        <v>320</v>
      </c>
      <c r="AE51" t="s">
        <v>107</v>
      </c>
      <c r="AF51" t="s">
        <v>351</v>
      </c>
      <c r="AG51" t="s">
        <v>354</v>
      </c>
      <c r="AH51" t="s">
        <v>64</v>
      </c>
    </row>
    <row r="52" spans="1:34" x14ac:dyDescent="0.3">
      <c r="A52" t="s">
        <v>575</v>
      </c>
      <c r="B52" t="s">
        <v>576</v>
      </c>
      <c r="C52" t="s">
        <v>44</v>
      </c>
      <c r="D52" t="s">
        <v>190</v>
      </c>
      <c r="E52" t="s">
        <v>578</v>
      </c>
      <c r="F52" t="s">
        <v>579</v>
      </c>
      <c r="G52" t="s">
        <v>577</v>
      </c>
      <c r="H52" t="s">
        <v>142</v>
      </c>
      <c r="I52" t="s">
        <v>72</v>
      </c>
      <c r="J52" t="s">
        <v>51</v>
      </c>
      <c r="K52" t="s">
        <v>104</v>
      </c>
      <c r="L52" t="s">
        <v>104</v>
      </c>
      <c r="Q52" t="s">
        <v>64</v>
      </c>
      <c r="R52" t="s">
        <v>104</v>
      </c>
      <c r="S52" t="s">
        <v>104</v>
      </c>
      <c r="T52" t="s">
        <v>142</v>
      </c>
      <c r="U52" t="s">
        <v>368</v>
      </c>
      <c r="V52" t="s">
        <v>577</v>
      </c>
      <c r="W52" t="s">
        <v>104</v>
      </c>
      <c r="X52" t="s">
        <v>104</v>
      </c>
      <c r="Y52" t="s">
        <v>51</v>
      </c>
      <c r="Z52" t="s">
        <v>313</v>
      </c>
      <c r="AA52" t="s">
        <v>142</v>
      </c>
      <c r="AB52" t="s">
        <v>51</v>
      </c>
      <c r="AC52" t="s">
        <v>313</v>
      </c>
      <c r="AD52" t="s">
        <v>157</v>
      </c>
      <c r="AE52" t="s">
        <v>107</v>
      </c>
      <c r="AF52" t="s">
        <v>351</v>
      </c>
      <c r="AG52" t="s">
        <v>354</v>
      </c>
      <c r="AH52" t="s">
        <v>64</v>
      </c>
    </row>
    <row r="53" spans="1:34" x14ac:dyDescent="0.3">
      <c r="A53" t="s">
        <v>580</v>
      </c>
      <c r="B53" t="s">
        <v>581</v>
      </c>
      <c r="C53" t="s">
        <v>73</v>
      </c>
      <c r="D53" t="s">
        <v>190</v>
      </c>
      <c r="E53" t="s">
        <v>338</v>
      </c>
      <c r="F53" t="s">
        <v>582</v>
      </c>
      <c r="G53" t="s">
        <v>315</v>
      </c>
      <c r="H53" t="s">
        <v>142</v>
      </c>
      <c r="I53" t="s">
        <v>72</v>
      </c>
      <c r="J53" t="s">
        <v>51</v>
      </c>
      <c r="K53" t="s">
        <v>104</v>
      </c>
      <c r="L53" t="s">
        <v>104</v>
      </c>
      <c r="Q53" t="s">
        <v>64</v>
      </c>
      <c r="R53" t="s">
        <v>104</v>
      </c>
      <c r="S53" t="s">
        <v>104</v>
      </c>
      <c r="T53" t="s">
        <v>105</v>
      </c>
      <c r="U53" t="s">
        <v>186</v>
      </c>
      <c r="V53" t="s">
        <v>315</v>
      </c>
      <c r="W53" t="s">
        <v>104</v>
      </c>
      <c r="X53" t="s">
        <v>104</v>
      </c>
      <c r="Y53" t="s">
        <v>51</v>
      </c>
      <c r="Z53" t="s">
        <v>313</v>
      </c>
      <c r="AA53" t="s">
        <v>142</v>
      </c>
      <c r="AB53" t="s">
        <v>51</v>
      </c>
      <c r="AC53" t="s">
        <v>313</v>
      </c>
      <c r="AD53" t="s">
        <v>105</v>
      </c>
      <c r="AE53" t="s">
        <v>107</v>
      </c>
      <c r="AF53" t="s">
        <v>351</v>
      </c>
      <c r="AG53" t="s">
        <v>354</v>
      </c>
      <c r="AH53" t="s">
        <v>64</v>
      </c>
    </row>
    <row r="54" spans="1:34" x14ac:dyDescent="0.3">
      <c r="A54" t="s">
        <v>583</v>
      </c>
      <c r="B54" t="s">
        <v>584</v>
      </c>
      <c r="C54" t="s">
        <v>44</v>
      </c>
      <c r="D54" t="s">
        <v>191</v>
      </c>
      <c r="E54" t="s">
        <v>585</v>
      </c>
      <c r="F54" t="s">
        <v>586</v>
      </c>
      <c r="G54" t="s">
        <v>203</v>
      </c>
      <c r="H54" t="s">
        <v>142</v>
      </c>
      <c r="I54" t="s">
        <v>72</v>
      </c>
      <c r="J54" t="s">
        <v>51</v>
      </c>
      <c r="K54" t="s">
        <v>104</v>
      </c>
      <c r="L54" t="s">
        <v>104</v>
      </c>
      <c r="Q54" t="s">
        <v>64</v>
      </c>
      <c r="R54" t="s">
        <v>104</v>
      </c>
      <c r="S54" t="s">
        <v>104</v>
      </c>
      <c r="T54" t="s">
        <v>142</v>
      </c>
      <c r="U54" t="s">
        <v>587</v>
      </c>
      <c r="V54" t="s">
        <v>203</v>
      </c>
      <c r="W54" t="s">
        <v>104</v>
      </c>
      <c r="X54" t="s">
        <v>104</v>
      </c>
      <c r="Y54" t="s">
        <v>51</v>
      </c>
      <c r="Z54" t="s">
        <v>313</v>
      </c>
      <c r="AA54" t="s">
        <v>142</v>
      </c>
      <c r="AB54" t="s">
        <v>51</v>
      </c>
      <c r="AC54" t="s">
        <v>313</v>
      </c>
      <c r="AD54" t="s">
        <v>138</v>
      </c>
      <c r="AE54" t="s">
        <v>107</v>
      </c>
      <c r="AF54" t="s">
        <v>351</v>
      </c>
      <c r="AG54" t="s">
        <v>354</v>
      </c>
      <c r="AH54" t="s">
        <v>64</v>
      </c>
    </row>
    <row r="55" spans="1:34" x14ac:dyDescent="0.3">
      <c r="A55" t="s">
        <v>588</v>
      </c>
      <c r="B55" t="s">
        <v>589</v>
      </c>
      <c r="C55" t="s">
        <v>73</v>
      </c>
      <c r="D55" t="s">
        <v>191</v>
      </c>
      <c r="E55" t="s">
        <v>591</v>
      </c>
      <c r="F55" t="s">
        <v>592</v>
      </c>
      <c r="G55" t="s">
        <v>590</v>
      </c>
      <c r="H55" t="s">
        <v>142</v>
      </c>
      <c r="I55" t="s">
        <v>72</v>
      </c>
      <c r="J55" t="s">
        <v>51</v>
      </c>
      <c r="K55" t="s">
        <v>104</v>
      </c>
      <c r="L55" t="s">
        <v>104</v>
      </c>
      <c r="Q55" t="s">
        <v>64</v>
      </c>
      <c r="R55" t="s">
        <v>104</v>
      </c>
      <c r="S55" t="s">
        <v>104</v>
      </c>
      <c r="T55" t="s">
        <v>105</v>
      </c>
      <c r="U55" t="s">
        <v>392</v>
      </c>
      <c r="V55" t="s">
        <v>590</v>
      </c>
      <c r="W55" t="s">
        <v>104</v>
      </c>
      <c r="X55" t="s">
        <v>104</v>
      </c>
      <c r="Y55" t="s">
        <v>51</v>
      </c>
      <c r="Z55" t="s">
        <v>313</v>
      </c>
      <c r="AA55" t="s">
        <v>142</v>
      </c>
      <c r="AB55" t="s">
        <v>51</v>
      </c>
      <c r="AC55" t="s">
        <v>313</v>
      </c>
      <c r="AD55" t="s">
        <v>176</v>
      </c>
      <c r="AE55" t="s">
        <v>107</v>
      </c>
      <c r="AF55" t="s">
        <v>351</v>
      </c>
      <c r="AG55" t="s">
        <v>354</v>
      </c>
      <c r="AH55" t="s">
        <v>64</v>
      </c>
    </row>
    <row r="56" spans="1:34" x14ac:dyDescent="0.3">
      <c r="A56" t="s">
        <v>593</v>
      </c>
      <c r="B56" t="s">
        <v>594</v>
      </c>
      <c r="C56" t="s">
        <v>73</v>
      </c>
      <c r="D56" t="s">
        <v>194</v>
      </c>
      <c r="E56" t="s">
        <v>595</v>
      </c>
      <c r="F56" t="s">
        <v>596</v>
      </c>
      <c r="G56" t="s">
        <v>315</v>
      </c>
      <c r="H56" t="s">
        <v>104</v>
      </c>
      <c r="I56" t="s">
        <v>72</v>
      </c>
      <c r="J56" t="s">
        <v>51</v>
      </c>
      <c r="K56" t="s">
        <v>104</v>
      </c>
      <c r="L56" t="s">
        <v>104</v>
      </c>
      <c r="Q56" t="s">
        <v>64</v>
      </c>
      <c r="R56" t="s">
        <v>104</v>
      </c>
      <c r="S56" t="s">
        <v>104</v>
      </c>
      <c r="T56" t="s">
        <v>105</v>
      </c>
      <c r="U56" t="s">
        <v>179</v>
      </c>
      <c r="V56" t="s">
        <v>315</v>
      </c>
      <c r="W56" t="s">
        <v>104</v>
      </c>
      <c r="X56" t="s">
        <v>104</v>
      </c>
      <c r="Y56" t="s">
        <v>51</v>
      </c>
      <c r="Z56" t="s">
        <v>313</v>
      </c>
      <c r="AA56" t="s">
        <v>104</v>
      </c>
      <c r="AB56" t="s">
        <v>51</v>
      </c>
      <c r="AC56" t="s">
        <v>313</v>
      </c>
      <c r="AD56" t="s">
        <v>146</v>
      </c>
      <c r="AE56" t="s">
        <v>107</v>
      </c>
      <c r="AF56" t="s">
        <v>351</v>
      </c>
      <c r="AG56" t="s">
        <v>354</v>
      </c>
      <c r="AH56" t="s">
        <v>64</v>
      </c>
    </row>
    <row r="57" spans="1:34" x14ac:dyDescent="0.3">
      <c r="A57" t="s">
        <v>597</v>
      </c>
      <c r="B57" t="s">
        <v>598</v>
      </c>
      <c r="C57" t="s">
        <v>44</v>
      </c>
      <c r="D57" t="s">
        <v>194</v>
      </c>
      <c r="E57" t="s">
        <v>600</v>
      </c>
      <c r="F57" t="s">
        <v>601</v>
      </c>
      <c r="G57" t="s">
        <v>599</v>
      </c>
      <c r="H57" t="s">
        <v>104</v>
      </c>
      <c r="I57" t="s">
        <v>72</v>
      </c>
      <c r="J57" t="s">
        <v>51</v>
      </c>
      <c r="K57" t="s">
        <v>104</v>
      </c>
      <c r="L57" t="s">
        <v>104</v>
      </c>
      <c r="Q57" t="s">
        <v>64</v>
      </c>
      <c r="R57" t="s">
        <v>104</v>
      </c>
      <c r="S57" t="s">
        <v>104</v>
      </c>
      <c r="T57" t="s">
        <v>142</v>
      </c>
      <c r="U57" t="s">
        <v>160</v>
      </c>
      <c r="V57" t="s">
        <v>599</v>
      </c>
      <c r="W57" t="s">
        <v>104</v>
      </c>
      <c r="X57" t="s">
        <v>104</v>
      </c>
      <c r="Y57" t="s">
        <v>51</v>
      </c>
      <c r="Z57" t="s">
        <v>313</v>
      </c>
      <c r="AA57" t="s">
        <v>104</v>
      </c>
      <c r="AB57" t="s">
        <v>51</v>
      </c>
      <c r="AC57" t="s">
        <v>313</v>
      </c>
      <c r="AD57" t="s">
        <v>175</v>
      </c>
      <c r="AE57" t="s">
        <v>107</v>
      </c>
      <c r="AF57" t="s">
        <v>351</v>
      </c>
      <c r="AG57" t="s">
        <v>354</v>
      </c>
      <c r="AH57" t="s">
        <v>64</v>
      </c>
    </row>
    <row r="58" spans="1:34" x14ac:dyDescent="0.3">
      <c r="A58" t="s">
        <v>602</v>
      </c>
      <c r="B58" t="s">
        <v>603</v>
      </c>
      <c r="C58" t="s">
        <v>73</v>
      </c>
      <c r="D58" t="s">
        <v>235</v>
      </c>
      <c r="E58" t="s">
        <v>605</v>
      </c>
      <c r="F58" t="s">
        <v>307</v>
      </c>
      <c r="G58" t="s">
        <v>604</v>
      </c>
      <c r="H58" t="s">
        <v>142</v>
      </c>
      <c r="I58" t="s">
        <v>72</v>
      </c>
      <c r="J58" t="s">
        <v>51</v>
      </c>
      <c r="K58" t="s">
        <v>104</v>
      </c>
      <c r="L58" t="s">
        <v>104</v>
      </c>
      <c r="Q58" t="s">
        <v>64</v>
      </c>
      <c r="R58" t="s">
        <v>104</v>
      </c>
      <c r="S58" t="s">
        <v>104</v>
      </c>
      <c r="T58" t="s">
        <v>105</v>
      </c>
      <c r="U58" t="s">
        <v>275</v>
      </c>
      <c r="V58" t="s">
        <v>604</v>
      </c>
      <c r="W58" t="s">
        <v>104</v>
      </c>
      <c r="X58" t="s">
        <v>104</v>
      </c>
      <c r="Y58" t="s">
        <v>51</v>
      </c>
      <c r="Z58" t="s">
        <v>313</v>
      </c>
      <c r="AA58" t="s">
        <v>104</v>
      </c>
      <c r="AB58" t="s">
        <v>51</v>
      </c>
      <c r="AC58" t="s">
        <v>313</v>
      </c>
      <c r="AD58" t="s">
        <v>134</v>
      </c>
      <c r="AE58" t="s">
        <v>107</v>
      </c>
      <c r="AF58" t="s">
        <v>351</v>
      </c>
      <c r="AG58" t="s">
        <v>354</v>
      </c>
      <c r="AH58" t="s">
        <v>64</v>
      </c>
    </row>
    <row r="59" spans="1:34" x14ac:dyDescent="0.3">
      <c r="A59" t="s">
        <v>606</v>
      </c>
      <c r="B59" t="s">
        <v>607</v>
      </c>
      <c r="C59" t="s">
        <v>44</v>
      </c>
      <c r="D59" t="s">
        <v>235</v>
      </c>
      <c r="E59" t="s">
        <v>609</v>
      </c>
      <c r="F59" t="s">
        <v>610</v>
      </c>
      <c r="G59" t="s">
        <v>608</v>
      </c>
      <c r="H59" t="s">
        <v>104</v>
      </c>
      <c r="I59" t="s">
        <v>72</v>
      </c>
      <c r="J59" t="s">
        <v>51</v>
      </c>
      <c r="K59" t="s">
        <v>104</v>
      </c>
      <c r="L59" t="s">
        <v>104</v>
      </c>
      <c r="Q59" t="s">
        <v>64</v>
      </c>
      <c r="R59" t="s">
        <v>104</v>
      </c>
      <c r="S59" t="s">
        <v>104</v>
      </c>
      <c r="T59" t="s">
        <v>105</v>
      </c>
      <c r="U59" t="s">
        <v>170</v>
      </c>
      <c r="V59" t="s">
        <v>608</v>
      </c>
      <c r="W59" t="s">
        <v>104</v>
      </c>
      <c r="X59" t="s">
        <v>104</v>
      </c>
      <c r="Y59" t="s">
        <v>51</v>
      </c>
      <c r="Z59" t="s">
        <v>313</v>
      </c>
      <c r="AA59" t="s">
        <v>104</v>
      </c>
      <c r="AB59" t="s">
        <v>51</v>
      </c>
      <c r="AC59" t="s">
        <v>313</v>
      </c>
      <c r="AD59" t="s">
        <v>143</v>
      </c>
      <c r="AE59" t="s">
        <v>107</v>
      </c>
      <c r="AF59" t="s">
        <v>351</v>
      </c>
      <c r="AG59" t="s">
        <v>354</v>
      </c>
      <c r="AH59" t="s">
        <v>64</v>
      </c>
    </row>
    <row r="60" spans="1:34" x14ac:dyDescent="0.3">
      <c r="A60" t="s">
        <v>611</v>
      </c>
      <c r="B60" t="s">
        <v>612</v>
      </c>
      <c r="C60" t="s">
        <v>73</v>
      </c>
      <c r="D60" t="s">
        <v>195</v>
      </c>
      <c r="E60" t="s">
        <v>614</v>
      </c>
      <c r="F60" t="s">
        <v>172</v>
      </c>
      <c r="G60" t="s">
        <v>613</v>
      </c>
      <c r="H60" t="s">
        <v>104</v>
      </c>
      <c r="I60" t="s">
        <v>72</v>
      </c>
      <c r="J60" t="s">
        <v>51</v>
      </c>
      <c r="K60" t="s">
        <v>104</v>
      </c>
      <c r="L60" t="s">
        <v>104</v>
      </c>
      <c r="Q60" t="s">
        <v>64</v>
      </c>
      <c r="R60" t="s">
        <v>104</v>
      </c>
      <c r="S60" t="s">
        <v>104</v>
      </c>
      <c r="T60" t="s">
        <v>105</v>
      </c>
      <c r="U60" t="s">
        <v>615</v>
      </c>
      <c r="V60" t="s">
        <v>613</v>
      </c>
      <c r="W60" t="s">
        <v>104</v>
      </c>
      <c r="X60" t="s">
        <v>104</v>
      </c>
      <c r="Y60" t="s">
        <v>51</v>
      </c>
      <c r="Z60" t="s">
        <v>313</v>
      </c>
      <c r="AA60" t="s">
        <v>104</v>
      </c>
      <c r="AB60" t="s">
        <v>51</v>
      </c>
      <c r="AC60" t="s">
        <v>313</v>
      </c>
      <c r="AD60" t="s">
        <v>151</v>
      </c>
      <c r="AE60" t="s">
        <v>107</v>
      </c>
      <c r="AF60" t="s">
        <v>351</v>
      </c>
      <c r="AG60" t="s">
        <v>354</v>
      </c>
      <c r="AH60" t="s">
        <v>64</v>
      </c>
    </row>
    <row r="61" spans="1:34" x14ac:dyDescent="0.3">
      <c r="A61" t="s">
        <v>616</v>
      </c>
      <c r="B61" t="s">
        <v>617</v>
      </c>
      <c r="C61" t="s">
        <v>44</v>
      </c>
      <c r="D61" t="s">
        <v>195</v>
      </c>
      <c r="E61" t="s">
        <v>104</v>
      </c>
      <c r="F61" t="s">
        <v>619</v>
      </c>
      <c r="G61" t="s">
        <v>618</v>
      </c>
      <c r="H61" t="s">
        <v>104</v>
      </c>
      <c r="I61" t="s">
        <v>72</v>
      </c>
      <c r="J61" t="s">
        <v>51</v>
      </c>
      <c r="K61" t="s">
        <v>104</v>
      </c>
      <c r="L61" t="s">
        <v>104</v>
      </c>
      <c r="Q61" t="s">
        <v>64</v>
      </c>
      <c r="R61" t="s">
        <v>104</v>
      </c>
      <c r="S61" t="s">
        <v>104</v>
      </c>
      <c r="T61" t="s">
        <v>105</v>
      </c>
      <c r="U61" t="s">
        <v>189</v>
      </c>
      <c r="V61" t="s">
        <v>618</v>
      </c>
      <c r="W61" t="s">
        <v>104</v>
      </c>
      <c r="X61" t="s">
        <v>104</v>
      </c>
      <c r="Y61" t="s">
        <v>51</v>
      </c>
      <c r="Z61" t="s">
        <v>313</v>
      </c>
      <c r="AA61" t="s">
        <v>142</v>
      </c>
      <c r="AB61" t="s">
        <v>51</v>
      </c>
      <c r="AC61" t="s">
        <v>313</v>
      </c>
      <c r="AD61" t="s">
        <v>129</v>
      </c>
      <c r="AE61" t="s">
        <v>107</v>
      </c>
      <c r="AF61" t="s">
        <v>351</v>
      </c>
      <c r="AG61" t="s">
        <v>354</v>
      </c>
      <c r="AH61" t="s">
        <v>64</v>
      </c>
    </row>
    <row r="62" spans="1:34" x14ac:dyDescent="0.3">
      <c r="A62" t="s">
        <v>620</v>
      </c>
      <c r="B62" t="s">
        <v>621</v>
      </c>
      <c r="C62" t="s">
        <v>73</v>
      </c>
      <c r="D62" t="s">
        <v>237</v>
      </c>
      <c r="E62" t="s">
        <v>207</v>
      </c>
      <c r="F62" t="s">
        <v>623</v>
      </c>
      <c r="G62" t="s">
        <v>622</v>
      </c>
      <c r="H62" t="s">
        <v>142</v>
      </c>
      <c r="I62" t="s">
        <v>72</v>
      </c>
      <c r="J62" t="s">
        <v>51</v>
      </c>
      <c r="K62" t="s">
        <v>104</v>
      </c>
      <c r="L62" t="s">
        <v>104</v>
      </c>
      <c r="Q62" t="s">
        <v>64</v>
      </c>
      <c r="R62" t="s">
        <v>104</v>
      </c>
      <c r="S62" t="s">
        <v>104</v>
      </c>
      <c r="T62" t="s">
        <v>105</v>
      </c>
      <c r="U62" t="s">
        <v>624</v>
      </c>
      <c r="V62" t="s">
        <v>622</v>
      </c>
      <c r="W62" t="s">
        <v>104</v>
      </c>
      <c r="X62" t="s">
        <v>104</v>
      </c>
      <c r="Y62" t="s">
        <v>51</v>
      </c>
      <c r="Z62" t="s">
        <v>313</v>
      </c>
      <c r="AA62" t="s">
        <v>104</v>
      </c>
      <c r="AB62" t="s">
        <v>51</v>
      </c>
      <c r="AC62" t="s">
        <v>313</v>
      </c>
      <c r="AD62" t="s">
        <v>105</v>
      </c>
      <c r="AE62" t="s">
        <v>107</v>
      </c>
      <c r="AF62" t="s">
        <v>351</v>
      </c>
      <c r="AG62" t="s">
        <v>354</v>
      </c>
      <c r="AH62" t="s">
        <v>64</v>
      </c>
    </row>
    <row r="63" spans="1:34" x14ac:dyDescent="0.3">
      <c r="A63" t="s">
        <v>625</v>
      </c>
      <c r="B63" t="s">
        <v>626</v>
      </c>
      <c r="C63" t="s">
        <v>44</v>
      </c>
      <c r="D63" t="s">
        <v>237</v>
      </c>
      <c r="E63" t="s">
        <v>627</v>
      </c>
      <c r="F63" t="s">
        <v>628</v>
      </c>
      <c r="G63" t="s">
        <v>319</v>
      </c>
      <c r="H63" t="s">
        <v>142</v>
      </c>
      <c r="I63" t="s">
        <v>72</v>
      </c>
      <c r="J63" t="s">
        <v>51</v>
      </c>
      <c r="K63" t="s">
        <v>104</v>
      </c>
      <c r="L63" t="s">
        <v>104</v>
      </c>
      <c r="Q63" t="s">
        <v>64</v>
      </c>
      <c r="R63" t="s">
        <v>104</v>
      </c>
      <c r="S63" t="s">
        <v>104</v>
      </c>
      <c r="T63" t="s">
        <v>142</v>
      </c>
      <c r="U63" t="s">
        <v>629</v>
      </c>
      <c r="V63" t="s">
        <v>319</v>
      </c>
      <c r="W63" t="s">
        <v>104</v>
      </c>
      <c r="X63" t="s">
        <v>104</v>
      </c>
      <c r="Y63" t="s">
        <v>51</v>
      </c>
      <c r="Z63" t="s">
        <v>313</v>
      </c>
      <c r="AA63" t="s">
        <v>142</v>
      </c>
      <c r="AB63" t="s">
        <v>51</v>
      </c>
      <c r="AC63" t="s">
        <v>313</v>
      </c>
      <c r="AD63" t="s">
        <v>142</v>
      </c>
      <c r="AE63" t="s">
        <v>107</v>
      </c>
      <c r="AF63" t="s">
        <v>351</v>
      </c>
      <c r="AG63" t="s">
        <v>354</v>
      </c>
      <c r="AH63" t="s">
        <v>64</v>
      </c>
    </row>
    <row r="64" spans="1:34" x14ac:dyDescent="0.3">
      <c r="A64" t="s">
        <v>630</v>
      </c>
      <c r="B64" t="s">
        <v>631</v>
      </c>
      <c r="C64" t="s">
        <v>44</v>
      </c>
      <c r="D64" t="s">
        <v>266</v>
      </c>
      <c r="E64" t="s">
        <v>633</v>
      </c>
      <c r="F64" t="s">
        <v>634</v>
      </c>
      <c r="G64" t="s">
        <v>632</v>
      </c>
      <c r="H64" t="s">
        <v>142</v>
      </c>
      <c r="I64" t="s">
        <v>72</v>
      </c>
      <c r="J64" t="s">
        <v>51</v>
      </c>
      <c r="K64" t="s">
        <v>104</v>
      </c>
      <c r="L64" t="s">
        <v>104</v>
      </c>
      <c r="Q64" t="s">
        <v>64</v>
      </c>
      <c r="R64" t="s">
        <v>104</v>
      </c>
      <c r="S64" t="s">
        <v>104</v>
      </c>
      <c r="T64" t="s">
        <v>105</v>
      </c>
      <c r="U64" t="s">
        <v>635</v>
      </c>
      <c r="V64" t="s">
        <v>632</v>
      </c>
      <c r="W64" t="s">
        <v>104</v>
      </c>
      <c r="X64" t="s">
        <v>104</v>
      </c>
      <c r="Y64" t="s">
        <v>51</v>
      </c>
      <c r="Z64" t="s">
        <v>313</v>
      </c>
      <c r="AA64" t="s">
        <v>142</v>
      </c>
      <c r="AB64" t="s">
        <v>51</v>
      </c>
      <c r="AC64" t="s">
        <v>313</v>
      </c>
      <c r="AD64" t="s">
        <v>105</v>
      </c>
      <c r="AE64" t="s">
        <v>107</v>
      </c>
      <c r="AF64" t="s">
        <v>351</v>
      </c>
      <c r="AG64" t="s">
        <v>354</v>
      </c>
      <c r="AH64" t="s">
        <v>64</v>
      </c>
    </row>
    <row r="65" spans="1:34" x14ac:dyDescent="0.3">
      <c r="A65" t="s">
        <v>636</v>
      </c>
      <c r="B65" t="s">
        <v>637</v>
      </c>
      <c r="C65" t="s">
        <v>73</v>
      </c>
      <c r="D65" t="s">
        <v>196</v>
      </c>
      <c r="E65" t="s">
        <v>252</v>
      </c>
      <c r="F65" t="s">
        <v>337</v>
      </c>
      <c r="G65" t="s">
        <v>638</v>
      </c>
      <c r="H65" t="s">
        <v>142</v>
      </c>
      <c r="I65" t="s">
        <v>72</v>
      </c>
      <c r="J65" t="s">
        <v>51</v>
      </c>
      <c r="K65" t="s">
        <v>104</v>
      </c>
      <c r="L65" t="s">
        <v>104</v>
      </c>
      <c r="Q65" t="s">
        <v>64</v>
      </c>
      <c r="R65" t="s">
        <v>104</v>
      </c>
      <c r="S65" t="s">
        <v>104</v>
      </c>
      <c r="T65" t="s">
        <v>105</v>
      </c>
      <c r="U65" t="s">
        <v>171</v>
      </c>
      <c r="V65" t="s">
        <v>638</v>
      </c>
      <c r="W65" t="s">
        <v>104</v>
      </c>
      <c r="X65" t="s">
        <v>104</v>
      </c>
      <c r="Y65" t="s">
        <v>51</v>
      </c>
      <c r="Z65" t="s">
        <v>313</v>
      </c>
      <c r="AA65" t="s">
        <v>142</v>
      </c>
      <c r="AB65" t="s">
        <v>51</v>
      </c>
      <c r="AC65" t="s">
        <v>313</v>
      </c>
      <c r="AD65" t="s">
        <v>168</v>
      </c>
      <c r="AE65" t="s">
        <v>107</v>
      </c>
      <c r="AF65" t="s">
        <v>351</v>
      </c>
      <c r="AG65" t="s">
        <v>354</v>
      </c>
      <c r="AH65" t="s">
        <v>64</v>
      </c>
    </row>
    <row r="66" spans="1:34" x14ac:dyDescent="0.3">
      <c r="A66" t="s">
        <v>639</v>
      </c>
      <c r="B66" t="s">
        <v>640</v>
      </c>
      <c r="C66" t="s">
        <v>44</v>
      </c>
      <c r="D66" t="s">
        <v>196</v>
      </c>
      <c r="E66" t="s">
        <v>642</v>
      </c>
      <c r="F66" t="s">
        <v>643</v>
      </c>
      <c r="G66" t="s">
        <v>641</v>
      </c>
      <c r="H66" t="s">
        <v>142</v>
      </c>
      <c r="I66" t="s">
        <v>72</v>
      </c>
      <c r="J66" t="s">
        <v>51</v>
      </c>
      <c r="K66" t="s">
        <v>104</v>
      </c>
      <c r="L66" t="s">
        <v>104</v>
      </c>
      <c r="Q66" t="s">
        <v>64</v>
      </c>
      <c r="R66" t="s">
        <v>104</v>
      </c>
      <c r="S66" t="s">
        <v>104</v>
      </c>
      <c r="T66" t="s">
        <v>105</v>
      </c>
      <c r="U66" t="s">
        <v>200</v>
      </c>
      <c r="V66" t="s">
        <v>641</v>
      </c>
      <c r="W66" t="s">
        <v>104</v>
      </c>
      <c r="X66" t="s">
        <v>104</v>
      </c>
      <c r="Y66" t="s">
        <v>51</v>
      </c>
      <c r="Z66" t="s">
        <v>313</v>
      </c>
      <c r="AA66" t="s">
        <v>142</v>
      </c>
      <c r="AB66" t="s">
        <v>51</v>
      </c>
      <c r="AC66" t="s">
        <v>313</v>
      </c>
      <c r="AD66" t="s">
        <v>155</v>
      </c>
      <c r="AE66" t="s">
        <v>107</v>
      </c>
      <c r="AF66" t="s">
        <v>351</v>
      </c>
      <c r="AG66" t="s">
        <v>354</v>
      </c>
      <c r="AH66" t="s">
        <v>64</v>
      </c>
    </row>
    <row r="67" spans="1:34" x14ac:dyDescent="0.3">
      <c r="A67" t="s">
        <v>644</v>
      </c>
      <c r="B67" t="s">
        <v>645</v>
      </c>
      <c r="C67" t="s">
        <v>73</v>
      </c>
      <c r="D67" t="s">
        <v>197</v>
      </c>
      <c r="E67" t="s">
        <v>647</v>
      </c>
      <c r="F67" t="s">
        <v>648</v>
      </c>
      <c r="G67" t="s">
        <v>646</v>
      </c>
      <c r="H67" t="s">
        <v>142</v>
      </c>
      <c r="I67" t="s">
        <v>72</v>
      </c>
      <c r="J67" t="s">
        <v>51</v>
      </c>
      <c r="K67" t="s">
        <v>104</v>
      </c>
      <c r="L67" t="s">
        <v>104</v>
      </c>
      <c r="Q67" t="s">
        <v>64</v>
      </c>
      <c r="R67" t="s">
        <v>104</v>
      </c>
      <c r="S67" t="s">
        <v>104</v>
      </c>
      <c r="T67" t="s">
        <v>105</v>
      </c>
      <c r="U67" t="s">
        <v>171</v>
      </c>
      <c r="V67" t="s">
        <v>646</v>
      </c>
      <c r="W67" t="s">
        <v>104</v>
      </c>
      <c r="X67" t="s">
        <v>104</v>
      </c>
      <c r="Y67" t="s">
        <v>51</v>
      </c>
      <c r="Z67" t="s">
        <v>313</v>
      </c>
      <c r="AA67" t="s">
        <v>142</v>
      </c>
      <c r="AB67" t="s">
        <v>51</v>
      </c>
      <c r="AC67" t="s">
        <v>313</v>
      </c>
      <c r="AD67" t="s">
        <v>159</v>
      </c>
      <c r="AE67" t="s">
        <v>107</v>
      </c>
      <c r="AF67" t="s">
        <v>351</v>
      </c>
      <c r="AG67" t="s">
        <v>354</v>
      </c>
      <c r="AH67" t="s">
        <v>64</v>
      </c>
    </row>
    <row r="68" spans="1:34" x14ac:dyDescent="0.3">
      <c r="A68" t="s">
        <v>649</v>
      </c>
      <c r="B68" t="s">
        <v>650</v>
      </c>
      <c r="C68" t="s">
        <v>44</v>
      </c>
      <c r="D68" t="s">
        <v>197</v>
      </c>
      <c r="E68" t="s">
        <v>652</v>
      </c>
      <c r="F68" t="s">
        <v>653</v>
      </c>
      <c r="G68" t="s">
        <v>651</v>
      </c>
      <c r="H68" t="s">
        <v>142</v>
      </c>
      <c r="I68" t="s">
        <v>72</v>
      </c>
      <c r="J68" t="s">
        <v>51</v>
      </c>
      <c r="K68" t="s">
        <v>104</v>
      </c>
      <c r="L68" t="s">
        <v>104</v>
      </c>
      <c r="Q68" t="s">
        <v>64</v>
      </c>
      <c r="R68" t="s">
        <v>104</v>
      </c>
      <c r="S68" t="s">
        <v>104</v>
      </c>
      <c r="T68" t="s">
        <v>104</v>
      </c>
      <c r="U68" t="s">
        <v>654</v>
      </c>
      <c r="V68" t="s">
        <v>651</v>
      </c>
      <c r="W68" t="s">
        <v>104</v>
      </c>
      <c r="X68" t="s">
        <v>104</v>
      </c>
      <c r="Y68" t="s">
        <v>51</v>
      </c>
      <c r="Z68" t="s">
        <v>313</v>
      </c>
      <c r="AA68" t="s">
        <v>142</v>
      </c>
      <c r="AB68" t="s">
        <v>51</v>
      </c>
      <c r="AC68" t="s">
        <v>313</v>
      </c>
      <c r="AD68" t="s">
        <v>104</v>
      </c>
      <c r="AE68" t="s">
        <v>107</v>
      </c>
      <c r="AF68" t="s">
        <v>351</v>
      </c>
      <c r="AG68" t="s">
        <v>354</v>
      </c>
      <c r="AH68" t="s">
        <v>64</v>
      </c>
    </row>
    <row r="69" spans="1:34" x14ac:dyDescent="0.3">
      <c r="A69" t="s">
        <v>655</v>
      </c>
      <c r="B69" t="s">
        <v>656</v>
      </c>
      <c r="C69" t="s">
        <v>44</v>
      </c>
      <c r="D69" t="s">
        <v>239</v>
      </c>
      <c r="E69" t="s">
        <v>658</v>
      </c>
      <c r="F69" t="s">
        <v>659</v>
      </c>
      <c r="G69" t="s">
        <v>657</v>
      </c>
      <c r="H69" t="s">
        <v>142</v>
      </c>
      <c r="I69" t="s">
        <v>72</v>
      </c>
      <c r="J69" t="s">
        <v>51</v>
      </c>
      <c r="K69" t="s">
        <v>104</v>
      </c>
      <c r="L69" t="s">
        <v>104</v>
      </c>
      <c r="Q69" t="s">
        <v>64</v>
      </c>
      <c r="R69" t="s">
        <v>104</v>
      </c>
      <c r="S69" t="s">
        <v>104</v>
      </c>
      <c r="T69" t="s">
        <v>105</v>
      </c>
      <c r="U69" t="s">
        <v>660</v>
      </c>
      <c r="V69" t="s">
        <v>657</v>
      </c>
      <c r="W69" t="s">
        <v>104</v>
      </c>
      <c r="X69" t="s">
        <v>104</v>
      </c>
      <c r="Y69" t="s">
        <v>51</v>
      </c>
      <c r="Z69" t="s">
        <v>313</v>
      </c>
      <c r="AA69" t="s">
        <v>142</v>
      </c>
      <c r="AB69" t="s">
        <v>51</v>
      </c>
      <c r="AC69" t="s">
        <v>313</v>
      </c>
      <c r="AD69" t="s">
        <v>141</v>
      </c>
      <c r="AE69" t="s">
        <v>107</v>
      </c>
      <c r="AF69" t="s">
        <v>351</v>
      </c>
      <c r="AG69" t="s">
        <v>354</v>
      </c>
      <c r="AH69" t="s">
        <v>64</v>
      </c>
    </row>
    <row r="70" spans="1:34" x14ac:dyDescent="0.3">
      <c r="A70" t="s">
        <v>661</v>
      </c>
      <c r="B70" t="s">
        <v>662</v>
      </c>
      <c r="C70" t="s">
        <v>73</v>
      </c>
      <c r="D70" t="s">
        <v>239</v>
      </c>
      <c r="E70" t="s">
        <v>663</v>
      </c>
      <c r="F70" t="s">
        <v>664</v>
      </c>
      <c r="G70" t="s">
        <v>289</v>
      </c>
      <c r="H70" t="s">
        <v>142</v>
      </c>
      <c r="I70" t="s">
        <v>72</v>
      </c>
      <c r="J70" t="s">
        <v>51</v>
      </c>
      <c r="K70" t="s">
        <v>104</v>
      </c>
      <c r="L70" t="s">
        <v>104</v>
      </c>
      <c r="Q70" t="s">
        <v>64</v>
      </c>
      <c r="R70" t="s">
        <v>104</v>
      </c>
      <c r="S70" t="s">
        <v>104</v>
      </c>
      <c r="T70" t="s">
        <v>131</v>
      </c>
      <c r="U70" t="s">
        <v>392</v>
      </c>
      <c r="V70" t="s">
        <v>289</v>
      </c>
      <c r="W70" t="s">
        <v>104</v>
      </c>
      <c r="X70" t="s">
        <v>104</v>
      </c>
      <c r="Y70" t="s">
        <v>51</v>
      </c>
      <c r="Z70" t="s">
        <v>313</v>
      </c>
      <c r="AA70" t="s">
        <v>142</v>
      </c>
      <c r="AB70" t="s">
        <v>51</v>
      </c>
      <c r="AC70" t="s">
        <v>313</v>
      </c>
      <c r="AD70" t="s">
        <v>130</v>
      </c>
      <c r="AE70" t="s">
        <v>107</v>
      </c>
      <c r="AF70" t="s">
        <v>351</v>
      </c>
      <c r="AG70" t="s">
        <v>354</v>
      </c>
      <c r="AH70" t="s">
        <v>64</v>
      </c>
    </row>
    <row r="71" spans="1:34" x14ac:dyDescent="0.3">
      <c r="A71" t="s">
        <v>665</v>
      </c>
      <c r="B71" t="s">
        <v>666</v>
      </c>
      <c r="C71" t="s">
        <v>73</v>
      </c>
      <c r="D71" t="s">
        <v>269</v>
      </c>
      <c r="E71" t="s">
        <v>667</v>
      </c>
      <c r="F71" t="s">
        <v>298</v>
      </c>
      <c r="G71" t="s">
        <v>273</v>
      </c>
      <c r="H71" t="s">
        <v>142</v>
      </c>
      <c r="I71" t="s">
        <v>72</v>
      </c>
      <c r="J71" t="s">
        <v>51</v>
      </c>
      <c r="K71" t="s">
        <v>104</v>
      </c>
      <c r="L71" t="s">
        <v>104</v>
      </c>
      <c r="Q71" t="s">
        <v>64</v>
      </c>
      <c r="R71" t="s">
        <v>104</v>
      </c>
      <c r="S71" t="s">
        <v>104</v>
      </c>
      <c r="T71" t="s">
        <v>123</v>
      </c>
      <c r="U71" t="s">
        <v>446</v>
      </c>
      <c r="V71" t="s">
        <v>273</v>
      </c>
      <c r="W71" t="s">
        <v>104</v>
      </c>
      <c r="X71" t="s">
        <v>104</v>
      </c>
      <c r="Y71" t="s">
        <v>51</v>
      </c>
      <c r="Z71" t="s">
        <v>313</v>
      </c>
      <c r="AA71" t="s">
        <v>142</v>
      </c>
      <c r="AB71" t="s">
        <v>51</v>
      </c>
      <c r="AC71" t="s">
        <v>313</v>
      </c>
      <c r="AD71" t="s">
        <v>107</v>
      </c>
      <c r="AE71" t="s">
        <v>107</v>
      </c>
      <c r="AF71" t="s">
        <v>351</v>
      </c>
      <c r="AG71" t="s">
        <v>354</v>
      </c>
      <c r="AH71" t="s">
        <v>64</v>
      </c>
    </row>
    <row r="72" spans="1:34" x14ac:dyDescent="0.3">
      <c r="A72" t="s">
        <v>668</v>
      </c>
      <c r="B72" t="s">
        <v>669</v>
      </c>
      <c r="C72" t="s">
        <v>44</v>
      </c>
      <c r="D72" t="s">
        <v>269</v>
      </c>
      <c r="E72" t="s">
        <v>671</v>
      </c>
      <c r="F72" t="s">
        <v>672</v>
      </c>
      <c r="G72" t="s">
        <v>670</v>
      </c>
      <c r="H72" t="s">
        <v>142</v>
      </c>
      <c r="I72" t="s">
        <v>72</v>
      </c>
      <c r="J72" t="s">
        <v>51</v>
      </c>
      <c r="K72" t="s">
        <v>104</v>
      </c>
      <c r="L72" t="s">
        <v>104</v>
      </c>
      <c r="Q72" t="s">
        <v>64</v>
      </c>
      <c r="R72" t="s">
        <v>104</v>
      </c>
      <c r="S72" t="s">
        <v>104</v>
      </c>
      <c r="T72" t="s">
        <v>105</v>
      </c>
      <c r="U72" t="s">
        <v>673</v>
      </c>
      <c r="V72" t="s">
        <v>670</v>
      </c>
      <c r="W72" t="s">
        <v>104</v>
      </c>
      <c r="X72" t="s">
        <v>104</v>
      </c>
      <c r="Y72" t="s">
        <v>51</v>
      </c>
      <c r="Z72" t="s">
        <v>313</v>
      </c>
      <c r="AA72" t="s">
        <v>142</v>
      </c>
      <c r="AB72" t="s">
        <v>51</v>
      </c>
      <c r="AC72" t="s">
        <v>313</v>
      </c>
      <c r="AD72" t="s">
        <v>142</v>
      </c>
      <c r="AE72" t="s">
        <v>107</v>
      </c>
      <c r="AF72" t="s">
        <v>351</v>
      </c>
      <c r="AG72" t="s">
        <v>354</v>
      </c>
      <c r="AH72" t="s">
        <v>64</v>
      </c>
    </row>
    <row r="73" spans="1:34" x14ac:dyDescent="0.3">
      <c r="A73" t="s">
        <v>674</v>
      </c>
      <c r="B73" t="s">
        <v>675</v>
      </c>
      <c r="C73" t="s">
        <v>73</v>
      </c>
      <c r="D73" t="s">
        <v>270</v>
      </c>
      <c r="E73" t="s">
        <v>677</v>
      </c>
      <c r="F73" t="s">
        <v>209</v>
      </c>
      <c r="G73" t="s">
        <v>676</v>
      </c>
      <c r="H73" t="s">
        <v>142</v>
      </c>
      <c r="I73" t="s">
        <v>72</v>
      </c>
      <c r="J73" t="s">
        <v>51</v>
      </c>
      <c r="K73" t="s">
        <v>104</v>
      </c>
      <c r="L73" t="s">
        <v>104</v>
      </c>
      <c r="Q73" t="s">
        <v>64</v>
      </c>
      <c r="R73" t="s">
        <v>104</v>
      </c>
      <c r="S73" t="s">
        <v>104</v>
      </c>
      <c r="T73" t="s">
        <v>105</v>
      </c>
      <c r="U73" t="s">
        <v>566</v>
      </c>
      <c r="V73" t="s">
        <v>676</v>
      </c>
      <c r="W73" t="s">
        <v>104</v>
      </c>
      <c r="X73" t="s">
        <v>104</v>
      </c>
      <c r="Y73" t="s">
        <v>51</v>
      </c>
      <c r="Z73" t="s">
        <v>313</v>
      </c>
      <c r="AA73" t="s">
        <v>104</v>
      </c>
      <c r="AB73" t="s">
        <v>51</v>
      </c>
      <c r="AC73" t="s">
        <v>313</v>
      </c>
      <c r="AD73" t="s">
        <v>155</v>
      </c>
      <c r="AE73" t="s">
        <v>107</v>
      </c>
      <c r="AF73" t="s">
        <v>351</v>
      </c>
      <c r="AG73" t="s">
        <v>354</v>
      </c>
      <c r="AH73" t="s">
        <v>64</v>
      </c>
    </row>
    <row r="74" spans="1:34" x14ac:dyDescent="0.3">
      <c r="A74" t="s">
        <v>678</v>
      </c>
      <c r="B74" t="s">
        <v>679</v>
      </c>
      <c r="C74" t="s">
        <v>44</v>
      </c>
      <c r="D74" t="s">
        <v>270</v>
      </c>
      <c r="E74" t="s">
        <v>680</v>
      </c>
      <c r="F74" t="s">
        <v>681</v>
      </c>
      <c r="G74" t="s">
        <v>325</v>
      </c>
      <c r="H74" t="s">
        <v>142</v>
      </c>
      <c r="I74" t="s">
        <v>72</v>
      </c>
      <c r="J74" t="s">
        <v>51</v>
      </c>
      <c r="K74" t="s">
        <v>104</v>
      </c>
      <c r="L74" t="s">
        <v>104</v>
      </c>
      <c r="Q74" t="s">
        <v>64</v>
      </c>
      <c r="R74" t="s">
        <v>104</v>
      </c>
      <c r="S74" t="s">
        <v>104</v>
      </c>
      <c r="T74" t="s">
        <v>155</v>
      </c>
      <c r="U74" t="s">
        <v>133</v>
      </c>
      <c r="V74" t="s">
        <v>325</v>
      </c>
      <c r="W74" t="s">
        <v>104</v>
      </c>
      <c r="X74" t="s">
        <v>104</v>
      </c>
      <c r="Y74" t="s">
        <v>51</v>
      </c>
      <c r="Z74" t="s">
        <v>313</v>
      </c>
      <c r="AA74" t="s">
        <v>142</v>
      </c>
      <c r="AB74" t="s">
        <v>51</v>
      </c>
      <c r="AC74" t="s">
        <v>313</v>
      </c>
      <c r="AD74" t="s">
        <v>140</v>
      </c>
      <c r="AE74" t="s">
        <v>107</v>
      </c>
      <c r="AF74" t="s">
        <v>351</v>
      </c>
      <c r="AG74" t="s">
        <v>354</v>
      </c>
      <c r="AH74" t="s">
        <v>64</v>
      </c>
    </row>
    <row r="75" spans="1:34" x14ac:dyDescent="0.3">
      <c r="A75" t="s">
        <v>682</v>
      </c>
      <c r="B75" t="s">
        <v>683</v>
      </c>
      <c r="C75" t="s">
        <v>73</v>
      </c>
      <c r="D75" t="s">
        <v>241</v>
      </c>
      <c r="E75" t="s">
        <v>684</v>
      </c>
      <c r="F75" t="s">
        <v>685</v>
      </c>
      <c r="G75" t="s">
        <v>113</v>
      </c>
      <c r="H75" t="s">
        <v>163</v>
      </c>
      <c r="I75" t="s">
        <v>72</v>
      </c>
      <c r="J75" t="s">
        <v>51</v>
      </c>
      <c r="K75" t="s">
        <v>104</v>
      </c>
      <c r="L75" t="s">
        <v>104</v>
      </c>
      <c r="Q75" t="s">
        <v>64</v>
      </c>
      <c r="R75" t="s">
        <v>104</v>
      </c>
      <c r="S75" t="s">
        <v>104</v>
      </c>
      <c r="T75" t="s">
        <v>105</v>
      </c>
      <c r="U75" t="s">
        <v>152</v>
      </c>
      <c r="V75" t="s">
        <v>113</v>
      </c>
      <c r="W75" t="s">
        <v>104</v>
      </c>
      <c r="X75" t="s">
        <v>104</v>
      </c>
      <c r="Y75" t="s">
        <v>51</v>
      </c>
      <c r="Z75" t="s">
        <v>313</v>
      </c>
      <c r="AA75" t="s">
        <v>104</v>
      </c>
      <c r="AB75" t="s">
        <v>51</v>
      </c>
      <c r="AC75" t="s">
        <v>313</v>
      </c>
      <c r="AD75" t="s">
        <v>280</v>
      </c>
      <c r="AE75" t="s">
        <v>107</v>
      </c>
      <c r="AF75" t="s">
        <v>351</v>
      </c>
      <c r="AG75" t="s">
        <v>354</v>
      </c>
      <c r="AH75" t="s">
        <v>64</v>
      </c>
    </row>
    <row r="76" spans="1:34" x14ac:dyDescent="0.3">
      <c r="A76" t="s">
        <v>686</v>
      </c>
      <c r="B76" t="s">
        <v>687</v>
      </c>
      <c r="C76" t="s">
        <v>44</v>
      </c>
      <c r="D76" t="s">
        <v>241</v>
      </c>
      <c r="E76" t="s">
        <v>689</v>
      </c>
      <c r="F76" t="s">
        <v>690</v>
      </c>
      <c r="G76" t="s">
        <v>688</v>
      </c>
      <c r="H76" t="s">
        <v>142</v>
      </c>
      <c r="I76" t="s">
        <v>72</v>
      </c>
      <c r="J76" t="s">
        <v>51</v>
      </c>
      <c r="K76" t="s">
        <v>104</v>
      </c>
      <c r="L76" t="s">
        <v>104</v>
      </c>
      <c r="Q76" t="s">
        <v>64</v>
      </c>
      <c r="R76" t="s">
        <v>104</v>
      </c>
      <c r="S76" t="s">
        <v>104</v>
      </c>
      <c r="T76" t="s">
        <v>163</v>
      </c>
      <c r="U76" t="s">
        <v>442</v>
      </c>
      <c r="V76" t="s">
        <v>688</v>
      </c>
      <c r="W76" t="s">
        <v>104</v>
      </c>
      <c r="X76" t="s">
        <v>104</v>
      </c>
      <c r="Y76" t="s">
        <v>51</v>
      </c>
      <c r="Z76" t="s">
        <v>313</v>
      </c>
      <c r="AA76" t="s">
        <v>142</v>
      </c>
      <c r="AB76" t="s">
        <v>51</v>
      </c>
      <c r="AC76" t="s">
        <v>313</v>
      </c>
      <c r="AD76" t="s">
        <v>163</v>
      </c>
      <c r="AE76" t="s">
        <v>107</v>
      </c>
      <c r="AF76" t="s">
        <v>351</v>
      </c>
      <c r="AG76" t="s">
        <v>354</v>
      </c>
      <c r="AH76" t="s">
        <v>64</v>
      </c>
    </row>
    <row r="77" spans="1:34" x14ac:dyDescent="0.3">
      <c r="A77" t="s">
        <v>691</v>
      </c>
      <c r="B77" t="s">
        <v>692</v>
      </c>
      <c r="C77" t="s">
        <v>73</v>
      </c>
      <c r="D77" t="s">
        <v>694</v>
      </c>
      <c r="E77" t="s">
        <v>259</v>
      </c>
      <c r="F77" t="s">
        <v>255</v>
      </c>
      <c r="G77" t="s">
        <v>693</v>
      </c>
      <c r="H77" t="s">
        <v>157</v>
      </c>
      <c r="I77" t="s">
        <v>72</v>
      </c>
      <c r="J77" t="s">
        <v>51</v>
      </c>
      <c r="K77" t="s">
        <v>104</v>
      </c>
      <c r="L77" t="s">
        <v>104</v>
      </c>
      <c r="Q77" t="s">
        <v>64</v>
      </c>
      <c r="R77" t="s">
        <v>104</v>
      </c>
      <c r="S77" t="s">
        <v>104</v>
      </c>
      <c r="T77" t="s">
        <v>135</v>
      </c>
      <c r="U77" t="s">
        <v>695</v>
      </c>
      <c r="V77" t="s">
        <v>693</v>
      </c>
      <c r="W77" t="s">
        <v>104</v>
      </c>
      <c r="X77" t="s">
        <v>104</v>
      </c>
      <c r="Y77" t="s">
        <v>51</v>
      </c>
      <c r="Z77" t="s">
        <v>313</v>
      </c>
      <c r="AA77" t="s">
        <v>104</v>
      </c>
      <c r="AB77" t="s">
        <v>51</v>
      </c>
      <c r="AC77" t="s">
        <v>313</v>
      </c>
      <c r="AD77" t="s">
        <v>123</v>
      </c>
      <c r="AE77" t="s">
        <v>107</v>
      </c>
      <c r="AF77" t="s">
        <v>351</v>
      </c>
      <c r="AG77" t="s">
        <v>354</v>
      </c>
      <c r="AH77" t="s">
        <v>64</v>
      </c>
    </row>
    <row r="78" spans="1:34" x14ac:dyDescent="0.3">
      <c r="A78" t="s">
        <v>696</v>
      </c>
      <c r="B78" t="s">
        <v>697</v>
      </c>
      <c r="C78" t="s">
        <v>73</v>
      </c>
      <c r="D78" t="s">
        <v>700</v>
      </c>
      <c r="E78" t="s">
        <v>699</v>
      </c>
      <c r="F78" t="s">
        <v>145</v>
      </c>
      <c r="G78" t="s">
        <v>698</v>
      </c>
      <c r="H78" t="s">
        <v>104</v>
      </c>
      <c r="I78" t="s">
        <v>72</v>
      </c>
      <c r="J78" t="s">
        <v>51</v>
      </c>
      <c r="K78" t="s">
        <v>104</v>
      </c>
      <c r="L78" t="s">
        <v>104</v>
      </c>
      <c r="Q78" t="s">
        <v>64</v>
      </c>
      <c r="R78" t="s">
        <v>104</v>
      </c>
      <c r="S78" t="s">
        <v>104</v>
      </c>
      <c r="T78" t="s">
        <v>105</v>
      </c>
      <c r="U78" t="s">
        <v>285</v>
      </c>
      <c r="V78" t="s">
        <v>698</v>
      </c>
      <c r="W78" t="s">
        <v>104</v>
      </c>
      <c r="X78" t="s">
        <v>104</v>
      </c>
      <c r="Y78" t="s">
        <v>51</v>
      </c>
      <c r="Z78" t="s">
        <v>313</v>
      </c>
      <c r="AA78" t="s">
        <v>104</v>
      </c>
      <c r="AB78" t="s">
        <v>51</v>
      </c>
      <c r="AC78" t="s">
        <v>313</v>
      </c>
      <c r="AD78" t="s">
        <v>137</v>
      </c>
      <c r="AE78" t="s">
        <v>107</v>
      </c>
      <c r="AF78" t="s">
        <v>351</v>
      </c>
      <c r="AG78" t="s">
        <v>354</v>
      </c>
      <c r="AH78" t="s">
        <v>64</v>
      </c>
    </row>
    <row r="79" spans="1:34" x14ac:dyDescent="0.3">
      <c r="A79" t="s">
        <v>701</v>
      </c>
      <c r="B79" t="s">
        <v>702</v>
      </c>
      <c r="C79" t="s">
        <v>73</v>
      </c>
      <c r="D79" t="s">
        <v>703</v>
      </c>
      <c r="E79" t="s">
        <v>214</v>
      </c>
      <c r="F79" t="s">
        <v>229</v>
      </c>
      <c r="G79" t="s">
        <v>340</v>
      </c>
      <c r="H79" t="s">
        <v>157</v>
      </c>
      <c r="I79" t="s">
        <v>72</v>
      </c>
      <c r="J79" t="s">
        <v>51</v>
      </c>
      <c r="K79" t="s">
        <v>104</v>
      </c>
      <c r="L79" t="s">
        <v>104</v>
      </c>
      <c r="Q79" t="s">
        <v>64</v>
      </c>
      <c r="R79" t="s">
        <v>104</v>
      </c>
      <c r="S79" t="s">
        <v>104</v>
      </c>
      <c r="T79" t="s">
        <v>105</v>
      </c>
      <c r="U79" t="s">
        <v>704</v>
      </c>
      <c r="V79" t="s">
        <v>340</v>
      </c>
      <c r="W79" t="s">
        <v>104</v>
      </c>
      <c r="X79" t="s">
        <v>104</v>
      </c>
      <c r="Y79" t="s">
        <v>51</v>
      </c>
      <c r="Z79" t="s">
        <v>313</v>
      </c>
      <c r="AA79" t="s">
        <v>142</v>
      </c>
      <c r="AB79" t="s">
        <v>51</v>
      </c>
      <c r="AC79" t="s">
        <v>313</v>
      </c>
      <c r="AD79" t="s">
        <v>103</v>
      </c>
      <c r="AE79" t="s">
        <v>107</v>
      </c>
      <c r="AF79" t="s">
        <v>351</v>
      </c>
      <c r="AG79" t="s">
        <v>354</v>
      </c>
      <c r="AH79" t="s">
        <v>64</v>
      </c>
    </row>
    <row r="80" spans="1:34" x14ac:dyDescent="0.3">
      <c r="A80" t="s">
        <v>705</v>
      </c>
      <c r="B80" t="s">
        <v>706</v>
      </c>
      <c r="C80" t="s">
        <v>44</v>
      </c>
      <c r="D80" t="s">
        <v>703</v>
      </c>
      <c r="E80" t="s">
        <v>708</v>
      </c>
      <c r="F80" t="s">
        <v>709</v>
      </c>
      <c r="G80" t="s">
        <v>707</v>
      </c>
      <c r="H80" t="s">
        <v>142</v>
      </c>
      <c r="I80" t="s">
        <v>72</v>
      </c>
      <c r="J80" t="s">
        <v>51</v>
      </c>
      <c r="K80" t="s">
        <v>104</v>
      </c>
      <c r="L80" t="s">
        <v>104</v>
      </c>
      <c r="Q80" t="s">
        <v>64</v>
      </c>
      <c r="R80" t="s">
        <v>104</v>
      </c>
      <c r="S80" t="s">
        <v>104</v>
      </c>
      <c r="T80" t="s">
        <v>163</v>
      </c>
      <c r="U80" t="s">
        <v>442</v>
      </c>
      <c r="V80" t="s">
        <v>707</v>
      </c>
      <c r="W80" t="s">
        <v>104</v>
      </c>
      <c r="X80" t="s">
        <v>104</v>
      </c>
      <c r="Y80" t="s">
        <v>51</v>
      </c>
      <c r="Z80" t="s">
        <v>313</v>
      </c>
      <c r="AA80" t="s">
        <v>142</v>
      </c>
      <c r="AB80" t="s">
        <v>51</v>
      </c>
      <c r="AC80" t="s">
        <v>313</v>
      </c>
      <c r="AD80" t="s">
        <v>146</v>
      </c>
      <c r="AE80" t="s">
        <v>107</v>
      </c>
      <c r="AF80" t="s">
        <v>351</v>
      </c>
      <c r="AG80" t="s">
        <v>354</v>
      </c>
      <c r="AH80" t="s">
        <v>64</v>
      </c>
    </row>
    <row r="81" spans="1:34" x14ac:dyDescent="0.3">
      <c r="A81" t="s">
        <v>710</v>
      </c>
      <c r="B81" t="s">
        <v>711</v>
      </c>
      <c r="C81" t="s">
        <v>73</v>
      </c>
      <c r="D81" t="s">
        <v>715</v>
      </c>
      <c r="E81" t="s">
        <v>713</v>
      </c>
      <c r="F81" t="s">
        <v>714</v>
      </c>
      <c r="G81" t="s">
        <v>712</v>
      </c>
      <c r="H81" t="s">
        <v>104</v>
      </c>
      <c r="I81" t="s">
        <v>72</v>
      </c>
      <c r="J81" t="s">
        <v>51</v>
      </c>
      <c r="K81" t="s">
        <v>104</v>
      </c>
      <c r="L81" t="s">
        <v>104</v>
      </c>
      <c r="Q81" t="s">
        <v>64</v>
      </c>
      <c r="R81" t="s">
        <v>104</v>
      </c>
      <c r="S81" t="s">
        <v>104</v>
      </c>
      <c r="T81" t="s">
        <v>105</v>
      </c>
      <c r="U81" t="s">
        <v>285</v>
      </c>
      <c r="V81" t="s">
        <v>712</v>
      </c>
      <c r="W81" t="s">
        <v>104</v>
      </c>
      <c r="X81" t="s">
        <v>104</v>
      </c>
      <c r="Y81" t="s">
        <v>51</v>
      </c>
      <c r="Z81" t="s">
        <v>313</v>
      </c>
      <c r="AA81" t="s">
        <v>104</v>
      </c>
      <c r="AB81" t="s">
        <v>51</v>
      </c>
      <c r="AC81" t="s">
        <v>313</v>
      </c>
      <c r="AD81" t="s">
        <v>146</v>
      </c>
      <c r="AE81" t="s">
        <v>107</v>
      </c>
      <c r="AF81" t="s">
        <v>351</v>
      </c>
      <c r="AG81" t="s">
        <v>354</v>
      </c>
      <c r="AH81" t="s">
        <v>64</v>
      </c>
    </row>
    <row r="82" spans="1:34" x14ac:dyDescent="0.3">
      <c r="A82" t="s">
        <v>716</v>
      </c>
      <c r="B82" t="s">
        <v>717</v>
      </c>
      <c r="C82" t="s">
        <v>73</v>
      </c>
      <c r="D82" t="s">
        <v>720</v>
      </c>
      <c r="E82" t="s">
        <v>719</v>
      </c>
      <c r="F82" t="s">
        <v>277</v>
      </c>
      <c r="G82" t="s">
        <v>718</v>
      </c>
      <c r="H82" t="s">
        <v>187</v>
      </c>
      <c r="I82" t="s">
        <v>72</v>
      </c>
      <c r="J82" t="s">
        <v>51</v>
      </c>
      <c r="K82" t="s">
        <v>104</v>
      </c>
      <c r="L82" t="s">
        <v>104</v>
      </c>
      <c r="Q82" t="s">
        <v>64</v>
      </c>
      <c r="R82" t="s">
        <v>104</v>
      </c>
      <c r="S82" t="s">
        <v>104</v>
      </c>
      <c r="T82" t="s">
        <v>105</v>
      </c>
      <c r="U82" t="s">
        <v>721</v>
      </c>
      <c r="V82" t="s">
        <v>718</v>
      </c>
      <c r="W82" t="s">
        <v>104</v>
      </c>
      <c r="X82" t="s">
        <v>104</v>
      </c>
      <c r="Y82" t="s">
        <v>51</v>
      </c>
      <c r="Z82" t="s">
        <v>313</v>
      </c>
      <c r="AA82" t="s">
        <v>187</v>
      </c>
      <c r="AB82" t="s">
        <v>51</v>
      </c>
      <c r="AC82" t="s">
        <v>313</v>
      </c>
      <c r="AD82" t="s">
        <v>164</v>
      </c>
      <c r="AE82" t="s">
        <v>107</v>
      </c>
      <c r="AF82" t="s">
        <v>351</v>
      </c>
      <c r="AG82" t="s">
        <v>354</v>
      </c>
      <c r="AH82" t="s">
        <v>64</v>
      </c>
    </row>
    <row r="83" spans="1:34" x14ac:dyDescent="0.3">
      <c r="A83" t="s">
        <v>722</v>
      </c>
      <c r="B83" t="s">
        <v>723</v>
      </c>
      <c r="C83" t="s">
        <v>73</v>
      </c>
      <c r="D83" t="s">
        <v>725</v>
      </c>
      <c r="E83" t="s">
        <v>339</v>
      </c>
      <c r="F83" t="s">
        <v>341</v>
      </c>
      <c r="G83" t="s">
        <v>724</v>
      </c>
      <c r="H83" t="s">
        <v>104</v>
      </c>
      <c r="I83" t="s">
        <v>72</v>
      </c>
      <c r="J83" t="s">
        <v>51</v>
      </c>
      <c r="K83" t="s">
        <v>104</v>
      </c>
      <c r="L83" t="s">
        <v>104</v>
      </c>
      <c r="Q83" t="s">
        <v>64</v>
      </c>
      <c r="R83" t="s">
        <v>104</v>
      </c>
      <c r="S83" t="s">
        <v>104</v>
      </c>
      <c r="T83" t="s">
        <v>105</v>
      </c>
      <c r="U83" t="s">
        <v>171</v>
      </c>
      <c r="V83" t="s">
        <v>724</v>
      </c>
      <c r="W83" t="s">
        <v>104</v>
      </c>
      <c r="X83" t="s">
        <v>104</v>
      </c>
      <c r="Y83" t="s">
        <v>51</v>
      </c>
      <c r="Z83" t="s">
        <v>313</v>
      </c>
      <c r="AA83" t="s">
        <v>104</v>
      </c>
      <c r="AB83" t="s">
        <v>51</v>
      </c>
      <c r="AC83" t="s">
        <v>313</v>
      </c>
      <c r="AD83" t="s">
        <v>726</v>
      </c>
      <c r="AE83" t="s">
        <v>107</v>
      </c>
      <c r="AF83" t="s">
        <v>351</v>
      </c>
      <c r="AG83" t="s">
        <v>354</v>
      </c>
      <c r="AH83" t="s">
        <v>64</v>
      </c>
    </row>
    <row r="84" spans="1:34" x14ac:dyDescent="0.3">
      <c r="A84" t="s">
        <v>727</v>
      </c>
      <c r="B84" t="s">
        <v>728</v>
      </c>
      <c r="C84" t="s">
        <v>73</v>
      </c>
      <c r="D84" t="s">
        <v>730</v>
      </c>
      <c r="E84" t="s">
        <v>306</v>
      </c>
      <c r="F84" t="s">
        <v>212</v>
      </c>
      <c r="G84" t="s">
        <v>729</v>
      </c>
      <c r="H84" t="s">
        <v>104</v>
      </c>
      <c r="I84" t="s">
        <v>72</v>
      </c>
      <c r="J84" t="s">
        <v>51</v>
      </c>
      <c r="K84" t="s">
        <v>104</v>
      </c>
      <c r="L84" t="s">
        <v>104</v>
      </c>
      <c r="Q84" t="s">
        <v>64</v>
      </c>
      <c r="R84" t="s">
        <v>104</v>
      </c>
      <c r="S84" t="s">
        <v>104</v>
      </c>
      <c r="T84" t="s">
        <v>105</v>
      </c>
      <c r="U84" t="s">
        <v>109</v>
      </c>
      <c r="V84" t="s">
        <v>729</v>
      </c>
      <c r="W84" t="s">
        <v>104</v>
      </c>
      <c r="X84" t="s">
        <v>104</v>
      </c>
      <c r="Y84" t="s">
        <v>51</v>
      </c>
      <c r="Z84" t="s">
        <v>313</v>
      </c>
      <c r="AA84" t="s">
        <v>104</v>
      </c>
      <c r="AB84" t="s">
        <v>51</v>
      </c>
      <c r="AC84" t="s">
        <v>313</v>
      </c>
      <c r="AD84" t="s">
        <v>731</v>
      </c>
      <c r="AE84" t="s">
        <v>107</v>
      </c>
      <c r="AF84" t="s">
        <v>351</v>
      </c>
      <c r="AG84" t="s">
        <v>354</v>
      </c>
      <c r="AH84" t="s">
        <v>64</v>
      </c>
    </row>
    <row r="85" spans="1:34" x14ac:dyDescent="0.3">
      <c r="A85" t="s">
        <v>732</v>
      </c>
      <c r="B85" t="s">
        <v>733</v>
      </c>
      <c r="C85" t="s">
        <v>44</v>
      </c>
      <c r="D85" t="s">
        <v>730</v>
      </c>
      <c r="E85" t="s">
        <v>735</v>
      </c>
      <c r="F85" t="s">
        <v>736</v>
      </c>
      <c r="G85" t="s">
        <v>734</v>
      </c>
      <c r="H85" t="s">
        <v>142</v>
      </c>
      <c r="I85" t="s">
        <v>72</v>
      </c>
      <c r="J85" t="s">
        <v>51</v>
      </c>
      <c r="K85" t="s">
        <v>104</v>
      </c>
      <c r="L85" t="s">
        <v>104</v>
      </c>
      <c r="Q85" t="s">
        <v>64</v>
      </c>
      <c r="R85" t="s">
        <v>104</v>
      </c>
      <c r="S85" t="s">
        <v>104</v>
      </c>
      <c r="T85" t="s">
        <v>134</v>
      </c>
      <c r="U85" t="s">
        <v>410</v>
      </c>
      <c r="V85" t="s">
        <v>734</v>
      </c>
      <c r="W85" t="s">
        <v>104</v>
      </c>
      <c r="X85" t="s">
        <v>104</v>
      </c>
      <c r="Y85" t="s">
        <v>51</v>
      </c>
      <c r="Z85" t="s">
        <v>313</v>
      </c>
      <c r="AA85" t="s">
        <v>142</v>
      </c>
      <c r="AB85" t="s">
        <v>51</v>
      </c>
      <c r="AC85" t="s">
        <v>313</v>
      </c>
      <c r="AD85" t="s">
        <v>105</v>
      </c>
      <c r="AE85" t="s">
        <v>107</v>
      </c>
      <c r="AF85" t="s">
        <v>351</v>
      </c>
      <c r="AG85" t="s">
        <v>354</v>
      </c>
      <c r="AH85" t="s">
        <v>64</v>
      </c>
    </row>
    <row r="86" spans="1:34" x14ac:dyDescent="0.3">
      <c r="A86" t="s">
        <v>737</v>
      </c>
      <c r="B86" t="s">
        <v>738</v>
      </c>
      <c r="C86" t="s">
        <v>73</v>
      </c>
      <c r="D86" t="s">
        <v>740</v>
      </c>
      <c r="E86" t="s">
        <v>168</v>
      </c>
      <c r="F86" t="s">
        <v>342</v>
      </c>
      <c r="G86" t="s">
        <v>739</v>
      </c>
      <c r="H86" t="s">
        <v>105</v>
      </c>
      <c r="I86" t="s">
        <v>72</v>
      </c>
      <c r="J86" t="s">
        <v>51</v>
      </c>
      <c r="K86" t="s">
        <v>104</v>
      </c>
      <c r="L86" t="s">
        <v>104</v>
      </c>
      <c r="Q86" t="s">
        <v>64</v>
      </c>
      <c r="R86" t="s">
        <v>104</v>
      </c>
      <c r="S86" t="s">
        <v>104</v>
      </c>
      <c r="T86" t="s">
        <v>142</v>
      </c>
      <c r="U86" t="s">
        <v>238</v>
      </c>
      <c r="V86" t="s">
        <v>739</v>
      </c>
      <c r="W86" t="s">
        <v>104</v>
      </c>
      <c r="X86" t="s">
        <v>104</v>
      </c>
      <c r="Y86" t="s">
        <v>51</v>
      </c>
      <c r="Z86" t="s">
        <v>313</v>
      </c>
      <c r="AA86" t="s">
        <v>104</v>
      </c>
      <c r="AB86" t="s">
        <v>51</v>
      </c>
      <c r="AC86" t="s">
        <v>313</v>
      </c>
      <c r="AD86" t="s">
        <v>132</v>
      </c>
      <c r="AE86" t="s">
        <v>107</v>
      </c>
      <c r="AF86" t="s">
        <v>351</v>
      </c>
      <c r="AG86" t="s">
        <v>354</v>
      </c>
      <c r="AH86" t="s">
        <v>64</v>
      </c>
    </row>
    <row r="87" spans="1:34" x14ac:dyDescent="0.3">
      <c r="A87" t="s">
        <v>741</v>
      </c>
      <c r="B87" t="s">
        <v>742</v>
      </c>
      <c r="C87" t="s">
        <v>73</v>
      </c>
      <c r="D87" t="s">
        <v>745</v>
      </c>
      <c r="E87" t="s">
        <v>110</v>
      </c>
      <c r="F87" t="s">
        <v>744</v>
      </c>
      <c r="G87" t="s">
        <v>743</v>
      </c>
      <c r="H87" t="s">
        <v>104</v>
      </c>
      <c r="I87" t="s">
        <v>72</v>
      </c>
      <c r="J87" t="s">
        <v>51</v>
      </c>
      <c r="K87" t="s">
        <v>104</v>
      </c>
      <c r="L87" t="s">
        <v>104</v>
      </c>
      <c r="Q87" t="s">
        <v>64</v>
      </c>
      <c r="R87" t="s">
        <v>104</v>
      </c>
      <c r="S87" t="s">
        <v>104</v>
      </c>
      <c r="T87" t="s">
        <v>105</v>
      </c>
      <c r="U87" t="s">
        <v>746</v>
      </c>
      <c r="V87" t="s">
        <v>743</v>
      </c>
      <c r="W87" t="s">
        <v>104</v>
      </c>
      <c r="X87" t="s">
        <v>104</v>
      </c>
      <c r="Y87" t="s">
        <v>51</v>
      </c>
      <c r="Z87" t="s">
        <v>313</v>
      </c>
      <c r="AA87" t="s">
        <v>104</v>
      </c>
      <c r="AB87" t="s">
        <v>51</v>
      </c>
      <c r="AC87" t="s">
        <v>313</v>
      </c>
      <c r="AD87" t="s">
        <v>145</v>
      </c>
      <c r="AE87" t="s">
        <v>107</v>
      </c>
      <c r="AF87" t="s">
        <v>351</v>
      </c>
      <c r="AG87" t="s">
        <v>354</v>
      </c>
      <c r="AH87" t="s">
        <v>64</v>
      </c>
    </row>
    <row r="88" spans="1:34" x14ac:dyDescent="0.3">
      <c r="A88" t="s">
        <v>747</v>
      </c>
      <c r="B88" t="s">
        <v>748</v>
      </c>
      <c r="C88" t="s">
        <v>73</v>
      </c>
      <c r="D88" t="s">
        <v>750</v>
      </c>
      <c r="E88" t="s">
        <v>231</v>
      </c>
      <c r="F88" t="s">
        <v>299</v>
      </c>
      <c r="G88" t="s">
        <v>749</v>
      </c>
      <c r="H88" t="s">
        <v>135</v>
      </c>
      <c r="I88" t="s">
        <v>72</v>
      </c>
      <c r="J88" t="s">
        <v>51</v>
      </c>
      <c r="K88" t="s">
        <v>104</v>
      </c>
      <c r="L88" t="s">
        <v>104</v>
      </c>
      <c r="Q88" t="s">
        <v>64</v>
      </c>
      <c r="R88" t="s">
        <v>104</v>
      </c>
      <c r="S88" t="s">
        <v>104</v>
      </c>
      <c r="T88" t="s">
        <v>105</v>
      </c>
      <c r="U88" t="s">
        <v>746</v>
      </c>
      <c r="V88" t="s">
        <v>749</v>
      </c>
      <c r="W88" t="s">
        <v>104</v>
      </c>
      <c r="X88" t="s">
        <v>104</v>
      </c>
      <c r="Y88" t="s">
        <v>51</v>
      </c>
      <c r="Z88" t="s">
        <v>313</v>
      </c>
      <c r="AA88" t="s">
        <v>157</v>
      </c>
      <c r="AB88" t="s">
        <v>51</v>
      </c>
      <c r="AC88" t="s">
        <v>313</v>
      </c>
      <c r="AD88" t="s">
        <v>105</v>
      </c>
      <c r="AE88" t="s">
        <v>107</v>
      </c>
      <c r="AF88" t="s">
        <v>351</v>
      </c>
      <c r="AG88" t="s">
        <v>354</v>
      </c>
      <c r="AH88" t="s">
        <v>64</v>
      </c>
    </row>
    <row r="89" spans="1:34" x14ac:dyDescent="0.3">
      <c r="A89" t="s">
        <v>751</v>
      </c>
      <c r="B89" t="s">
        <v>752</v>
      </c>
      <c r="C89" t="s">
        <v>44</v>
      </c>
      <c r="D89" t="s">
        <v>750</v>
      </c>
      <c r="E89" t="s">
        <v>754</v>
      </c>
      <c r="F89" t="s">
        <v>755</v>
      </c>
      <c r="G89" t="s">
        <v>753</v>
      </c>
      <c r="H89" t="s">
        <v>142</v>
      </c>
      <c r="I89" t="s">
        <v>72</v>
      </c>
      <c r="J89" t="s">
        <v>51</v>
      </c>
      <c r="K89" t="s">
        <v>104</v>
      </c>
      <c r="L89" t="s">
        <v>104</v>
      </c>
      <c r="Q89" t="s">
        <v>64</v>
      </c>
      <c r="R89" t="s">
        <v>104</v>
      </c>
      <c r="S89" t="s">
        <v>104</v>
      </c>
      <c r="T89" t="s">
        <v>142</v>
      </c>
      <c r="U89" t="s">
        <v>442</v>
      </c>
      <c r="V89" t="s">
        <v>753</v>
      </c>
      <c r="W89" t="s">
        <v>104</v>
      </c>
      <c r="X89" t="s">
        <v>104</v>
      </c>
      <c r="Y89" t="s">
        <v>51</v>
      </c>
      <c r="Z89" t="s">
        <v>313</v>
      </c>
      <c r="AA89" t="s">
        <v>142</v>
      </c>
      <c r="AB89" t="s">
        <v>51</v>
      </c>
      <c r="AC89" t="s">
        <v>313</v>
      </c>
      <c r="AD89" t="s">
        <v>104</v>
      </c>
      <c r="AE89" t="s">
        <v>107</v>
      </c>
      <c r="AF89" t="s">
        <v>351</v>
      </c>
      <c r="AG89" t="s">
        <v>354</v>
      </c>
      <c r="AH89" t="s">
        <v>64</v>
      </c>
    </row>
    <row r="90" spans="1:34" x14ac:dyDescent="0.3">
      <c r="A90" t="s">
        <v>756</v>
      </c>
      <c r="B90" t="s">
        <v>757</v>
      </c>
      <c r="C90" t="s">
        <v>44</v>
      </c>
      <c r="D90" t="s">
        <v>761</v>
      </c>
      <c r="E90" t="s">
        <v>759</v>
      </c>
      <c r="F90" t="s">
        <v>760</v>
      </c>
      <c r="G90" t="s">
        <v>758</v>
      </c>
      <c r="H90" t="s">
        <v>104</v>
      </c>
      <c r="I90" t="s">
        <v>72</v>
      </c>
      <c r="J90" t="s">
        <v>51</v>
      </c>
      <c r="K90" t="s">
        <v>104</v>
      </c>
      <c r="L90" t="s">
        <v>104</v>
      </c>
      <c r="Q90" t="s">
        <v>64</v>
      </c>
      <c r="R90" t="s">
        <v>104</v>
      </c>
      <c r="S90" t="s">
        <v>104</v>
      </c>
      <c r="T90" t="s">
        <v>105</v>
      </c>
      <c r="U90" t="s">
        <v>762</v>
      </c>
      <c r="V90" t="s">
        <v>758</v>
      </c>
      <c r="W90" t="s">
        <v>104</v>
      </c>
      <c r="X90" t="s">
        <v>104</v>
      </c>
      <c r="Y90" t="s">
        <v>51</v>
      </c>
      <c r="Z90" t="s">
        <v>313</v>
      </c>
      <c r="AA90" t="s">
        <v>104</v>
      </c>
      <c r="AB90" t="s">
        <v>51</v>
      </c>
      <c r="AC90" t="s">
        <v>313</v>
      </c>
      <c r="AD90" t="s">
        <v>155</v>
      </c>
      <c r="AE90" t="s">
        <v>107</v>
      </c>
      <c r="AF90" t="s">
        <v>351</v>
      </c>
      <c r="AG90" t="s">
        <v>354</v>
      </c>
      <c r="AH90" t="s">
        <v>64</v>
      </c>
    </row>
    <row r="91" spans="1:34" x14ac:dyDescent="0.3">
      <c r="A91" t="s">
        <v>763</v>
      </c>
      <c r="B91" t="s">
        <v>764</v>
      </c>
      <c r="C91" t="s">
        <v>73</v>
      </c>
      <c r="D91" t="s">
        <v>761</v>
      </c>
      <c r="E91" t="s">
        <v>327</v>
      </c>
      <c r="F91" t="s">
        <v>323</v>
      </c>
      <c r="G91" t="s">
        <v>765</v>
      </c>
      <c r="H91" t="s">
        <v>147</v>
      </c>
      <c r="I91" t="s">
        <v>72</v>
      </c>
      <c r="J91" t="s">
        <v>51</v>
      </c>
      <c r="K91" t="s">
        <v>104</v>
      </c>
      <c r="L91" t="s">
        <v>104</v>
      </c>
      <c r="Q91" t="s">
        <v>64</v>
      </c>
      <c r="R91" t="s">
        <v>104</v>
      </c>
      <c r="S91" t="s">
        <v>104</v>
      </c>
      <c r="T91" t="s">
        <v>147</v>
      </c>
      <c r="U91" t="s">
        <v>766</v>
      </c>
      <c r="V91" t="s">
        <v>765</v>
      </c>
      <c r="W91" t="s">
        <v>104</v>
      </c>
      <c r="X91" t="s">
        <v>104</v>
      </c>
      <c r="Y91" t="s">
        <v>51</v>
      </c>
      <c r="Z91" t="s">
        <v>313</v>
      </c>
      <c r="AA91" t="s">
        <v>150</v>
      </c>
      <c r="AB91" t="s">
        <v>51</v>
      </c>
      <c r="AC91" t="s">
        <v>313</v>
      </c>
      <c r="AD91" t="s">
        <v>120</v>
      </c>
      <c r="AE91" t="s">
        <v>107</v>
      </c>
      <c r="AF91" t="s">
        <v>351</v>
      </c>
      <c r="AG91" t="s">
        <v>354</v>
      </c>
      <c r="AH91" t="s">
        <v>64</v>
      </c>
    </row>
    <row r="92" spans="1:34" x14ac:dyDescent="0.3">
      <c r="A92" t="s">
        <v>767</v>
      </c>
      <c r="B92" t="s">
        <v>768</v>
      </c>
      <c r="C92" t="s">
        <v>73</v>
      </c>
      <c r="D92" t="s">
        <v>769</v>
      </c>
      <c r="E92" t="s">
        <v>335</v>
      </c>
      <c r="F92" t="s">
        <v>321</v>
      </c>
      <c r="G92" t="s">
        <v>132</v>
      </c>
      <c r="H92" t="s">
        <v>262</v>
      </c>
      <c r="I92" t="s">
        <v>72</v>
      </c>
      <c r="J92" t="s">
        <v>51</v>
      </c>
      <c r="K92" t="s">
        <v>104</v>
      </c>
      <c r="L92" t="s">
        <v>104</v>
      </c>
      <c r="Q92" t="s">
        <v>64</v>
      </c>
      <c r="R92" t="s">
        <v>104</v>
      </c>
      <c r="S92" t="s">
        <v>104</v>
      </c>
      <c r="T92" t="s">
        <v>107</v>
      </c>
      <c r="U92" t="s">
        <v>382</v>
      </c>
      <c r="V92" t="s">
        <v>132</v>
      </c>
      <c r="W92" t="s">
        <v>104</v>
      </c>
      <c r="X92" t="s">
        <v>104</v>
      </c>
      <c r="Y92" t="s">
        <v>51</v>
      </c>
      <c r="Z92" t="s">
        <v>313</v>
      </c>
      <c r="AA92" t="s">
        <v>262</v>
      </c>
      <c r="AB92" t="s">
        <v>51</v>
      </c>
      <c r="AC92" t="s">
        <v>313</v>
      </c>
      <c r="AD92" t="s">
        <v>258</v>
      </c>
      <c r="AE92" t="s">
        <v>107</v>
      </c>
      <c r="AF92" t="s">
        <v>351</v>
      </c>
      <c r="AG92" t="s">
        <v>354</v>
      </c>
      <c r="AH92" t="s">
        <v>64</v>
      </c>
    </row>
    <row r="93" spans="1:34" x14ac:dyDescent="0.3">
      <c r="A93" t="s">
        <v>770</v>
      </c>
      <c r="B93" t="s">
        <v>771</v>
      </c>
      <c r="C93" t="s">
        <v>44</v>
      </c>
      <c r="D93" t="s">
        <v>769</v>
      </c>
      <c r="E93" t="s">
        <v>773</v>
      </c>
      <c r="F93" t="s">
        <v>774</v>
      </c>
      <c r="G93" t="s">
        <v>772</v>
      </c>
      <c r="H93" t="s">
        <v>104</v>
      </c>
      <c r="I93" t="s">
        <v>72</v>
      </c>
      <c r="J93" t="s">
        <v>51</v>
      </c>
      <c r="K93" t="s">
        <v>104</v>
      </c>
      <c r="L93" t="s">
        <v>104</v>
      </c>
      <c r="Q93" t="s">
        <v>64</v>
      </c>
      <c r="R93" t="s">
        <v>104</v>
      </c>
      <c r="S93" t="s">
        <v>104</v>
      </c>
      <c r="T93" t="s">
        <v>105</v>
      </c>
      <c r="U93" t="s">
        <v>762</v>
      </c>
      <c r="V93" t="s">
        <v>772</v>
      </c>
      <c r="W93" t="s">
        <v>104</v>
      </c>
      <c r="X93" t="s">
        <v>104</v>
      </c>
      <c r="Y93" t="s">
        <v>51</v>
      </c>
      <c r="Z93" t="s">
        <v>313</v>
      </c>
      <c r="AA93" t="s">
        <v>104</v>
      </c>
      <c r="AB93" t="s">
        <v>51</v>
      </c>
      <c r="AC93" t="s">
        <v>313</v>
      </c>
      <c r="AD93" t="s">
        <v>134</v>
      </c>
      <c r="AE93" t="s">
        <v>107</v>
      </c>
      <c r="AF93" t="s">
        <v>351</v>
      </c>
      <c r="AG93" t="s">
        <v>354</v>
      </c>
      <c r="AH93" t="s">
        <v>64</v>
      </c>
    </row>
    <row r="94" spans="1:34" x14ac:dyDescent="0.3">
      <c r="A94" t="s">
        <v>775</v>
      </c>
      <c r="B94" t="s">
        <v>776</v>
      </c>
      <c r="C94" t="s">
        <v>44</v>
      </c>
      <c r="D94" t="s">
        <v>780</v>
      </c>
      <c r="E94" t="s">
        <v>778</v>
      </c>
      <c r="F94" t="s">
        <v>779</v>
      </c>
      <c r="G94" t="s">
        <v>777</v>
      </c>
      <c r="H94" t="s">
        <v>104</v>
      </c>
      <c r="I94" t="s">
        <v>72</v>
      </c>
      <c r="J94" t="s">
        <v>51</v>
      </c>
      <c r="K94" t="s">
        <v>104</v>
      </c>
      <c r="L94" t="s">
        <v>104</v>
      </c>
      <c r="Q94" t="s">
        <v>64</v>
      </c>
      <c r="R94" t="s">
        <v>104</v>
      </c>
      <c r="S94" t="s">
        <v>104</v>
      </c>
      <c r="T94" t="s">
        <v>134</v>
      </c>
      <c r="U94" t="s">
        <v>781</v>
      </c>
      <c r="V94" t="s">
        <v>777</v>
      </c>
      <c r="W94" t="s">
        <v>104</v>
      </c>
      <c r="X94" t="s">
        <v>104</v>
      </c>
      <c r="Y94" t="s">
        <v>51</v>
      </c>
      <c r="Z94" t="s">
        <v>313</v>
      </c>
      <c r="AA94" t="s">
        <v>104</v>
      </c>
      <c r="AB94" t="s">
        <v>51</v>
      </c>
      <c r="AC94" t="s">
        <v>313</v>
      </c>
      <c r="AD94" t="s">
        <v>162</v>
      </c>
      <c r="AE94" t="s">
        <v>107</v>
      </c>
      <c r="AF94" t="s">
        <v>351</v>
      </c>
      <c r="AG94" t="s">
        <v>354</v>
      </c>
      <c r="AH94" t="s">
        <v>64</v>
      </c>
    </row>
    <row r="95" spans="1:34" x14ac:dyDescent="0.3">
      <c r="A95" t="s">
        <v>782</v>
      </c>
      <c r="B95" t="s">
        <v>783</v>
      </c>
      <c r="C95" t="s">
        <v>73</v>
      </c>
      <c r="D95" t="s">
        <v>785</v>
      </c>
      <c r="E95" t="s">
        <v>142</v>
      </c>
      <c r="F95" t="s">
        <v>322</v>
      </c>
      <c r="G95" t="s">
        <v>784</v>
      </c>
      <c r="H95" t="s">
        <v>135</v>
      </c>
      <c r="I95" t="s">
        <v>72</v>
      </c>
      <c r="J95" t="s">
        <v>51</v>
      </c>
      <c r="K95" t="s">
        <v>104</v>
      </c>
      <c r="L95" t="s">
        <v>104</v>
      </c>
      <c r="Q95" t="s">
        <v>64</v>
      </c>
      <c r="R95" t="s">
        <v>104</v>
      </c>
      <c r="S95" t="s">
        <v>104</v>
      </c>
      <c r="T95" t="s">
        <v>105</v>
      </c>
      <c r="U95" t="s">
        <v>786</v>
      </c>
      <c r="V95" t="s">
        <v>784</v>
      </c>
      <c r="W95" t="s">
        <v>104</v>
      </c>
      <c r="X95" t="s">
        <v>104</v>
      </c>
      <c r="Y95" t="s">
        <v>51</v>
      </c>
      <c r="Z95" t="s">
        <v>313</v>
      </c>
      <c r="AA95" t="s">
        <v>157</v>
      </c>
      <c r="AB95" t="s">
        <v>51</v>
      </c>
      <c r="AC95" t="s">
        <v>313</v>
      </c>
      <c r="AD95" t="s">
        <v>134</v>
      </c>
      <c r="AE95" t="s">
        <v>107</v>
      </c>
      <c r="AF95" t="s">
        <v>351</v>
      </c>
      <c r="AG95" t="s">
        <v>354</v>
      </c>
      <c r="AH95" t="s">
        <v>64</v>
      </c>
    </row>
    <row r="96" spans="1:34" x14ac:dyDescent="0.3">
      <c r="A96" t="s">
        <v>787</v>
      </c>
      <c r="B96" t="s">
        <v>788</v>
      </c>
      <c r="C96" t="s">
        <v>73</v>
      </c>
      <c r="D96" t="s">
        <v>789</v>
      </c>
      <c r="E96" t="s">
        <v>335</v>
      </c>
      <c r="F96" t="s">
        <v>261</v>
      </c>
      <c r="G96" t="s">
        <v>309</v>
      </c>
      <c r="H96" t="s">
        <v>105</v>
      </c>
      <c r="I96" t="s">
        <v>72</v>
      </c>
      <c r="J96" t="s">
        <v>51</v>
      </c>
      <c r="K96" t="s">
        <v>104</v>
      </c>
      <c r="L96" t="s">
        <v>104</v>
      </c>
      <c r="Q96" t="s">
        <v>64</v>
      </c>
      <c r="R96" t="s">
        <v>104</v>
      </c>
      <c r="S96" t="s">
        <v>104</v>
      </c>
      <c r="T96" t="s">
        <v>105</v>
      </c>
      <c r="U96" t="s">
        <v>360</v>
      </c>
      <c r="V96" t="s">
        <v>309</v>
      </c>
      <c r="W96" t="s">
        <v>104</v>
      </c>
      <c r="X96" t="s">
        <v>104</v>
      </c>
      <c r="Y96" t="s">
        <v>51</v>
      </c>
      <c r="Z96" t="s">
        <v>316</v>
      </c>
      <c r="AA96" t="s">
        <v>208</v>
      </c>
      <c r="AB96" t="s">
        <v>51</v>
      </c>
      <c r="AC96" t="s">
        <v>313</v>
      </c>
      <c r="AD96" t="s">
        <v>116</v>
      </c>
      <c r="AE96" t="s">
        <v>107</v>
      </c>
      <c r="AF96" t="s">
        <v>351</v>
      </c>
      <c r="AG96" t="s">
        <v>354</v>
      </c>
      <c r="AH96" t="s">
        <v>64</v>
      </c>
    </row>
    <row r="97" spans="1:34" x14ac:dyDescent="0.3">
      <c r="A97" t="s">
        <v>790</v>
      </c>
      <c r="B97" t="s">
        <v>791</v>
      </c>
      <c r="C97" t="s">
        <v>44</v>
      </c>
      <c r="D97" t="s">
        <v>789</v>
      </c>
      <c r="E97" t="s">
        <v>793</v>
      </c>
      <c r="F97" t="s">
        <v>794</v>
      </c>
      <c r="G97" t="s">
        <v>792</v>
      </c>
      <c r="H97" t="s">
        <v>104</v>
      </c>
      <c r="I97" t="s">
        <v>72</v>
      </c>
      <c r="J97" t="s">
        <v>51</v>
      </c>
      <c r="K97" t="s">
        <v>104</v>
      </c>
      <c r="L97" t="s">
        <v>104</v>
      </c>
      <c r="Q97" t="s">
        <v>64</v>
      </c>
      <c r="R97" t="s">
        <v>104</v>
      </c>
      <c r="S97" t="s">
        <v>104</v>
      </c>
      <c r="T97" t="s">
        <v>105</v>
      </c>
      <c r="U97" t="s">
        <v>360</v>
      </c>
      <c r="V97" t="s">
        <v>792</v>
      </c>
      <c r="W97" t="s">
        <v>104</v>
      </c>
      <c r="X97" t="s">
        <v>104</v>
      </c>
      <c r="Y97" t="s">
        <v>51</v>
      </c>
      <c r="Z97" t="s">
        <v>313</v>
      </c>
      <c r="AA97" t="s">
        <v>104</v>
      </c>
      <c r="AB97" t="s">
        <v>51</v>
      </c>
      <c r="AC97" t="s">
        <v>313</v>
      </c>
      <c r="AD97" t="s">
        <v>168</v>
      </c>
      <c r="AE97" t="s">
        <v>107</v>
      </c>
      <c r="AF97" t="s">
        <v>351</v>
      </c>
      <c r="AG97" t="s">
        <v>354</v>
      </c>
      <c r="AH97" t="s">
        <v>64</v>
      </c>
    </row>
    <row r="98" spans="1:34" x14ac:dyDescent="0.3">
      <c r="A98" t="s">
        <v>795</v>
      </c>
      <c r="B98" t="s">
        <v>796</v>
      </c>
      <c r="C98" t="s">
        <v>73</v>
      </c>
      <c r="D98" t="s">
        <v>780</v>
      </c>
      <c r="E98" t="s">
        <v>163</v>
      </c>
      <c r="F98" t="s">
        <v>332</v>
      </c>
      <c r="G98" t="s">
        <v>217</v>
      </c>
      <c r="H98" t="s">
        <v>105</v>
      </c>
      <c r="I98" t="s">
        <v>72</v>
      </c>
      <c r="J98" t="s">
        <v>51</v>
      </c>
      <c r="K98" t="s">
        <v>104</v>
      </c>
      <c r="L98" t="s">
        <v>104</v>
      </c>
      <c r="Q98" t="s">
        <v>64</v>
      </c>
      <c r="R98" t="s">
        <v>104</v>
      </c>
      <c r="S98" t="s">
        <v>104</v>
      </c>
      <c r="T98" t="s">
        <v>105</v>
      </c>
      <c r="U98" t="s">
        <v>136</v>
      </c>
      <c r="V98" t="s">
        <v>217</v>
      </c>
      <c r="W98" t="s">
        <v>104</v>
      </c>
      <c r="X98" t="s">
        <v>104</v>
      </c>
      <c r="Y98" t="s">
        <v>51</v>
      </c>
      <c r="Z98" t="s">
        <v>313</v>
      </c>
      <c r="AA98" t="s">
        <v>105</v>
      </c>
      <c r="AB98" t="s">
        <v>51</v>
      </c>
      <c r="AC98" t="s">
        <v>316</v>
      </c>
      <c r="AD98" t="s">
        <v>797</v>
      </c>
      <c r="AE98" t="s">
        <v>107</v>
      </c>
      <c r="AF98" t="s">
        <v>351</v>
      </c>
      <c r="AG98" t="s">
        <v>354</v>
      </c>
      <c r="AH98" t="s">
        <v>64</v>
      </c>
    </row>
    <row r="99" spans="1:34" x14ac:dyDescent="0.3">
      <c r="A99" t="s">
        <v>798</v>
      </c>
      <c r="B99" t="s">
        <v>799</v>
      </c>
      <c r="C99" t="s">
        <v>73</v>
      </c>
      <c r="D99" t="s">
        <v>371</v>
      </c>
      <c r="E99" t="s">
        <v>800</v>
      </c>
      <c r="F99" t="s">
        <v>801</v>
      </c>
      <c r="H99" t="s">
        <v>142</v>
      </c>
      <c r="I99" t="s">
        <v>72</v>
      </c>
      <c r="J99" t="s">
        <v>51</v>
      </c>
      <c r="L99" t="s">
        <v>104</v>
      </c>
      <c r="Q99" t="s">
        <v>64</v>
      </c>
      <c r="S99" t="s">
        <v>104</v>
      </c>
      <c r="T99" t="s">
        <v>104</v>
      </c>
      <c r="U99" t="s">
        <v>104</v>
      </c>
      <c r="W99" t="s">
        <v>104</v>
      </c>
      <c r="X99" t="s">
        <v>104</v>
      </c>
      <c r="Y99" t="s">
        <v>51</v>
      </c>
      <c r="Z99" t="s">
        <v>313</v>
      </c>
      <c r="AA99" t="s">
        <v>142</v>
      </c>
      <c r="AB99" t="s">
        <v>51</v>
      </c>
      <c r="AC99" t="s">
        <v>313</v>
      </c>
      <c r="AD99" t="s">
        <v>104</v>
      </c>
      <c r="AE99" t="s">
        <v>107</v>
      </c>
      <c r="AF99" t="s">
        <v>351</v>
      </c>
      <c r="AG99" t="s">
        <v>354</v>
      </c>
      <c r="AH99" t="s">
        <v>64</v>
      </c>
    </row>
    <row r="100" spans="1:34" x14ac:dyDescent="0.3">
      <c r="A100" t="s">
        <v>802</v>
      </c>
      <c r="B100" t="s">
        <v>803</v>
      </c>
      <c r="C100" t="s">
        <v>73</v>
      </c>
      <c r="D100" t="s">
        <v>271</v>
      </c>
      <c r="E100" t="s">
        <v>804</v>
      </c>
      <c r="F100" t="s">
        <v>805</v>
      </c>
      <c r="H100" t="s">
        <v>142</v>
      </c>
      <c r="I100" t="s">
        <v>72</v>
      </c>
      <c r="J100" t="s">
        <v>51</v>
      </c>
      <c r="L100" t="s">
        <v>104</v>
      </c>
      <c r="Q100" t="s">
        <v>64</v>
      </c>
      <c r="S100" t="s">
        <v>104</v>
      </c>
      <c r="T100" t="s">
        <v>104</v>
      </c>
      <c r="U100" t="s">
        <v>104</v>
      </c>
      <c r="W100" t="s">
        <v>104</v>
      </c>
      <c r="X100" t="s">
        <v>104</v>
      </c>
      <c r="Y100" t="s">
        <v>51</v>
      </c>
      <c r="Z100" t="s">
        <v>313</v>
      </c>
      <c r="AA100" t="s">
        <v>142</v>
      </c>
      <c r="AB100" t="s">
        <v>51</v>
      </c>
      <c r="AC100" t="s">
        <v>313</v>
      </c>
      <c r="AD100" t="s">
        <v>104</v>
      </c>
      <c r="AE100" t="s">
        <v>107</v>
      </c>
      <c r="AF100" t="s">
        <v>351</v>
      </c>
      <c r="AG100" t="s">
        <v>354</v>
      </c>
      <c r="AH100" t="s">
        <v>64</v>
      </c>
    </row>
    <row r="101" spans="1:34" x14ac:dyDescent="0.3">
      <c r="A101" t="s">
        <v>806</v>
      </c>
      <c r="B101" t="s">
        <v>807</v>
      </c>
      <c r="C101" t="s">
        <v>73</v>
      </c>
      <c r="D101" t="s">
        <v>226</v>
      </c>
      <c r="E101" t="s">
        <v>808</v>
      </c>
      <c r="F101" t="s">
        <v>809</v>
      </c>
      <c r="H101" t="s">
        <v>142</v>
      </c>
      <c r="I101" t="s">
        <v>72</v>
      </c>
      <c r="J101" t="s">
        <v>51</v>
      </c>
      <c r="L101" t="s">
        <v>104</v>
      </c>
      <c r="Q101" t="s">
        <v>64</v>
      </c>
      <c r="S101" t="s">
        <v>104</v>
      </c>
      <c r="T101" t="s">
        <v>104</v>
      </c>
      <c r="U101" t="s">
        <v>104</v>
      </c>
      <c r="W101" t="s">
        <v>104</v>
      </c>
      <c r="X101" t="s">
        <v>104</v>
      </c>
      <c r="Y101" t="s">
        <v>51</v>
      </c>
      <c r="Z101" t="s">
        <v>313</v>
      </c>
      <c r="AA101" t="s">
        <v>142</v>
      </c>
      <c r="AB101" t="s">
        <v>51</v>
      </c>
      <c r="AC101" t="s">
        <v>313</v>
      </c>
      <c r="AD101" t="s">
        <v>104</v>
      </c>
      <c r="AE101" t="s">
        <v>107</v>
      </c>
      <c r="AF101" t="s">
        <v>351</v>
      </c>
      <c r="AG101" t="s">
        <v>354</v>
      </c>
      <c r="AH101" t="s">
        <v>64</v>
      </c>
    </row>
    <row r="102" spans="1:34" x14ac:dyDescent="0.3">
      <c r="A102" t="s">
        <v>810</v>
      </c>
      <c r="B102" t="s">
        <v>811</v>
      </c>
      <c r="C102" t="s">
        <v>44</v>
      </c>
      <c r="D102" t="s">
        <v>226</v>
      </c>
      <c r="E102" t="s">
        <v>142</v>
      </c>
      <c r="F102" t="s">
        <v>300</v>
      </c>
      <c r="H102" t="s">
        <v>135</v>
      </c>
      <c r="I102" t="s">
        <v>72</v>
      </c>
      <c r="J102" t="s">
        <v>51</v>
      </c>
      <c r="L102" t="s">
        <v>104</v>
      </c>
      <c r="Q102" t="s">
        <v>64</v>
      </c>
      <c r="S102" t="s">
        <v>104</v>
      </c>
      <c r="T102" t="s">
        <v>104</v>
      </c>
      <c r="U102" t="s">
        <v>104</v>
      </c>
      <c r="W102" t="s">
        <v>104</v>
      </c>
      <c r="X102" t="s">
        <v>104</v>
      </c>
      <c r="Y102" t="s">
        <v>51</v>
      </c>
      <c r="Z102" t="s">
        <v>313</v>
      </c>
      <c r="AA102" t="s">
        <v>157</v>
      </c>
      <c r="AB102" t="s">
        <v>51</v>
      </c>
      <c r="AC102" t="s">
        <v>313</v>
      </c>
      <c r="AD102" t="s">
        <v>104</v>
      </c>
      <c r="AE102" t="s">
        <v>107</v>
      </c>
      <c r="AF102" t="s">
        <v>351</v>
      </c>
      <c r="AG102" t="s">
        <v>354</v>
      </c>
      <c r="AH102" t="s">
        <v>64</v>
      </c>
    </row>
    <row r="103" spans="1:34" x14ac:dyDescent="0.3">
      <c r="A103" t="s">
        <v>812</v>
      </c>
      <c r="B103" t="s">
        <v>813</v>
      </c>
      <c r="C103" t="s">
        <v>73</v>
      </c>
      <c r="D103" t="s">
        <v>228</v>
      </c>
      <c r="E103" t="s">
        <v>814</v>
      </c>
      <c r="F103" t="s">
        <v>815</v>
      </c>
      <c r="H103" t="s">
        <v>142</v>
      </c>
      <c r="I103" t="s">
        <v>72</v>
      </c>
      <c r="J103" t="s">
        <v>51</v>
      </c>
      <c r="L103" t="s">
        <v>104</v>
      </c>
      <c r="Q103" t="s">
        <v>64</v>
      </c>
      <c r="S103" t="s">
        <v>104</v>
      </c>
      <c r="T103" t="s">
        <v>104</v>
      </c>
      <c r="U103" t="s">
        <v>104</v>
      </c>
      <c r="W103" t="s">
        <v>104</v>
      </c>
      <c r="X103" t="s">
        <v>104</v>
      </c>
      <c r="Y103" t="s">
        <v>51</v>
      </c>
      <c r="Z103" t="s">
        <v>313</v>
      </c>
      <c r="AA103" t="s">
        <v>142</v>
      </c>
      <c r="AB103" t="s">
        <v>51</v>
      </c>
      <c r="AC103" t="s">
        <v>313</v>
      </c>
      <c r="AD103" t="s">
        <v>104</v>
      </c>
      <c r="AE103" t="s">
        <v>107</v>
      </c>
      <c r="AF103" t="s">
        <v>351</v>
      </c>
      <c r="AG103" t="s">
        <v>354</v>
      </c>
      <c r="AH103" t="s">
        <v>64</v>
      </c>
    </row>
    <row r="104" spans="1:34" x14ac:dyDescent="0.3">
      <c r="A104" t="s">
        <v>816</v>
      </c>
      <c r="B104" t="s">
        <v>817</v>
      </c>
      <c r="C104" t="s">
        <v>44</v>
      </c>
      <c r="D104" t="s">
        <v>228</v>
      </c>
      <c r="E104" t="s">
        <v>218</v>
      </c>
      <c r="F104" t="s">
        <v>114</v>
      </c>
      <c r="H104" t="s">
        <v>104</v>
      </c>
      <c r="I104" t="s">
        <v>72</v>
      </c>
      <c r="J104" t="s">
        <v>51</v>
      </c>
      <c r="L104" t="s">
        <v>104</v>
      </c>
      <c r="Q104" t="s">
        <v>64</v>
      </c>
      <c r="S104" t="s">
        <v>104</v>
      </c>
      <c r="T104" t="s">
        <v>104</v>
      </c>
      <c r="U104" t="s">
        <v>104</v>
      </c>
      <c r="W104" t="s">
        <v>104</v>
      </c>
      <c r="X104" t="s">
        <v>104</v>
      </c>
      <c r="Y104" t="s">
        <v>51</v>
      </c>
      <c r="Z104" t="s">
        <v>313</v>
      </c>
      <c r="AA104" t="s">
        <v>104</v>
      </c>
      <c r="AB104" t="s">
        <v>51</v>
      </c>
      <c r="AC104" t="s">
        <v>313</v>
      </c>
      <c r="AD104" t="s">
        <v>104</v>
      </c>
      <c r="AE104" t="s">
        <v>107</v>
      </c>
      <c r="AF104" t="s">
        <v>351</v>
      </c>
      <c r="AG104" t="s">
        <v>354</v>
      </c>
      <c r="AH104" t="s">
        <v>64</v>
      </c>
    </row>
    <row r="105" spans="1:34" x14ac:dyDescent="0.3">
      <c r="A105" t="s">
        <v>818</v>
      </c>
      <c r="B105" t="s">
        <v>819</v>
      </c>
      <c r="C105" t="s">
        <v>73</v>
      </c>
      <c r="D105" t="s">
        <v>230</v>
      </c>
      <c r="E105" t="s">
        <v>820</v>
      </c>
      <c r="F105" t="s">
        <v>821</v>
      </c>
      <c r="H105" t="s">
        <v>142</v>
      </c>
      <c r="I105" t="s">
        <v>72</v>
      </c>
      <c r="J105" t="s">
        <v>51</v>
      </c>
      <c r="L105" t="s">
        <v>104</v>
      </c>
      <c r="Q105" t="s">
        <v>64</v>
      </c>
      <c r="S105" t="s">
        <v>104</v>
      </c>
      <c r="T105" t="s">
        <v>104</v>
      </c>
      <c r="U105" t="s">
        <v>104</v>
      </c>
      <c r="W105" t="s">
        <v>104</v>
      </c>
      <c r="X105" t="s">
        <v>104</v>
      </c>
      <c r="Y105" t="s">
        <v>51</v>
      </c>
      <c r="Z105" t="s">
        <v>313</v>
      </c>
      <c r="AA105" t="s">
        <v>142</v>
      </c>
      <c r="AB105" t="s">
        <v>51</v>
      </c>
      <c r="AC105" t="s">
        <v>313</v>
      </c>
      <c r="AD105" t="s">
        <v>104</v>
      </c>
      <c r="AE105" t="s">
        <v>107</v>
      </c>
      <c r="AF105" t="s">
        <v>351</v>
      </c>
      <c r="AG105" t="s">
        <v>354</v>
      </c>
      <c r="AH105" t="s">
        <v>64</v>
      </c>
    </row>
    <row r="106" spans="1:34" x14ac:dyDescent="0.3">
      <c r="A106" t="s">
        <v>822</v>
      </c>
      <c r="B106" t="s">
        <v>823</v>
      </c>
      <c r="C106" t="s">
        <v>73</v>
      </c>
      <c r="D106" t="s">
        <v>232</v>
      </c>
      <c r="E106" t="s">
        <v>824</v>
      </c>
      <c r="F106" t="s">
        <v>825</v>
      </c>
      <c r="H106" t="s">
        <v>142</v>
      </c>
      <c r="I106" t="s">
        <v>72</v>
      </c>
      <c r="J106" t="s">
        <v>51</v>
      </c>
      <c r="L106" t="s">
        <v>104</v>
      </c>
      <c r="Q106" t="s">
        <v>64</v>
      </c>
      <c r="S106" t="s">
        <v>104</v>
      </c>
      <c r="T106" t="s">
        <v>104</v>
      </c>
      <c r="U106" t="s">
        <v>104</v>
      </c>
      <c r="W106" t="s">
        <v>104</v>
      </c>
      <c r="X106" t="s">
        <v>104</v>
      </c>
      <c r="Y106" t="s">
        <v>51</v>
      </c>
      <c r="Z106" t="s">
        <v>313</v>
      </c>
      <c r="AA106" t="s">
        <v>142</v>
      </c>
      <c r="AB106" t="s">
        <v>51</v>
      </c>
      <c r="AC106" t="s">
        <v>313</v>
      </c>
      <c r="AD106" t="s">
        <v>104</v>
      </c>
      <c r="AE106" t="s">
        <v>107</v>
      </c>
      <c r="AF106" t="s">
        <v>351</v>
      </c>
      <c r="AG106" t="s">
        <v>354</v>
      </c>
      <c r="AH106" t="s">
        <v>64</v>
      </c>
    </row>
    <row r="107" spans="1:34" x14ac:dyDescent="0.3">
      <c r="A107" t="s">
        <v>826</v>
      </c>
      <c r="B107" t="s">
        <v>827</v>
      </c>
      <c r="C107" t="s">
        <v>73</v>
      </c>
      <c r="D107" t="s">
        <v>201</v>
      </c>
      <c r="E107" t="s">
        <v>828</v>
      </c>
      <c r="F107" t="s">
        <v>829</v>
      </c>
      <c r="H107" t="s">
        <v>142</v>
      </c>
      <c r="I107" t="s">
        <v>72</v>
      </c>
      <c r="J107" t="s">
        <v>51</v>
      </c>
      <c r="L107" t="s">
        <v>104</v>
      </c>
      <c r="Q107" t="s">
        <v>64</v>
      </c>
      <c r="S107" t="s">
        <v>104</v>
      </c>
      <c r="T107" t="s">
        <v>104</v>
      </c>
      <c r="U107" t="s">
        <v>104</v>
      </c>
      <c r="W107" t="s">
        <v>104</v>
      </c>
      <c r="X107" t="s">
        <v>104</v>
      </c>
      <c r="Y107" t="s">
        <v>51</v>
      </c>
      <c r="Z107" t="s">
        <v>313</v>
      </c>
      <c r="AA107" t="s">
        <v>104</v>
      </c>
      <c r="AB107" t="s">
        <v>51</v>
      </c>
      <c r="AC107" t="s">
        <v>313</v>
      </c>
      <c r="AD107" t="s">
        <v>104</v>
      </c>
      <c r="AE107" t="s">
        <v>107</v>
      </c>
      <c r="AF107" t="s">
        <v>351</v>
      </c>
      <c r="AG107" t="s">
        <v>354</v>
      </c>
      <c r="AH107" t="s">
        <v>64</v>
      </c>
    </row>
    <row r="108" spans="1:34" x14ac:dyDescent="0.3">
      <c r="A108" t="s">
        <v>830</v>
      </c>
      <c r="B108" t="s">
        <v>831</v>
      </c>
      <c r="C108" t="s">
        <v>44</v>
      </c>
      <c r="D108" t="s">
        <v>202</v>
      </c>
      <c r="E108" t="s">
        <v>834</v>
      </c>
      <c r="F108" t="s">
        <v>835</v>
      </c>
      <c r="G108" t="s">
        <v>832</v>
      </c>
      <c r="H108" t="s">
        <v>142</v>
      </c>
      <c r="I108" t="s">
        <v>72</v>
      </c>
      <c r="J108" t="s">
        <v>51</v>
      </c>
      <c r="K108" t="s">
        <v>833</v>
      </c>
      <c r="L108" t="s">
        <v>163</v>
      </c>
      <c r="M108" t="s">
        <v>832</v>
      </c>
      <c r="N108" t="s">
        <v>832</v>
      </c>
      <c r="O108" t="s">
        <v>832</v>
      </c>
      <c r="Q108" t="s">
        <v>64</v>
      </c>
      <c r="R108" t="s">
        <v>836</v>
      </c>
      <c r="S108" t="s">
        <v>104</v>
      </c>
      <c r="T108" t="s">
        <v>163</v>
      </c>
      <c r="U108" t="s">
        <v>313</v>
      </c>
      <c r="V108" t="s">
        <v>213</v>
      </c>
      <c r="W108" t="s">
        <v>104</v>
      </c>
      <c r="X108" t="s">
        <v>104</v>
      </c>
      <c r="Y108" t="s">
        <v>51</v>
      </c>
      <c r="Z108" t="s">
        <v>313</v>
      </c>
      <c r="AA108" t="s">
        <v>142</v>
      </c>
      <c r="AB108" t="s">
        <v>51</v>
      </c>
      <c r="AC108" t="s">
        <v>313</v>
      </c>
      <c r="AD108" t="s">
        <v>304</v>
      </c>
      <c r="AE108" t="s">
        <v>107</v>
      </c>
      <c r="AF108" t="s">
        <v>351</v>
      </c>
      <c r="AG108" t="s">
        <v>354</v>
      </c>
      <c r="AH108" t="s">
        <v>64</v>
      </c>
    </row>
    <row r="109" spans="1:34" x14ac:dyDescent="0.3">
      <c r="A109" t="s">
        <v>837</v>
      </c>
      <c r="B109" t="s">
        <v>838</v>
      </c>
      <c r="C109" t="s">
        <v>73</v>
      </c>
      <c r="D109" t="s">
        <v>128</v>
      </c>
      <c r="E109" t="s">
        <v>305</v>
      </c>
      <c r="F109" t="s">
        <v>839</v>
      </c>
      <c r="H109" t="s">
        <v>142</v>
      </c>
      <c r="I109" t="s">
        <v>72</v>
      </c>
      <c r="J109" t="s">
        <v>51</v>
      </c>
      <c r="L109" t="s">
        <v>104</v>
      </c>
      <c r="Q109" t="s">
        <v>64</v>
      </c>
      <c r="S109" t="s">
        <v>104</v>
      </c>
      <c r="T109" t="s">
        <v>104</v>
      </c>
      <c r="U109" t="s">
        <v>104</v>
      </c>
      <c r="W109" t="s">
        <v>104</v>
      </c>
      <c r="X109" t="s">
        <v>104</v>
      </c>
      <c r="Y109" t="s">
        <v>51</v>
      </c>
      <c r="Z109" t="s">
        <v>313</v>
      </c>
      <c r="AA109" t="s">
        <v>142</v>
      </c>
      <c r="AB109" t="s">
        <v>51</v>
      </c>
      <c r="AC109" t="s">
        <v>313</v>
      </c>
      <c r="AD109" t="s">
        <v>104</v>
      </c>
      <c r="AE109" t="s">
        <v>107</v>
      </c>
      <c r="AF109" t="s">
        <v>351</v>
      </c>
      <c r="AG109" t="s">
        <v>354</v>
      </c>
      <c r="AH109" t="s">
        <v>64</v>
      </c>
    </row>
    <row r="110" spans="1:34" x14ac:dyDescent="0.3">
      <c r="A110" t="s">
        <v>840</v>
      </c>
      <c r="B110" t="s">
        <v>841</v>
      </c>
      <c r="C110" t="s">
        <v>73</v>
      </c>
      <c r="D110" t="s">
        <v>158</v>
      </c>
      <c r="E110" t="s">
        <v>842</v>
      </c>
      <c r="F110" t="s">
        <v>843</v>
      </c>
      <c r="H110" t="s">
        <v>142</v>
      </c>
      <c r="I110" t="s">
        <v>72</v>
      </c>
      <c r="J110" t="s">
        <v>51</v>
      </c>
      <c r="L110" t="s">
        <v>104</v>
      </c>
      <c r="Q110" t="s">
        <v>64</v>
      </c>
      <c r="S110" t="s">
        <v>104</v>
      </c>
      <c r="T110" t="s">
        <v>104</v>
      </c>
      <c r="U110" t="s">
        <v>104</v>
      </c>
      <c r="W110" t="s">
        <v>104</v>
      </c>
      <c r="X110" t="s">
        <v>104</v>
      </c>
      <c r="Y110" t="s">
        <v>51</v>
      </c>
      <c r="Z110" t="s">
        <v>313</v>
      </c>
      <c r="AA110" t="s">
        <v>142</v>
      </c>
      <c r="AB110" t="s">
        <v>51</v>
      </c>
      <c r="AC110" t="s">
        <v>313</v>
      </c>
      <c r="AD110" t="s">
        <v>104</v>
      </c>
      <c r="AE110" t="s">
        <v>107</v>
      </c>
      <c r="AF110" t="s">
        <v>351</v>
      </c>
      <c r="AG110" t="s">
        <v>354</v>
      </c>
      <c r="AH110" t="s">
        <v>64</v>
      </c>
    </row>
    <row r="111" spans="1:34" x14ac:dyDescent="0.3">
      <c r="A111" t="s">
        <v>844</v>
      </c>
      <c r="B111" t="s">
        <v>845</v>
      </c>
      <c r="C111" t="s">
        <v>73</v>
      </c>
      <c r="D111" t="s">
        <v>253</v>
      </c>
      <c r="E111" t="s">
        <v>291</v>
      </c>
      <c r="F111" t="s">
        <v>848</v>
      </c>
      <c r="G111" t="s">
        <v>846</v>
      </c>
      <c r="H111" t="s">
        <v>142</v>
      </c>
      <c r="I111" t="s">
        <v>72</v>
      </c>
      <c r="J111" t="s">
        <v>51</v>
      </c>
      <c r="K111" t="s">
        <v>847</v>
      </c>
      <c r="L111" t="s">
        <v>105</v>
      </c>
      <c r="M111" t="s">
        <v>846</v>
      </c>
      <c r="N111" t="s">
        <v>846</v>
      </c>
      <c r="O111" t="s">
        <v>846</v>
      </c>
      <c r="Q111" t="s">
        <v>64</v>
      </c>
      <c r="R111" t="s">
        <v>849</v>
      </c>
      <c r="S111" t="s">
        <v>104</v>
      </c>
      <c r="T111" t="s">
        <v>105</v>
      </c>
      <c r="U111" t="s">
        <v>316</v>
      </c>
      <c r="V111" t="s">
        <v>850</v>
      </c>
      <c r="W111" t="s">
        <v>104</v>
      </c>
      <c r="X111" t="s">
        <v>104</v>
      </c>
      <c r="Y111" t="s">
        <v>51</v>
      </c>
      <c r="Z111" t="s">
        <v>313</v>
      </c>
      <c r="AA111" t="s">
        <v>142</v>
      </c>
      <c r="AB111" t="s">
        <v>51</v>
      </c>
      <c r="AC111" t="s">
        <v>313</v>
      </c>
      <c r="AD111" t="s">
        <v>151</v>
      </c>
      <c r="AE111" t="s">
        <v>107</v>
      </c>
      <c r="AF111" t="s">
        <v>351</v>
      </c>
      <c r="AG111" t="s">
        <v>354</v>
      </c>
      <c r="AH111" t="s">
        <v>64</v>
      </c>
    </row>
    <row r="112" spans="1:34" x14ac:dyDescent="0.3">
      <c r="A112" t="s">
        <v>851</v>
      </c>
      <c r="B112" t="s">
        <v>852</v>
      </c>
      <c r="C112" t="s">
        <v>44</v>
      </c>
      <c r="D112" t="s">
        <v>253</v>
      </c>
      <c r="E112" t="s">
        <v>855</v>
      </c>
      <c r="F112" t="s">
        <v>295</v>
      </c>
      <c r="G112" t="s">
        <v>853</v>
      </c>
      <c r="H112" t="s">
        <v>142</v>
      </c>
      <c r="I112" t="s">
        <v>72</v>
      </c>
      <c r="J112" t="s">
        <v>51</v>
      </c>
      <c r="K112" t="s">
        <v>854</v>
      </c>
      <c r="L112" t="s">
        <v>105</v>
      </c>
      <c r="M112" t="s">
        <v>853</v>
      </c>
      <c r="N112" t="s">
        <v>853</v>
      </c>
      <c r="O112" t="s">
        <v>853</v>
      </c>
      <c r="Q112" t="s">
        <v>64</v>
      </c>
      <c r="R112" t="s">
        <v>856</v>
      </c>
      <c r="S112" t="s">
        <v>104</v>
      </c>
      <c r="T112" t="s">
        <v>105</v>
      </c>
      <c r="U112" t="s">
        <v>316</v>
      </c>
      <c r="V112" t="s">
        <v>857</v>
      </c>
      <c r="W112" t="s">
        <v>104</v>
      </c>
      <c r="X112" t="s">
        <v>104</v>
      </c>
      <c r="Y112" t="s">
        <v>51</v>
      </c>
      <c r="Z112" t="s">
        <v>313</v>
      </c>
      <c r="AA112" t="s">
        <v>142</v>
      </c>
      <c r="AB112" t="s">
        <v>51</v>
      </c>
      <c r="AC112" t="s">
        <v>313</v>
      </c>
      <c r="AD112" t="s">
        <v>142</v>
      </c>
      <c r="AE112" t="s">
        <v>107</v>
      </c>
      <c r="AF112" t="s">
        <v>351</v>
      </c>
      <c r="AG112" t="s">
        <v>354</v>
      </c>
      <c r="AH112" t="s">
        <v>64</v>
      </c>
    </row>
    <row r="113" spans="1:34" x14ac:dyDescent="0.3">
      <c r="A113" t="s">
        <v>858</v>
      </c>
      <c r="B113" t="s">
        <v>859</v>
      </c>
      <c r="C113" t="s">
        <v>44</v>
      </c>
      <c r="D113" t="s">
        <v>166</v>
      </c>
      <c r="E113" t="s">
        <v>861</v>
      </c>
      <c r="F113" t="s">
        <v>862</v>
      </c>
      <c r="G113" t="s">
        <v>296</v>
      </c>
      <c r="H113" t="s">
        <v>142</v>
      </c>
      <c r="I113" t="s">
        <v>72</v>
      </c>
      <c r="J113" t="s">
        <v>51</v>
      </c>
      <c r="K113" t="s">
        <v>860</v>
      </c>
      <c r="L113" t="s">
        <v>123</v>
      </c>
      <c r="M113" t="s">
        <v>296</v>
      </c>
      <c r="N113" t="s">
        <v>296</v>
      </c>
      <c r="O113" t="s">
        <v>296</v>
      </c>
      <c r="Q113" t="s">
        <v>64</v>
      </c>
      <c r="R113" t="s">
        <v>863</v>
      </c>
      <c r="S113" t="s">
        <v>104</v>
      </c>
      <c r="T113" t="s">
        <v>123</v>
      </c>
      <c r="U113" t="s">
        <v>316</v>
      </c>
      <c r="V113" t="s">
        <v>864</v>
      </c>
      <c r="W113" t="s">
        <v>104</v>
      </c>
      <c r="X113" t="s">
        <v>104</v>
      </c>
      <c r="Y113" t="s">
        <v>51</v>
      </c>
      <c r="Z113" t="s">
        <v>313</v>
      </c>
      <c r="AA113" t="s">
        <v>142</v>
      </c>
      <c r="AB113" t="s">
        <v>51</v>
      </c>
      <c r="AC113" t="s">
        <v>313</v>
      </c>
      <c r="AD113" t="s">
        <v>281</v>
      </c>
      <c r="AE113" t="s">
        <v>107</v>
      </c>
      <c r="AF113" t="s">
        <v>351</v>
      </c>
      <c r="AG113" t="s">
        <v>354</v>
      </c>
      <c r="AH113" t="s">
        <v>64</v>
      </c>
    </row>
    <row r="114" spans="1:34" x14ac:dyDescent="0.3">
      <c r="A114" t="s">
        <v>865</v>
      </c>
      <c r="B114" t="s">
        <v>866</v>
      </c>
      <c r="C114" t="s">
        <v>73</v>
      </c>
      <c r="D114" t="s">
        <v>166</v>
      </c>
      <c r="E114" t="s">
        <v>868</v>
      </c>
      <c r="F114" t="s">
        <v>869</v>
      </c>
      <c r="G114" t="s">
        <v>301</v>
      </c>
      <c r="H114" t="s">
        <v>142</v>
      </c>
      <c r="I114" t="s">
        <v>72</v>
      </c>
      <c r="J114" t="s">
        <v>51</v>
      </c>
      <c r="K114" t="s">
        <v>333</v>
      </c>
      <c r="L114" t="s">
        <v>247</v>
      </c>
      <c r="M114" t="s">
        <v>867</v>
      </c>
      <c r="N114" t="s">
        <v>301</v>
      </c>
      <c r="O114" t="s">
        <v>867</v>
      </c>
      <c r="Q114" t="s">
        <v>64</v>
      </c>
      <c r="R114" t="s">
        <v>870</v>
      </c>
      <c r="S114" t="s">
        <v>104</v>
      </c>
      <c r="T114" t="s">
        <v>105</v>
      </c>
      <c r="U114" t="s">
        <v>313</v>
      </c>
      <c r="V114" t="s">
        <v>871</v>
      </c>
      <c r="W114" t="s">
        <v>104</v>
      </c>
      <c r="X114" t="s">
        <v>104</v>
      </c>
      <c r="Y114" t="s">
        <v>51</v>
      </c>
      <c r="Z114" t="s">
        <v>313</v>
      </c>
      <c r="AA114" t="s">
        <v>142</v>
      </c>
      <c r="AB114" t="s">
        <v>51</v>
      </c>
      <c r="AC114" t="s">
        <v>313</v>
      </c>
      <c r="AD114" t="s">
        <v>215</v>
      </c>
      <c r="AE114" t="s">
        <v>107</v>
      </c>
      <c r="AF114" t="s">
        <v>351</v>
      </c>
      <c r="AG114" t="s">
        <v>354</v>
      </c>
      <c r="AH114" t="s">
        <v>64</v>
      </c>
    </row>
    <row r="115" spans="1:34" x14ac:dyDescent="0.3">
      <c r="A115" t="s">
        <v>872</v>
      </c>
      <c r="B115" t="s">
        <v>873</v>
      </c>
      <c r="C115" t="s">
        <v>44</v>
      </c>
      <c r="D115" t="s">
        <v>254</v>
      </c>
      <c r="E115" t="s">
        <v>874</v>
      </c>
      <c r="F115" t="s">
        <v>875</v>
      </c>
      <c r="G115" t="s">
        <v>205</v>
      </c>
      <c r="H115" t="s">
        <v>142</v>
      </c>
      <c r="I115" t="s">
        <v>72</v>
      </c>
      <c r="J115" t="s">
        <v>51</v>
      </c>
      <c r="K115" t="s">
        <v>334</v>
      </c>
      <c r="L115" t="s">
        <v>105</v>
      </c>
      <c r="M115" t="s">
        <v>205</v>
      </c>
      <c r="N115" t="s">
        <v>205</v>
      </c>
      <c r="O115" t="s">
        <v>205</v>
      </c>
      <c r="Q115" t="s">
        <v>64</v>
      </c>
      <c r="R115" t="s">
        <v>876</v>
      </c>
      <c r="S115" t="s">
        <v>104</v>
      </c>
      <c r="T115" t="s">
        <v>105</v>
      </c>
      <c r="U115" t="s">
        <v>316</v>
      </c>
      <c r="V115" t="s">
        <v>877</v>
      </c>
      <c r="W115" t="s">
        <v>104</v>
      </c>
      <c r="X115" t="s">
        <v>104</v>
      </c>
      <c r="Y115" t="s">
        <v>51</v>
      </c>
      <c r="Z115" t="s">
        <v>313</v>
      </c>
      <c r="AA115" t="s">
        <v>142</v>
      </c>
      <c r="AB115" t="s">
        <v>51</v>
      </c>
      <c r="AC115" t="s">
        <v>313</v>
      </c>
      <c r="AD115" t="s">
        <v>302</v>
      </c>
      <c r="AE115" t="s">
        <v>107</v>
      </c>
      <c r="AF115" t="s">
        <v>351</v>
      </c>
      <c r="AG115" t="s">
        <v>354</v>
      </c>
      <c r="AH115" t="s">
        <v>64</v>
      </c>
    </row>
    <row r="116" spans="1:34" x14ac:dyDescent="0.3">
      <c r="A116" t="s">
        <v>878</v>
      </c>
      <c r="B116" t="s">
        <v>879</v>
      </c>
      <c r="C116" t="s">
        <v>73</v>
      </c>
      <c r="D116" t="s">
        <v>254</v>
      </c>
      <c r="E116" t="s">
        <v>287</v>
      </c>
      <c r="F116" t="s">
        <v>882</v>
      </c>
      <c r="G116" t="s">
        <v>880</v>
      </c>
      <c r="H116" t="s">
        <v>142</v>
      </c>
      <c r="I116" t="s">
        <v>72</v>
      </c>
      <c r="J116" t="s">
        <v>51</v>
      </c>
      <c r="K116" t="s">
        <v>881</v>
      </c>
      <c r="L116" t="s">
        <v>105</v>
      </c>
      <c r="M116" t="s">
        <v>880</v>
      </c>
      <c r="N116" t="s">
        <v>880</v>
      </c>
      <c r="O116" t="s">
        <v>880</v>
      </c>
      <c r="Q116" t="s">
        <v>64</v>
      </c>
      <c r="R116" t="s">
        <v>883</v>
      </c>
      <c r="S116" t="s">
        <v>104</v>
      </c>
      <c r="T116" t="s">
        <v>105</v>
      </c>
      <c r="U116" t="s">
        <v>316</v>
      </c>
      <c r="V116" t="s">
        <v>884</v>
      </c>
      <c r="W116" t="s">
        <v>104</v>
      </c>
      <c r="X116" t="s">
        <v>104</v>
      </c>
      <c r="Y116" t="s">
        <v>51</v>
      </c>
      <c r="Z116" t="s">
        <v>313</v>
      </c>
      <c r="AA116" t="s">
        <v>142</v>
      </c>
      <c r="AB116" t="s">
        <v>51</v>
      </c>
      <c r="AC116" t="s">
        <v>313</v>
      </c>
      <c r="AD116" t="s">
        <v>227</v>
      </c>
      <c r="AE116" t="s">
        <v>107</v>
      </c>
      <c r="AF116" t="s">
        <v>351</v>
      </c>
      <c r="AG116" t="s">
        <v>354</v>
      </c>
      <c r="AH116" t="s">
        <v>64</v>
      </c>
    </row>
    <row r="117" spans="1:34" x14ac:dyDescent="0.3">
      <c r="A117" t="s">
        <v>885</v>
      </c>
      <c r="B117" t="s">
        <v>886</v>
      </c>
      <c r="C117" t="s">
        <v>73</v>
      </c>
      <c r="D117" t="s">
        <v>266</v>
      </c>
      <c r="E117" t="s">
        <v>308</v>
      </c>
      <c r="F117" t="s">
        <v>887</v>
      </c>
      <c r="H117" t="s">
        <v>142</v>
      </c>
      <c r="I117" t="s">
        <v>72</v>
      </c>
      <c r="J117" t="s">
        <v>51</v>
      </c>
      <c r="L117" t="s">
        <v>104</v>
      </c>
      <c r="Q117" t="s">
        <v>64</v>
      </c>
      <c r="S117" t="s">
        <v>104</v>
      </c>
      <c r="T117" t="s">
        <v>104</v>
      </c>
      <c r="U117" t="s">
        <v>104</v>
      </c>
      <c r="W117" t="s">
        <v>104</v>
      </c>
      <c r="X117" t="s">
        <v>104</v>
      </c>
      <c r="Y117" t="s">
        <v>51</v>
      </c>
      <c r="Z117" t="s">
        <v>313</v>
      </c>
      <c r="AA117" t="s">
        <v>104</v>
      </c>
      <c r="AB117" t="s">
        <v>51</v>
      </c>
      <c r="AC117" t="s">
        <v>313</v>
      </c>
      <c r="AD117" t="s">
        <v>104</v>
      </c>
      <c r="AE117" t="s">
        <v>107</v>
      </c>
      <c r="AF117" t="s">
        <v>351</v>
      </c>
      <c r="AG117" t="s">
        <v>354</v>
      </c>
      <c r="AH117" t="s">
        <v>64</v>
      </c>
    </row>
    <row r="118" spans="1:34" x14ac:dyDescent="0.3">
      <c r="A118" t="s">
        <v>888</v>
      </c>
      <c r="B118" t="s">
        <v>889</v>
      </c>
      <c r="C118" t="s">
        <v>44</v>
      </c>
      <c r="D118" t="s">
        <v>694</v>
      </c>
      <c r="E118" t="s">
        <v>890</v>
      </c>
      <c r="F118" t="s">
        <v>891</v>
      </c>
      <c r="H118" t="s">
        <v>142</v>
      </c>
      <c r="I118" t="s">
        <v>72</v>
      </c>
      <c r="J118" t="s">
        <v>51</v>
      </c>
      <c r="L118" t="s">
        <v>104</v>
      </c>
      <c r="Q118" t="s">
        <v>64</v>
      </c>
      <c r="S118" t="s">
        <v>104</v>
      </c>
      <c r="T118" t="s">
        <v>104</v>
      </c>
      <c r="U118" t="s">
        <v>104</v>
      </c>
      <c r="W118" t="s">
        <v>104</v>
      </c>
      <c r="X118" t="s">
        <v>104</v>
      </c>
      <c r="Y118" t="s">
        <v>51</v>
      </c>
      <c r="Z118" t="s">
        <v>313</v>
      </c>
      <c r="AA118" t="s">
        <v>142</v>
      </c>
      <c r="AB118" t="s">
        <v>51</v>
      </c>
      <c r="AC118" t="s">
        <v>313</v>
      </c>
      <c r="AD118" t="s">
        <v>104</v>
      </c>
      <c r="AE118" t="s">
        <v>107</v>
      </c>
      <c r="AF118" t="s">
        <v>351</v>
      </c>
      <c r="AG118" t="s">
        <v>354</v>
      </c>
      <c r="AH118" t="s">
        <v>64</v>
      </c>
    </row>
    <row r="119" spans="1:34" x14ac:dyDescent="0.3">
      <c r="A119" t="s">
        <v>892</v>
      </c>
      <c r="B119" t="s">
        <v>893</v>
      </c>
      <c r="C119" t="s">
        <v>44</v>
      </c>
      <c r="D119" t="s">
        <v>700</v>
      </c>
      <c r="E119" t="s">
        <v>894</v>
      </c>
      <c r="F119" t="s">
        <v>895</v>
      </c>
      <c r="H119" t="s">
        <v>142</v>
      </c>
      <c r="I119" t="s">
        <v>72</v>
      </c>
      <c r="J119" t="s">
        <v>51</v>
      </c>
      <c r="L119" t="s">
        <v>104</v>
      </c>
      <c r="Q119" t="s">
        <v>64</v>
      </c>
      <c r="S119" t="s">
        <v>104</v>
      </c>
      <c r="T119" t="s">
        <v>104</v>
      </c>
      <c r="U119" t="s">
        <v>104</v>
      </c>
      <c r="W119" t="s">
        <v>104</v>
      </c>
      <c r="X119" t="s">
        <v>104</v>
      </c>
      <c r="Y119" t="s">
        <v>51</v>
      </c>
      <c r="Z119" t="s">
        <v>313</v>
      </c>
      <c r="AA119" t="s">
        <v>142</v>
      </c>
      <c r="AB119" t="s">
        <v>51</v>
      </c>
      <c r="AC119" t="s">
        <v>313</v>
      </c>
      <c r="AD119" t="s">
        <v>104</v>
      </c>
      <c r="AE119" t="s">
        <v>107</v>
      </c>
      <c r="AF119" t="s">
        <v>351</v>
      </c>
      <c r="AG119" t="s">
        <v>354</v>
      </c>
      <c r="AH119" t="s">
        <v>64</v>
      </c>
    </row>
    <row r="120" spans="1:34" x14ac:dyDescent="0.3">
      <c r="A120" t="s">
        <v>896</v>
      </c>
      <c r="B120" t="s">
        <v>897</v>
      </c>
      <c r="C120" t="s">
        <v>44</v>
      </c>
      <c r="D120" t="s">
        <v>715</v>
      </c>
      <c r="E120" t="s">
        <v>898</v>
      </c>
      <c r="F120" t="s">
        <v>899</v>
      </c>
      <c r="H120" t="s">
        <v>142</v>
      </c>
      <c r="I120" t="s">
        <v>72</v>
      </c>
      <c r="J120" t="s">
        <v>51</v>
      </c>
      <c r="L120" t="s">
        <v>104</v>
      </c>
      <c r="Q120" t="s">
        <v>64</v>
      </c>
      <c r="S120" t="s">
        <v>104</v>
      </c>
      <c r="T120" t="s">
        <v>104</v>
      </c>
      <c r="U120" t="s">
        <v>104</v>
      </c>
      <c r="W120" t="s">
        <v>104</v>
      </c>
      <c r="X120" t="s">
        <v>104</v>
      </c>
      <c r="Y120" t="s">
        <v>51</v>
      </c>
      <c r="Z120" t="s">
        <v>313</v>
      </c>
      <c r="AA120" t="s">
        <v>142</v>
      </c>
      <c r="AB120" t="s">
        <v>51</v>
      </c>
      <c r="AC120" t="s">
        <v>313</v>
      </c>
      <c r="AD120" t="s">
        <v>104</v>
      </c>
      <c r="AE120" t="s">
        <v>107</v>
      </c>
      <c r="AF120" t="s">
        <v>351</v>
      </c>
      <c r="AG120" t="s">
        <v>354</v>
      </c>
      <c r="AH120" t="s">
        <v>64</v>
      </c>
    </row>
    <row r="121" spans="1:34" x14ac:dyDescent="0.3">
      <c r="A121" t="s">
        <v>900</v>
      </c>
      <c r="B121" t="s">
        <v>901</v>
      </c>
      <c r="C121" t="s">
        <v>44</v>
      </c>
      <c r="D121" t="s">
        <v>720</v>
      </c>
      <c r="E121" t="s">
        <v>104</v>
      </c>
      <c r="F121" t="s">
        <v>902</v>
      </c>
      <c r="H121" t="s">
        <v>104</v>
      </c>
      <c r="I121" t="s">
        <v>72</v>
      </c>
      <c r="J121" t="s">
        <v>51</v>
      </c>
      <c r="L121" t="s">
        <v>104</v>
      </c>
      <c r="Q121" t="s">
        <v>64</v>
      </c>
      <c r="S121" t="s">
        <v>104</v>
      </c>
      <c r="T121" t="s">
        <v>104</v>
      </c>
      <c r="U121" t="s">
        <v>104</v>
      </c>
      <c r="W121" t="s">
        <v>104</v>
      </c>
      <c r="X121" t="s">
        <v>104</v>
      </c>
      <c r="Y121" t="s">
        <v>51</v>
      </c>
      <c r="Z121" t="s">
        <v>313</v>
      </c>
      <c r="AA121" t="s">
        <v>142</v>
      </c>
      <c r="AB121" t="s">
        <v>51</v>
      </c>
      <c r="AC121" t="s">
        <v>313</v>
      </c>
      <c r="AD121" t="s">
        <v>104</v>
      </c>
      <c r="AE121" t="s">
        <v>107</v>
      </c>
      <c r="AF121" t="s">
        <v>351</v>
      </c>
      <c r="AG121" t="s">
        <v>354</v>
      </c>
      <c r="AH121" t="s">
        <v>64</v>
      </c>
    </row>
    <row r="122" spans="1:34" x14ac:dyDescent="0.3">
      <c r="A122" t="s">
        <v>903</v>
      </c>
      <c r="B122" t="s">
        <v>904</v>
      </c>
      <c r="C122" t="s">
        <v>44</v>
      </c>
      <c r="D122" t="s">
        <v>725</v>
      </c>
      <c r="E122" t="s">
        <v>905</v>
      </c>
      <c r="F122" t="s">
        <v>318</v>
      </c>
      <c r="H122" t="s">
        <v>104</v>
      </c>
      <c r="I122" t="s">
        <v>72</v>
      </c>
      <c r="J122" t="s">
        <v>51</v>
      </c>
      <c r="L122" t="s">
        <v>104</v>
      </c>
      <c r="Q122" t="s">
        <v>64</v>
      </c>
      <c r="S122" t="s">
        <v>104</v>
      </c>
      <c r="T122" t="s">
        <v>104</v>
      </c>
      <c r="U122" t="s">
        <v>104</v>
      </c>
      <c r="W122" t="s">
        <v>104</v>
      </c>
      <c r="X122" t="s">
        <v>104</v>
      </c>
      <c r="Y122" t="s">
        <v>51</v>
      </c>
      <c r="Z122" t="s">
        <v>313</v>
      </c>
      <c r="AA122" t="s">
        <v>104</v>
      </c>
      <c r="AB122" t="s">
        <v>51</v>
      </c>
      <c r="AC122" t="s">
        <v>313</v>
      </c>
      <c r="AD122" t="s">
        <v>104</v>
      </c>
      <c r="AE122" t="s">
        <v>107</v>
      </c>
      <c r="AF122" t="s">
        <v>351</v>
      </c>
      <c r="AG122" t="s">
        <v>354</v>
      </c>
      <c r="AH122" t="s">
        <v>64</v>
      </c>
    </row>
    <row r="123" spans="1:34" x14ac:dyDescent="0.3">
      <c r="A123" t="s">
        <v>906</v>
      </c>
      <c r="B123" t="s">
        <v>907</v>
      </c>
      <c r="C123" t="s">
        <v>44</v>
      </c>
      <c r="D123" t="s">
        <v>740</v>
      </c>
      <c r="E123" t="s">
        <v>908</v>
      </c>
      <c r="F123" t="s">
        <v>909</v>
      </c>
      <c r="H123" t="s">
        <v>142</v>
      </c>
      <c r="I123" t="s">
        <v>72</v>
      </c>
      <c r="J123" t="s">
        <v>51</v>
      </c>
      <c r="L123" t="s">
        <v>104</v>
      </c>
      <c r="Q123" t="s">
        <v>64</v>
      </c>
      <c r="S123" t="s">
        <v>104</v>
      </c>
      <c r="T123" t="s">
        <v>104</v>
      </c>
      <c r="U123" t="s">
        <v>104</v>
      </c>
      <c r="W123" t="s">
        <v>104</v>
      </c>
      <c r="X123" t="s">
        <v>104</v>
      </c>
      <c r="Y123" t="s">
        <v>51</v>
      </c>
      <c r="Z123" t="s">
        <v>313</v>
      </c>
      <c r="AA123" t="s">
        <v>142</v>
      </c>
      <c r="AB123" t="s">
        <v>51</v>
      </c>
      <c r="AC123" t="s">
        <v>313</v>
      </c>
      <c r="AD123" t="s">
        <v>104</v>
      </c>
      <c r="AE123" t="s">
        <v>107</v>
      </c>
      <c r="AF123" t="s">
        <v>351</v>
      </c>
      <c r="AG123" t="s">
        <v>354</v>
      </c>
      <c r="AH123" t="s">
        <v>64</v>
      </c>
    </row>
    <row r="124" spans="1:34" x14ac:dyDescent="0.3">
      <c r="A124" t="s">
        <v>910</v>
      </c>
      <c r="B124" t="s">
        <v>911</v>
      </c>
      <c r="C124" t="s">
        <v>44</v>
      </c>
      <c r="D124" t="s">
        <v>745</v>
      </c>
      <c r="E124" t="s">
        <v>104</v>
      </c>
      <c r="F124" t="s">
        <v>912</v>
      </c>
      <c r="H124" t="s">
        <v>104</v>
      </c>
      <c r="I124" t="s">
        <v>72</v>
      </c>
      <c r="J124" t="s">
        <v>51</v>
      </c>
      <c r="L124" t="s">
        <v>104</v>
      </c>
      <c r="Q124" t="s">
        <v>64</v>
      </c>
      <c r="S124" t="s">
        <v>104</v>
      </c>
      <c r="T124" t="s">
        <v>104</v>
      </c>
      <c r="U124" t="s">
        <v>104</v>
      </c>
      <c r="W124" t="s">
        <v>104</v>
      </c>
      <c r="X124" t="s">
        <v>104</v>
      </c>
      <c r="Y124" t="s">
        <v>51</v>
      </c>
      <c r="Z124" t="s">
        <v>313</v>
      </c>
      <c r="AA124" t="s">
        <v>142</v>
      </c>
      <c r="AB124" t="s">
        <v>51</v>
      </c>
      <c r="AC124" t="s">
        <v>313</v>
      </c>
      <c r="AD124" t="s">
        <v>104</v>
      </c>
      <c r="AE124" t="s">
        <v>107</v>
      </c>
      <c r="AF124" t="s">
        <v>351</v>
      </c>
      <c r="AG124" t="s">
        <v>354</v>
      </c>
      <c r="AH124" t="s">
        <v>64</v>
      </c>
    </row>
    <row r="125" spans="1:34" x14ac:dyDescent="0.3">
      <c r="A125" t="s">
        <v>913</v>
      </c>
      <c r="B125" t="s">
        <v>914</v>
      </c>
      <c r="C125" t="s">
        <v>44</v>
      </c>
      <c r="D125" t="s">
        <v>785</v>
      </c>
      <c r="E125" t="s">
        <v>915</v>
      </c>
      <c r="F125" t="s">
        <v>916</v>
      </c>
      <c r="H125" t="s">
        <v>104</v>
      </c>
      <c r="I125" t="s">
        <v>72</v>
      </c>
      <c r="J125" t="s">
        <v>51</v>
      </c>
      <c r="L125" t="s">
        <v>104</v>
      </c>
      <c r="Q125" t="s">
        <v>64</v>
      </c>
      <c r="S125" t="s">
        <v>104</v>
      </c>
      <c r="T125" t="s">
        <v>104</v>
      </c>
      <c r="U125" t="s">
        <v>104</v>
      </c>
      <c r="W125" t="s">
        <v>104</v>
      </c>
      <c r="X125" t="s">
        <v>104</v>
      </c>
      <c r="Y125" t="s">
        <v>51</v>
      </c>
      <c r="Z125" t="s">
        <v>313</v>
      </c>
      <c r="AA125" t="s">
        <v>104</v>
      </c>
      <c r="AB125" t="s">
        <v>51</v>
      </c>
      <c r="AC125" t="s">
        <v>313</v>
      </c>
      <c r="AD125" t="s">
        <v>104</v>
      </c>
      <c r="AE125" t="s">
        <v>107</v>
      </c>
      <c r="AF125" t="s">
        <v>351</v>
      </c>
      <c r="AG125" t="s">
        <v>354</v>
      </c>
      <c r="AH125" t="s">
        <v>64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6EAB-4129-467E-8D59-F687E7BC1F45}">
  <sheetPr codeName="Sheet6"/>
  <dimension ref="E1:O126"/>
  <sheetViews>
    <sheetView workbookViewId="0">
      <selection activeCell="D9" sqref="D9"/>
    </sheetView>
  </sheetViews>
  <sheetFormatPr defaultRowHeight="15.6" x14ac:dyDescent="0.3"/>
  <sheetData>
    <row r="1" spans="5:15" x14ac:dyDescent="0.3">
      <c r="E1" t="s">
        <v>37</v>
      </c>
      <c r="O1" t="s">
        <v>36</v>
      </c>
    </row>
    <row r="2" spans="5:15" x14ac:dyDescent="0.3">
      <c r="J2" t="s">
        <v>70</v>
      </c>
    </row>
    <row r="3" spans="5:15" x14ac:dyDescent="0.3">
      <c r="J3" s="7">
        <v>200</v>
      </c>
    </row>
    <row r="4" spans="5:15" x14ac:dyDescent="0.3">
      <c r="J4" s="7">
        <v>200</v>
      </c>
    </row>
    <row r="5" spans="5:15" x14ac:dyDescent="0.3">
      <c r="J5" s="7">
        <v>400</v>
      </c>
    </row>
    <row r="6" spans="5:15" x14ac:dyDescent="0.3">
      <c r="J6" s="7">
        <v>400</v>
      </c>
    </row>
    <row r="7" spans="5:15" x14ac:dyDescent="0.3">
      <c r="J7" s="7">
        <v>600</v>
      </c>
    </row>
    <row r="8" spans="5:15" x14ac:dyDescent="0.3">
      <c r="J8" s="7">
        <v>800</v>
      </c>
    </row>
    <row r="9" spans="5:15" x14ac:dyDescent="0.3">
      <c r="J9" s="7">
        <v>1400</v>
      </c>
    </row>
    <row r="10" spans="5:15" x14ac:dyDescent="0.3">
      <c r="J10" s="7">
        <v>1600</v>
      </c>
    </row>
    <row r="11" spans="5:15" x14ac:dyDescent="0.3">
      <c r="J11" s="7">
        <v>1800</v>
      </c>
    </row>
    <row r="12" spans="5:15" x14ac:dyDescent="0.3">
      <c r="J12" s="7">
        <v>1800</v>
      </c>
    </row>
    <row r="13" spans="5:15" x14ac:dyDescent="0.3">
      <c r="J13" s="7">
        <v>2000</v>
      </c>
    </row>
    <row r="14" spans="5:15" x14ac:dyDescent="0.3">
      <c r="J14" s="7">
        <v>2000</v>
      </c>
    </row>
    <row r="15" spans="5:15" x14ac:dyDescent="0.3">
      <c r="J15" s="7">
        <v>2200</v>
      </c>
    </row>
    <row r="16" spans="5:15" x14ac:dyDescent="0.3">
      <c r="J16" s="7">
        <v>2200</v>
      </c>
    </row>
    <row r="17" spans="10:10" x14ac:dyDescent="0.3">
      <c r="J17" s="7">
        <v>2400</v>
      </c>
    </row>
    <row r="18" spans="10:10" x14ac:dyDescent="0.3">
      <c r="J18" s="7">
        <v>2400</v>
      </c>
    </row>
    <row r="19" spans="10:10" x14ac:dyDescent="0.3">
      <c r="J19" s="7">
        <v>2600</v>
      </c>
    </row>
    <row r="20" spans="10:10" x14ac:dyDescent="0.3">
      <c r="J20" s="7">
        <v>2800</v>
      </c>
    </row>
    <row r="21" spans="10:10" x14ac:dyDescent="0.3">
      <c r="J21" s="7">
        <v>2800</v>
      </c>
    </row>
    <row r="22" spans="10:10" x14ac:dyDescent="0.3">
      <c r="J22" s="7">
        <v>3000</v>
      </c>
    </row>
    <row r="23" spans="10:10" x14ac:dyDescent="0.3">
      <c r="J23" s="7">
        <v>3000</v>
      </c>
    </row>
    <row r="24" spans="10:10" x14ac:dyDescent="0.3">
      <c r="J24" s="7">
        <v>3200</v>
      </c>
    </row>
    <row r="25" spans="10:10" x14ac:dyDescent="0.3">
      <c r="J25" s="7">
        <v>3200</v>
      </c>
    </row>
    <row r="26" spans="10:10" x14ac:dyDescent="0.3">
      <c r="J26" s="7">
        <v>3300</v>
      </c>
    </row>
    <row r="27" spans="10:10" x14ac:dyDescent="0.3">
      <c r="J27" s="7">
        <v>3400</v>
      </c>
    </row>
    <row r="28" spans="10:10" x14ac:dyDescent="0.3">
      <c r="J28" s="7">
        <v>3500</v>
      </c>
    </row>
    <row r="29" spans="10:10" x14ac:dyDescent="0.3">
      <c r="J29" s="7">
        <v>3500</v>
      </c>
    </row>
    <row r="30" spans="10:10" x14ac:dyDescent="0.3">
      <c r="J30" s="7">
        <v>3600</v>
      </c>
    </row>
    <row r="31" spans="10:10" x14ac:dyDescent="0.3">
      <c r="J31" s="7">
        <v>3600</v>
      </c>
    </row>
    <row r="32" spans="10:10" x14ac:dyDescent="0.3">
      <c r="J32" s="7">
        <v>3700</v>
      </c>
    </row>
    <row r="33" spans="10:10" x14ac:dyDescent="0.3">
      <c r="J33" s="7">
        <v>3700</v>
      </c>
    </row>
    <row r="34" spans="10:10" x14ac:dyDescent="0.3">
      <c r="J34" s="7">
        <v>3800</v>
      </c>
    </row>
    <row r="35" spans="10:10" x14ac:dyDescent="0.3">
      <c r="J35" s="7">
        <v>3800</v>
      </c>
    </row>
    <row r="36" spans="10:10" x14ac:dyDescent="0.3">
      <c r="J36" s="7">
        <v>3900</v>
      </c>
    </row>
    <row r="37" spans="10:10" x14ac:dyDescent="0.3">
      <c r="J37" s="7">
        <v>4000</v>
      </c>
    </row>
    <row r="38" spans="10:10" x14ac:dyDescent="0.3">
      <c r="J38" s="7">
        <v>4000</v>
      </c>
    </row>
    <row r="39" spans="10:10" x14ac:dyDescent="0.3">
      <c r="J39" s="7">
        <v>4400</v>
      </c>
    </row>
    <row r="40" spans="10:10" x14ac:dyDescent="0.3">
      <c r="J40" s="7">
        <v>4400</v>
      </c>
    </row>
    <row r="41" spans="10:10" x14ac:dyDescent="0.3">
      <c r="J41" s="7">
        <v>4500</v>
      </c>
    </row>
    <row r="42" spans="10:10" x14ac:dyDescent="0.3">
      <c r="J42" s="7">
        <v>4500</v>
      </c>
    </row>
    <row r="43" spans="10:10" x14ac:dyDescent="0.3">
      <c r="J43" s="7">
        <v>4600</v>
      </c>
    </row>
    <row r="44" spans="10:10" x14ac:dyDescent="0.3">
      <c r="J44" s="7">
        <v>4600</v>
      </c>
    </row>
    <row r="45" spans="10:10" x14ac:dyDescent="0.3">
      <c r="J45" s="7">
        <v>4700</v>
      </c>
    </row>
    <row r="46" spans="10:10" x14ac:dyDescent="0.3">
      <c r="J46" s="7">
        <v>4700</v>
      </c>
    </row>
    <row r="47" spans="10:10" x14ac:dyDescent="0.3">
      <c r="J47" s="7">
        <v>4800</v>
      </c>
    </row>
    <row r="48" spans="10:10" x14ac:dyDescent="0.3">
      <c r="J48" s="7">
        <v>4800</v>
      </c>
    </row>
    <row r="49" spans="10:10" x14ac:dyDescent="0.3">
      <c r="J49" s="7">
        <v>4900</v>
      </c>
    </row>
    <row r="50" spans="10:10" x14ac:dyDescent="0.3">
      <c r="J50" s="7">
        <v>4900</v>
      </c>
    </row>
    <row r="51" spans="10:10" x14ac:dyDescent="0.3">
      <c r="J51" s="7">
        <v>5000</v>
      </c>
    </row>
    <row r="52" spans="10:10" x14ac:dyDescent="0.3">
      <c r="J52" s="7">
        <v>5000</v>
      </c>
    </row>
    <row r="53" spans="10:10" x14ac:dyDescent="0.3">
      <c r="J53" s="7">
        <v>5100</v>
      </c>
    </row>
    <row r="54" spans="10:10" x14ac:dyDescent="0.3">
      <c r="J54" s="7">
        <v>5100</v>
      </c>
    </row>
    <row r="55" spans="10:10" x14ac:dyDescent="0.3">
      <c r="J55" s="7">
        <v>5200</v>
      </c>
    </row>
    <row r="56" spans="10:10" x14ac:dyDescent="0.3">
      <c r="J56" s="7">
        <v>5200</v>
      </c>
    </row>
    <row r="57" spans="10:10" x14ac:dyDescent="0.3">
      <c r="J57" s="7">
        <v>5300</v>
      </c>
    </row>
    <row r="58" spans="10:10" x14ac:dyDescent="0.3">
      <c r="J58" s="7">
        <v>5300</v>
      </c>
    </row>
    <row r="59" spans="10:10" x14ac:dyDescent="0.3">
      <c r="J59" s="7">
        <v>5400</v>
      </c>
    </row>
    <row r="60" spans="10:10" x14ac:dyDescent="0.3">
      <c r="J60" s="7">
        <v>5400</v>
      </c>
    </row>
    <row r="61" spans="10:10" x14ac:dyDescent="0.3">
      <c r="J61" s="7">
        <v>5500</v>
      </c>
    </row>
    <row r="62" spans="10:10" x14ac:dyDescent="0.3">
      <c r="J62" s="7">
        <v>5500</v>
      </c>
    </row>
    <row r="63" spans="10:10" x14ac:dyDescent="0.3">
      <c r="J63" s="7">
        <v>5600</v>
      </c>
    </row>
    <row r="64" spans="10:10" x14ac:dyDescent="0.3">
      <c r="J64" s="7">
        <v>5600</v>
      </c>
    </row>
    <row r="65" spans="10:10" x14ac:dyDescent="0.3">
      <c r="J65" s="7">
        <v>5700</v>
      </c>
    </row>
    <row r="66" spans="10:10" x14ac:dyDescent="0.3">
      <c r="J66" s="7">
        <v>5800</v>
      </c>
    </row>
    <row r="67" spans="10:10" x14ac:dyDescent="0.3">
      <c r="J67" s="7">
        <v>5800</v>
      </c>
    </row>
    <row r="68" spans="10:10" x14ac:dyDescent="0.3">
      <c r="J68" s="7">
        <v>5900</v>
      </c>
    </row>
    <row r="69" spans="10:10" x14ac:dyDescent="0.3">
      <c r="J69" s="7">
        <v>5900</v>
      </c>
    </row>
    <row r="70" spans="10:10" x14ac:dyDescent="0.3">
      <c r="J70" s="7">
        <v>6000</v>
      </c>
    </row>
    <row r="71" spans="10:10" x14ac:dyDescent="0.3">
      <c r="J71" s="7">
        <v>6000</v>
      </c>
    </row>
    <row r="72" spans="10:10" x14ac:dyDescent="0.3">
      <c r="J72" s="7">
        <v>6200</v>
      </c>
    </row>
    <row r="73" spans="10:10" x14ac:dyDescent="0.3">
      <c r="J73" s="7">
        <v>6200</v>
      </c>
    </row>
    <row r="74" spans="10:10" x14ac:dyDescent="0.3">
      <c r="J74" s="7">
        <v>6400</v>
      </c>
    </row>
    <row r="75" spans="10:10" x14ac:dyDescent="0.3">
      <c r="J75" s="7">
        <v>6400</v>
      </c>
    </row>
    <row r="76" spans="10:10" x14ac:dyDescent="0.3">
      <c r="J76" s="7">
        <v>6600</v>
      </c>
    </row>
    <row r="77" spans="10:10" x14ac:dyDescent="0.3">
      <c r="J77" s="7">
        <v>6600</v>
      </c>
    </row>
    <row r="78" spans="10:10" x14ac:dyDescent="0.3">
      <c r="J78" s="7">
        <v>6800</v>
      </c>
    </row>
    <row r="79" spans="10:10" x14ac:dyDescent="0.3">
      <c r="J79" s="7">
        <v>7000</v>
      </c>
    </row>
    <row r="80" spans="10:10" x14ac:dyDescent="0.3">
      <c r="J80" s="7">
        <v>7200</v>
      </c>
    </row>
    <row r="81" spans="10:10" x14ac:dyDescent="0.3">
      <c r="J81" s="7">
        <v>7200</v>
      </c>
    </row>
    <row r="82" spans="10:10" x14ac:dyDescent="0.3">
      <c r="J82" s="7">
        <v>7400</v>
      </c>
    </row>
    <row r="83" spans="10:10" x14ac:dyDescent="0.3">
      <c r="J83" s="7">
        <v>7600</v>
      </c>
    </row>
    <row r="84" spans="10:10" x14ac:dyDescent="0.3">
      <c r="J84" s="7">
        <v>7800</v>
      </c>
    </row>
    <row r="85" spans="10:10" x14ac:dyDescent="0.3">
      <c r="J85" s="7">
        <v>8000</v>
      </c>
    </row>
    <row r="86" spans="10:10" x14ac:dyDescent="0.3">
      <c r="J86" s="7">
        <v>8000</v>
      </c>
    </row>
    <row r="87" spans="10:10" x14ac:dyDescent="0.3">
      <c r="J87" s="7">
        <v>8200</v>
      </c>
    </row>
    <row r="88" spans="10:10" x14ac:dyDescent="0.3">
      <c r="J88" s="7">
        <v>8400</v>
      </c>
    </row>
    <row r="89" spans="10:10" x14ac:dyDescent="0.3">
      <c r="J89" s="7">
        <v>8600</v>
      </c>
    </row>
    <row r="90" spans="10:10" x14ac:dyDescent="0.3">
      <c r="J90" s="7">
        <v>8600</v>
      </c>
    </row>
    <row r="91" spans="10:10" x14ac:dyDescent="0.3">
      <c r="J91" s="7">
        <v>8800</v>
      </c>
    </row>
    <row r="92" spans="10:10" x14ac:dyDescent="0.3">
      <c r="J92" s="7">
        <v>8800</v>
      </c>
    </row>
    <row r="93" spans="10:10" x14ac:dyDescent="0.3">
      <c r="J93" s="7">
        <v>9000</v>
      </c>
    </row>
    <row r="94" spans="10:10" x14ac:dyDescent="0.3">
      <c r="J94" s="7">
        <v>9000</v>
      </c>
    </row>
    <row r="95" spans="10:10" x14ac:dyDescent="0.3">
      <c r="J95" s="7">
        <v>9200</v>
      </c>
    </row>
    <row r="96" spans="10:10" x14ac:dyDescent="0.3">
      <c r="J96" s="7">
        <v>9600</v>
      </c>
    </row>
    <row r="97" spans="10:10" x14ac:dyDescent="0.3">
      <c r="J97" s="7">
        <v>10000</v>
      </c>
    </row>
    <row r="98" spans="10:10" x14ac:dyDescent="0.3">
      <c r="J98" s="7">
        <v>10000</v>
      </c>
    </row>
    <row r="99" spans="10:10" x14ac:dyDescent="0.3">
      <c r="J99" s="7">
        <v>9200</v>
      </c>
    </row>
    <row r="100" spans="10:10" x14ac:dyDescent="0.3">
      <c r="J100" s="7">
        <v>600</v>
      </c>
    </row>
    <row r="101" spans="10:10" x14ac:dyDescent="0.3">
      <c r="J101" s="7">
        <v>800</v>
      </c>
    </row>
    <row r="102" spans="10:10" x14ac:dyDescent="0.3">
      <c r="J102" s="7">
        <v>1000</v>
      </c>
    </row>
    <row r="103" spans="10:10" x14ac:dyDescent="0.3">
      <c r="J103" s="7">
        <v>1000</v>
      </c>
    </row>
    <row r="104" spans="10:10" x14ac:dyDescent="0.3">
      <c r="J104" s="7">
        <v>1200</v>
      </c>
    </row>
    <row r="105" spans="10:10" x14ac:dyDescent="0.3">
      <c r="J105" s="7">
        <v>1200</v>
      </c>
    </row>
    <row r="106" spans="10:10" x14ac:dyDescent="0.3">
      <c r="J106" s="7">
        <v>1400</v>
      </c>
    </row>
    <row r="107" spans="10:10" x14ac:dyDescent="0.3">
      <c r="J107" s="7">
        <v>1600</v>
      </c>
    </row>
    <row r="108" spans="10:10" x14ac:dyDescent="0.3">
      <c r="J108" s="7">
        <v>2600</v>
      </c>
    </row>
    <row r="109" spans="10:10" x14ac:dyDescent="0.3">
      <c r="J109" s="7">
        <v>3300</v>
      </c>
    </row>
    <row r="110" spans="10:10" x14ac:dyDescent="0.3">
      <c r="J110" s="7">
        <v>3400</v>
      </c>
    </row>
    <row r="111" spans="10:10" x14ac:dyDescent="0.3">
      <c r="J111" s="7">
        <v>3900</v>
      </c>
    </row>
    <row r="112" spans="10:10" x14ac:dyDescent="0.3">
      <c r="J112" s="7">
        <v>4100</v>
      </c>
    </row>
    <row r="113" spans="10:10" x14ac:dyDescent="0.3">
      <c r="J113" s="7">
        <v>4100</v>
      </c>
    </row>
    <row r="114" spans="10:10" x14ac:dyDescent="0.3">
      <c r="J114" s="7">
        <v>4200</v>
      </c>
    </row>
    <row r="115" spans="10:10" x14ac:dyDescent="0.3">
      <c r="J115" s="7">
        <v>4200</v>
      </c>
    </row>
    <row r="116" spans="10:10" x14ac:dyDescent="0.3">
      <c r="J116" s="7">
        <v>4300</v>
      </c>
    </row>
    <row r="117" spans="10:10" x14ac:dyDescent="0.3">
      <c r="J117" s="7">
        <v>4300</v>
      </c>
    </row>
    <row r="118" spans="10:10" x14ac:dyDescent="0.3">
      <c r="J118" s="7">
        <v>5700</v>
      </c>
    </row>
    <row r="119" spans="10:10" x14ac:dyDescent="0.3">
      <c r="J119" s="7">
        <v>6800</v>
      </c>
    </row>
    <row r="120" spans="10:10" x14ac:dyDescent="0.3">
      <c r="J120" s="7">
        <v>7000</v>
      </c>
    </row>
    <row r="121" spans="10:10" x14ac:dyDescent="0.3">
      <c r="J121" s="7">
        <v>7400</v>
      </c>
    </row>
    <row r="122" spans="10:10" x14ac:dyDescent="0.3">
      <c r="J122" s="7">
        <v>7600</v>
      </c>
    </row>
    <row r="123" spans="10:10" x14ac:dyDescent="0.3">
      <c r="J123" s="7">
        <v>7800</v>
      </c>
    </row>
    <row r="124" spans="10:10" x14ac:dyDescent="0.3">
      <c r="J124" s="7">
        <v>8200</v>
      </c>
    </row>
    <row r="125" spans="10:10" x14ac:dyDescent="0.3">
      <c r="J125" s="7">
        <v>8400</v>
      </c>
    </row>
    <row r="126" spans="10:10" x14ac:dyDescent="0.3">
      <c r="J126" s="7">
        <v>9600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FA958-CF67-49E0-AC2A-BEA16C5C8F6A}">
  <sheetPr codeName="Sheet4"/>
  <dimension ref="A1:L19"/>
  <sheetViews>
    <sheetView workbookViewId="0"/>
  </sheetViews>
  <sheetFormatPr defaultRowHeight="15.6" x14ac:dyDescent="0.3"/>
  <sheetData>
    <row r="1" spans="1:12" x14ac:dyDescent="0.3">
      <c r="A1" t="s">
        <v>46</v>
      </c>
    </row>
    <row r="2" spans="1:12" x14ac:dyDescent="0.3">
      <c r="A2" t="s">
        <v>47</v>
      </c>
      <c r="D2" t="s">
        <v>55</v>
      </c>
      <c r="G2" t="s">
        <v>54</v>
      </c>
    </row>
    <row r="3" spans="1:12" x14ac:dyDescent="0.3">
      <c r="A3" t="s">
        <v>52</v>
      </c>
      <c r="B3" t="s">
        <v>53</v>
      </c>
      <c r="D3" t="s">
        <v>52</v>
      </c>
      <c r="E3" t="s">
        <v>53</v>
      </c>
      <c r="G3" t="s">
        <v>52</v>
      </c>
      <c r="H3" t="s">
        <v>53</v>
      </c>
    </row>
    <row r="4" spans="1:12" x14ac:dyDescent="0.3">
      <c r="A4" t="s">
        <v>57</v>
      </c>
      <c r="B4">
        <v>100</v>
      </c>
      <c r="D4" t="s">
        <v>57</v>
      </c>
      <c r="E4">
        <v>100</v>
      </c>
      <c r="G4" t="s">
        <v>57</v>
      </c>
      <c r="H4">
        <v>120.96</v>
      </c>
    </row>
    <row r="5" spans="1:12" x14ac:dyDescent="0.3">
      <c r="A5" t="s">
        <v>48</v>
      </c>
      <c r="B5">
        <v>105</v>
      </c>
      <c r="D5" t="s">
        <v>48</v>
      </c>
      <c r="E5">
        <v>105</v>
      </c>
      <c r="G5" t="s">
        <v>48</v>
      </c>
      <c r="H5">
        <v>135</v>
      </c>
    </row>
    <row r="6" spans="1:12" x14ac:dyDescent="0.3">
      <c r="A6" t="s">
        <v>49</v>
      </c>
      <c r="B6">
        <v>30</v>
      </c>
      <c r="D6" t="s">
        <v>49</v>
      </c>
      <c r="E6">
        <v>30</v>
      </c>
      <c r="G6" t="s">
        <v>58</v>
      </c>
      <c r="H6">
        <v>0.01</v>
      </c>
    </row>
    <row r="7" spans="1:12" x14ac:dyDescent="0.3">
      <c r="A7" t="s">
        <v>50</v>
      </c>
      <c r="B7">
        <v>0.01</v>
      </c>
      <c r="D7" t="s">
        <v>50</v>
      </c>
      <c r="E7">
        <v>0.01</v>
      </c>
      <c r="G7" t="s">
        <v>49</v>
      </c>
      <c r="H7">
        <v>14</v>
      </c>
    </row>
    <row r="8" spans="1:12" x14ac:dyDescent="0.3">
      <c r="A8" t="s">
        <v>38</v>
      </c>
      <c r="B8">
        <v>2.2999999999999998</v>
      </c>
      <c r="D8" t="s">
        <v>56</v>
      </c>
      <c r="E8">
        <v>0.64</v>
      </c>
      <c r="G8" t="s">
        <v>56</v>
      </c>
      <c r="H8">
        <v>0.64200000000000002</v>
      </c>
    </row>
    <row r="9" spans="1:12" x14ac:dyDescent="0.3">
      <c r="A9" t="s">
        <v>47</v>
      </c>
      <c r="B9">
        <f>impliedVol(B3,B4,B5,B8,B7,B6/365)</f>
        <v>0.36885632491434034</v>
      </c>
      <c r="D9" t="s">
        <v>55</v>
      </c>
      <c r="E9">
        <f>bsPrice(E3,E4,E5,E7,E6/365,E8,0)</f>
        <v>5.2860615124516883</v>
      </c>
      <c r="G9" t="s">
        <v>54</v>
      </c>
      <c r="H9">
        <f t="array" ref="H9:L9">bsGreeks(H3,H4,H5,H6,H7/365,H8)</f>
        <v>0.20969699645897455</v>
      </c>
      <c r="I9">
        <v>1.8933587365464535E-2</v>
      </c>
      <c r="J9">
        <v>6.8216064964461531E-2</v>
      </c>
      <c r="K9">
        <v>-15.705802209301295</v>
      </c>
      <c r="L9">
        <v>0.90766239429661222</v>
      </c>
    </row>
    <row r="10" spans="1:12" x14ac:dyDescent="0.3">
      <c r="H10" t="s">
        <v>24</v>
      </c>
      <c r="I10" t="s">
        <v>25</v>
      </c>
      <c r="J10" t="s">
        <v>26</v>
      </c>
      <c r="K10" t="s">
        <v>27</v>
      </c>
      <c r="L10" t="s">
        <v>28</v>
      </c>
    </row>
    <row r="11" spans="1:12" x14ac:dyDescent="0.3">
      <c r="D11" t="s">
        <v>52</v>
      </c>
      <c r="E11" t="s">
        <v>59</v>
      </c>
    </row>
    <row r="12" spans="1:12" x14ac:dyDescent="0.3">
      <c r="D12" t="s">
        <v>57</v>
      </c>
      <c r="E12">
        <v>100</v>
      </c>
      <c r="G12" t="s">
        <v>52</v>
      </c>
      <c r="H12" t="s">
        <v>59</v>
      </c>
    </row>
    <row r="13" spans="1:12" x14ac:dyDescent="0.3">
      <c r="D13" t="s">
        <v>48</v>
      </c>
      <c r="E13">
        <v>105</v>
      </c>
      <c r="G13" t="s">
        <v>57</v>
      </c>
      <c r="H13">
        <v>120.96</v>
      </c>
    </row>
    <row r="14" spans="1:12" x14ac:dyDescent="0.3">
      <c r="D14" t="s">
        <v>49</v>
      </c>
      <c r="E14">
        <v>30</v>
      </c>
      <c r="G14" t="s">
        <v>48</v>
      </c>
      <c r="H14">
        <v>135</v>
      </c>
    </row>
    <row r="15" spans="1:12" x14ac:dyDescent="0.3">
      <c r="D15" t="s">
        <v>50</v>
      </c>
      <c r="E15">
        <v>0.01</v>
      </c>
      <c r="G15" t="s">
        <v>58</v>
      </c>
      <c r="H15">
        <v>0.01</v>
      </c>
    </row>
    <row r="16" spans="1:12" x14ac:dyDescent="0.3">
      <c r="D16" t="s">
        <v>56</v>
      </c>
      <c r="E16">
        <v>0.64</v>
      </c>
      <c r="G16" t="s">
        <v>49</v>
      </c>
      <c r="H16">
        <v>14</v>
      </c>
    </row>
    <row r="17" spans="4:12" x14ac:dyDescent="0.3">
      <c r="D17" t="s">
        <v>55</v>
      </c>
      <c r="E17">
        <f>bsPrice(E11,E12,E13,E15,E14/365,E16,0)</f>
        <v>10.199795599190253</v>
      </c>
      <c r="G17" t="s">
        <v>56</v>
      </c>
      <c r="H17">
        <v>0.64200000000000002</v>
      </c>
    </row>
    <row r="18" spans="4:12" x14ac:dyDescent="0.3">
      <c r="G18" t="s">
        <v>54</v>
      </c>
      <c r="H18">
        <f t="array" ref="H18:L18">bsGreeks(H12,H13,H14,H15,H16/365,H17)</f>
        <v>-0.79030300354102545</v>
      </c>
      <c r="I18">
        <v>1.8933587365464535E-2</v>
      </c>
      <c r="J18">
        <v>6.8216064964461531E-2</v>
      </c>
      <c r="K18">
        <v>-15.336081033664632</v>
      </c>
      <c r="L18">
        <v>-4.2684340646166419</v>
      </c>
    </row>
    <row r="19" spans="4:12" x14ac:dyDescent="0.3">
      <c r="H19" t="s">
        <v>24</v>
      </c>
      <c r="I19" t="s">
        <v>25</v>
      </c>
      <c r="J19" t="s">
        <v>26</v>
      </c>
      <c r="K19" t="s">
        <v>27</v>
      </c>
      <c r="L19" t="s">
        <v>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9938D2-3065-4BFB-B9D9-3AFBC16FB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Static</vt:lpstr>
      <vt:lpstr>Details</vt:lpstr>
      <vt:lpstr>data</vt:lpstr>
      <vt:lpstr>Greeks</vt:lpstr>
      <vt:lpstr>regression</vt:lpstr>
      <vt:lpstr>_xlwings.conf</vt:lpstr>
      <vt:lpstr>CalcMode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Manas Bhatt</cp:lastModifiedBy>
  <dcterms:created xsi:type="dcterms:W3CDTF">2015-01-25T11:31:25Z</dcterms:created>
  <dcterms:modified xsi:type="dcterms:W3CDTF">2022-05-05T03:30:02Z</dcterms:modified>
</cp:coreProperties>
</file>