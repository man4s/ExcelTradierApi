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work\freelance\test\"/>
    </mc:Choice>
  </mc:AlternateContent>
  <xr:revisionPtr revIDLastSave="0" documentId="13_ncr:1_{FB1301F3-BA78-425C-A10E-3DA5179B2C22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Static" sheetId="3" r:id="rId1"/>
    <sheet name="Details" sheetId="1" r:id="rId2"/>
    <sheet name="data" sheetId="10" r:id="rId3"/>
    <sheet name="Greeks" sheetId="7" r:id="rId4"/>
    <sheet name="regression" sheetId="4" r:id="rId5"/>
    <sheet name="_xlwings.conf" sheetId="2" r:id="rId6"/>
  </sheets>
  <functionGroups builtInGroupCount="19">
    <functionGroup name="xlwings"/>
  </functionGroups>
  <definedNames>
    <definedName name="CalcMode">Static!#REF!</definedName>
    <definedName name="ExternalData_1" localSheetId="2" hidden="1">data!$A$1:$AH$125</definedName>
    <definedName name="greeksPosition">Greeks!$O$3</definedName>
    <definedName name="Lapse">Details!$J$2</definedName>
    <definedName name="OptExpiries">Details!$A$10:$A$56</definedName>
    <definedName name="spot">Details!$B$4</definedName>
    <definedName name="Timer">Details!$J$1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bsGreek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bs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elloString">
          <x14:argumentDescriptions count="1">
            <x14:argumentDescription index="0">Positional argument 1</x14:argumentDescription>
          </x14:argumentDescriptions>
        </x14:definedName>
        <x14:definedName name="impliedVo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aturity">
          <x14:argumentDescriptions count="1">
            <x14:argumentDescription index="0">Positional argument 1</x14:argumentDescription>
          </x14:argumentDescriptions>
        </x14:definedName>
        <x14:definedName name="optionCh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onChainFil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optionChainGreeks">
          <x14:argumentDescriptions count="8">
            <x14:argumentDescription index="0">Positional argument 1</x14:argumentDescription>
            <x14:argumentDescription index="1">Array of Strikes</x14:argumentDescription>
            <x14:argumentDescription index="2">Array of option Types ie c or p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optionExpi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Pri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data_a371cd50-8e58-4f45-9e4c-729eb10f29c0" name="data" connection="Query -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2" i="10" l="1"/>
  <c r="AI3" i="10"/>
  <c r="AI4" i="10"/>
  <c r="AI5" i="10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J2" i="10"/>
  <c r="AJ3" i="10"/>
  <c r="AJ4" i="10"/>
  <c r="AJ5" i="10"/>
  <c r="AJ6" i="10"/>
  <c r="AJ7" i="10"/>
  <c r="AJ8" i="10"/>
  <c r="AJ9" i="10"/>
  <c r="AJ10" i="10"/>
  <c r="AJ11" i="10"/>
  <c r="AJ12" i="10"/>
  <c r="AJ13" i="10"/>
  <c r="AJ14" i="10"/>
  <c r="AJ15" i="10"/>
  <c r="AJ16" i="10"/>
  <c r="AJ17" i="10"/>
  <c r="AJ18" i="10"/>
  <c r="AJ19" i="10"/>
  <c r="AJ20" i="10"/>
  <c r="AJ21" i="10"/>
  <c r="AJ22" i="10"/>
  <c r="AJ23" i="10"/>
  <c r="AJ24" i="10"/>
  <c r="AJ25" i="10"/>
  <c r="AJ26" i="10"/>
  <c r="AJ27" i="10"/>
  <c r="AJ28" i="10"/>
  <c r="AJ29" i="10"/>
  <c r="AJ30" i="10"/>
  <c r="AJ31" i="10"/>
  <c r="AJ32" i="10"/>
  <c r="AJ33" i="10"/>
  <c r="AJ34" i="10"/>
  <c r="AJ35" i="10"/>
  <c r="AJ36" i="10"/>
  <c r="AJ37" i="10"/>
  <c r="AJ38" i="10"/>
  <c r="AJ39" i="10"/>
  <c r="AJ40" i="10"/>
  <c r="AJ41" i="10"/>
  <c r="AJ42" i="10"/>
  <c r="AJ43" i="10"/>
  <c r="AJ44" i="10"/>
  <c r="AJ45" i="10"/>
  <c r="AJ46" i="10"/>
  <c r="AJ47" i="10"/>
  <c r="AJ48" i="10"/>
  <c r="AJ49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2" i="10"/>
  <c r="AJ63" i="10"/>
  <c r="AJ64" i="10"/>
  <c r="AJ65" i="10"/>
  <c r="AJ66" i="10"/>
  <c r="AJ67" i="10"/>
  <c r="AJ68" i="10"/>
  <c r="AJ69" i="10"/>
  <c r="AJ70" i="10"/>
  <c r="AJ71" i="10"/>
  <c r="AJ72" i="10"/>
  <c r="AJ73" i="10"/>
  <c r="AJ74" i="10"/>
  <c r="AJ75" i="10"/>
  <c r="AJ76" i="10"/>
  <c r="AJ77" i="10"/>
  <c r="AJ78" i="10"/>
  <c r="AJ79" i="10"/>
  <c r="AJ80" i="10"/>
  <c r="AJ81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K2" i="10"/>
  <c r="AK3" i="10"/>
  <c r="AK4" i="10"/>
  <c r="AK5" i="10"/>
  <c r="AK6" i="10"/>
  <c r="AK7" i="10"/>
  <c r="AK8" i="10"/>
  <c r="AK9" i="10"/>
  <c r="AK10" i="10"/>
  <c r="AK11" i="10"/>
  <c r="AK12" i="10"/>
  <c r="AK13" i="10"/>
  <c r="AK14" i="10"/>
  <c r="AK15" i="10"/>
  <c r="AK16" i="10"/>
  <c r="AK17" i="10"/>
  <c r="AK18" i="10"/>
  <c r="AK19" i="10"/>
  <c r="AK20" i="10"/>
  <c r="AK21" i="10"/>
  <c r="AK22" i="10"/>
  <c r="AK23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47" i="10"/>
  <c r="AK48" i="10"/>
  <c r="AK49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K79" i="10"/>
  <c r="AK80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L2" i="10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L43" i="10"/>
  <c r="AL44" i="10"/>
  <c r="AL45" i="10"/>
  <c r="AL46" i="10"/>
  <c r="AL47" i="10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AL70" i="10"/>
  <c r="AL71" i="10"/>
  <c r="AL72" i="10"/>
  <c r="AL73" i="10"/>
  <c r="AL74" i="10"/>
  <c r="AL75" i="10"/>
  <c r="AL76" i="10"/>
  <c r="AL77" i="10"/>
  <c r="AL78" i="10"/>
  <c r="AL79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M2" i="10"/>
  <c r="AM3" i="10"/>
  <c r="AM4" i="10"/>
  <c r="AM5" i="10"/>
  <c r="AM6" i="10"/>
  <c r="AM7" i="10"/>
  <c r="AM8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B5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C56" i="1"/>
  <c r="A10" i="1" a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N1" i="10" a="1"/>
  <c r="AN1" i="10"/>
  <c r="AO1" i="10"/>
  <c r="AP1" i="10"/>
  <c r="AQ1" i="10"/>
  <c r="AR1" i="10"/>
  <c r="AS1" i="10"/>
  <c r="AT1" i="10"/>
  <c r="AU1" i="10"/>
  <c r="AN2" i="10"/>
  <c r="AO2" i="10"/>
  <c r="AP2" i="10"/>
  <c r="AQ2" i="10"/>
  <c r="AR2" i="10"/>
  <c r="AS2" i="10"/>
  <c r="AT2" i="10"/>
  <c r="AU2" i="10"/>
  <c r="AN3" i="10"/>
  <c r="AO3" i="10"/>
  <c r="AP3" i="10"/>
  <c r="AQ3" i="10"/>
  <c r="AR3" i="10"/>
  <c r="AS3" i="10"/>
  <c r="AT3" i="10"/>
  <c r="AU3" i="10"/>
  <c r="AN4" i="10"/>
  <c r="AO4" i="10"/>
  <c r="AP4" i="10"/>
  <c r="AQ4" i="10"/>
  <c r="AR4" i="10"/>
  <c r="AS4" i="10"/>
  <c r="AT4" i="10"/>
  <c r="AU4" i="10"/>
  <c r="AN5" i="10"/>
  <c r="AO5" i="10"/>
  <c r="AP5" i="10"/>
  <c r="AQ5" i="10"/>
  <c r="AR5" i="10"/>
  <c r="AS5" i="10"/>
  <c r="AT5" i="10"/>
  <c r="AU5" i="10"/>
  <c r="AN6" i="10"/>
  <c r="AO6" i="10"/>
  <c r="AP6" i="10"/>
  <c r="AQ6" i="10"/>
  <c r="AR6" i="10"/>
  <c r="AS6" i="10"/>
  <c r="AT6" i="10"/>
  <c r="AU6" i="10"/>
  <c r="AN7" i="10"/>
  <c r="AO7" i="10"/>
  <c r="AP7" i="10"/>
  <c r="AQ7" i="10"/>
  <c r="AR7" i="10"/>
  <c r="AS7" i="10"/>
  <c r="AT7" i="10"/>
  <c r="AU7" i="10"/>
  <c r="AN8" i="10"/>
  <c r="AO8" i="10"/>
  <c r="AP8" i="10"/>
  <c r="AQ8" i="10"/>
  <c r="AR8" i="10"/>
  <c r="AS8" i="10"/>
  <c r="AT8" i="10"/>
  <c r="AU8" i="10"/>
  <c r="AN9" i="10"/>
  <c r="AO9" i="10"/>
  <c r="AP9" i="10"/>
  <c r="AQ9" i="10"/>
  <c r="AR9" i="10"/>
  <c r="AS9" i="10"/>
  <c r="AT9" i="10"/>
  <c r="AU9" i="10"/>
  <c r="AN10" i="10"/>
  <c r="AO10" i="10"/>
  <c r="AP10" i="10"/>
  <c r="AQ10" i="10"/>
  <c r="AR10" i="10"/>
  <c r="AS10" i="10"/>
  <c r="AT10" i="10"/>
  <c r="AU10" i="10"/>
  <c r="AN11" i="10"/>
  <c r="AO11" i="10"/>
  <c r="AP11" i="10"/>
  <c r="AQ11" i="10"/>
  <c r="AR11" i="10"/>
  <c r="AS11" i="10"/>
  <c r="AT11" i="10"/>
  <c r="AU11" i="10"/>
  <c r="AN12" i="10"/>
  <c r="AO12" i="10"/>
  <c r="AP12" i="10"/>
  <c r="AQ12" i="10"/>
  <c r="AR12" i="10"/>
  <c r="AS12" i="10"/>
  <c r="AT12" i="10"/>
  <c r="AU12" i="10"/>
  <c r="AN13" i="10"/>
  <c r="AO13" i="10"/>
  <c r="AP13" i="10"/>
  <c r="AQ13" i="10"/>
  <c r="AR13" i="10"/>
  <c r="AS13" i="10"/>
  <c r="AT13" i="10"/>
  <c r="AU13" i="10"/>
  <c r="AN14" i="10"/>
  <c r="AO14" i="10"/>
  <c r="AP14" i="10"/>
  <c r="AQ14" i="10"/>
  <c r="AR14" i="10"/>
  <c r="AS14" i="10"/>
  <c r="AT14" i="10"/>
  <c r="AU14" i="10"/>
  <c r="AN15" i="10"/>
  <c r="AO15" i="10"/>
  <c r="AP15" i="10"/>
  <c r="AQ15" i="10"/>
  <c r="AR15" i="10"/>
  <c r="AS15" i="10"/>
  <c r="AT15" i="10"/>
  <c r="AU15" i="10"/>
  <c r="AN16" i="10"/>
  <c r="AO16" i="10"/>
  <c r="AP16" i="10"/>
  <c r="AQ16" i="10"/>
  <c r="AR16" i="10"/>
  <c r="AS16" i="10"/>
  <c r="AT16" i="10"/>
  <c r="AU16" i="10"/>
  <c r="AN17" i="10"/>
  <c r="AO17" i="10"/>
  <c r="AP17" i="10"/>
  <c r="AQ17" i="10"/>
  <c r="AR17" i="10"/>
  <c r="AS17" i="10"/>
  <c r="AT17" i="10"/>
  <c r="AU17" i="10"/>
  <c r="AN18" i="10"/>
  <c r="AO18" i="10"/>
  <c r="AP18" i="10"/>
  <c r="AQ18" i="10"/>
  <c r="AR18" i="10"/>
  <c r="AS18" i="10"/>
  <c r="AT18" i="10"/>
  <c r="AU18" i="10"/>
  <c r="AN19" i="10"/>
  <c r="AO19" i="10"/>
  <c r="AP19" i="10"/>
  <c r="AQ19" i="10"/>
  <c r="AR19" i="10"/>
  <c r="AS19" i="10"/>
  <c r="AT19" i="10"/>
  <c r="AU19" i="10"/>
  <c r="AN20" i="10"/>
  <c r="AO20" i="10"/>
  <c r="AP20" i="10"/>
  <c r="AQ20" i="10"/>
  <c r="AR20" i="10"/>
  <c r="AS20" i="10"/>
  <c r="AT20" i="10"/>
  <c r="AU20" i="10"/>
  <c r="AN21" i="10"/>
  <c r="AO21" i="10"/>
  <c r="AP21" i="10"/>
  <c r="AQ21" i="10"/>
  <c r="AR21" i="10"/>
  <c r="AS21" i="10"/>
  <c r="AT21" i="10"/>
  <c r="AU21" i="10"/>
  <c r="AN22" i="10"/>
  <c r="AO22" i="10"/>
  <c r="AP22" i="10"/>
  <c r="AQ22" i="10"/>
  <c r="AR22" i="10"/>
  <c r="AS22" i="10"/>
  <c r="AT22" i="10"/>
  <c r="AU22" i="10"/>
  <c r="AN23" i="10"/>
  <c r="AO23" i="10"/>
  <c r="AP23" i="10"/>
  <c r="AQ23" i="10"/>
  <c r="AR23" i="10"/>
  <c r="AS23" i="10"/>
  <c r="AT23" i="10"/>
  <c r="AU23" i="10"/>
  <c r="AN24" i="10"/>
  <c r="AO24" i="10"/>
  <c r="AP24" i="10"/>
  <c r="AQ24" i="10"/>
  <c r="AR24" i="10"/>
  <c r="AS24" i="10"/>
  <c r="AT24" i="10"/>
  <c r="AU24" i="10"/>
  <c r="AN25" i="10"/>
  <c r="AO25" i="10"/>
  <c r="AP25" i="10"/>
  <c r="AQ25" i="10"/>
  <c r="AR25" i="10"/>
  <c r="AS25" i="10"/>
  <c r="AT25" i="10"/>
  <c r="AU25" i="10"/>
  <c r="AN26" i="10"/>
  <c r="AO26" i="10"/>
  <c r="AP26" i="10"/>
  <c r="AQ26" i="10"/>
  <c r="AR26" i="10"/>
  <c r="AS26" i="10"/>
  <c r="AT26" i="10"/>
  <c r="AU26" i="10"/>
  <c r="AN27" i="10"/>
  <c r="AO27" i="10"/>
  <c r="AP27" i="10"/>
  <c r="AQ27" i="10"/>
  <c r="AR27" i="10"/>
  <c r="AS27" i="10"/>
  <c r="AT27" i="10"/>
  <c r="AU27" i="10"/>
  <c r="AN28" i="10"/>
  <c r="AO28" i="10"/>
  <c r="AP28" i="10"/>
  <c r="AQ28" i="10"/>
  <c r="AR28" i="10"/>
  <c r="AS28" i="10"/>
  <c r="AT28" i="10"/>
  <c r="AU28" i="10"/>
  <c r="AN29" i="10"/>
  <c r="AO29" i="10"/>
  <c r="AP29" i="10"/>
  <c r="AQ29" i="10"/>
  <c r="AR29" i="10"/>
  <c r="AS29" i="10"/>
  <c r="AT29" i="10"/>
  <c r="AU29" i="10"/>
  <c r="AN30" i="10"/>
  <c r="AO30" i="10"/>
  <c r="AP30" i="10"/>
  <c r="AQ30" i="10"/>
  <c r="AR30" i="10"/>
  <c r="AS30" i="10"/>
  <c r="AT30" i="10"/>
  <c r="AU30" i="10"/>
  <c r="AN31" i="10"/>
  <c r="AO31" i="10"/>
  <c r="AP31" i="10"/>
  <c r="AQ31" i="10"/>
  <c r="AR31" i="10"/>
  <c r="AS31" i="10"/>
  <c r="AT31" i="10"/>
  <c r="AU31" i="10"/>
  <c r="AN32" i="10"/>
  <c r="AO32" i="10"/>
  <c r="AP32" i="10"/>
  <c r="AQ32" i="10"/>
  <c r="AR32" i="10"/>
  <c r="AS32" i="10"/>
  <c r="AT32" i="10"/>
  <c r="AU32" i="10"/>
  <c r="AN33" i="10"/>
  <c r="AO33" i="10"/>
  <c r="AP33" i="10"/>
  <c r="AQ33" i="10"/>
  <c r="AR33" i="10"/>
  <c r="AS33" i="10"/>
  <c r="AT33" i="10"/>
  <c r="AU33" i="10"/>
  <c r="AN34" i="10"/>
  <c r="AO34" i="10"/>
  <c r="AP34" i="10"/>
  <c r="AQ34" i="10"/>
  <c r="AR34" i="10"/>
  <c r="AS34" i="10"/>
  <c r="AT34" i="10"/>
  <c r="AU34" i="10"/>
  <c r="AN35" i="10"/>
  <c r="AO35" i="10"/>
  <c r="AP35" i="10"/>
  <c r="AQ35" i="10"/>
  <c r="AR35" i="10"/>
  <c r="AS35" i="10"/>
  <c r="AT35" i="10"/>
  <c r="AU35" i="10"/>
  <c r="AN36" i="10"/>
  <c r="AO36" i="10"/>
  <c r="AP36" i="10"/>
  <c r="AQ36" i="10"/>
  <c r="AR36" i="10"/>
  <c r="AS36" i="10"/>
  <c r="AT36" i="10"/>
  <c r="AU36" i="10"/>
  <c r="AN37" i="10"/>
  <c r="AO37" i="10"/>
  <c r="AP37" i="10"/>
  <c r="AQ37" i="10"/>
  <c r="AR37" i="10"/>
  <c r="AS37" i="10"/>
  <c r="AT37" i="10"/>
  <c r="AU37" i="10"/>
  <c r="AN38" i="10"/>
  <c r="AO38" i="10"/>
  <c r="AP38" i="10"/>
  <c r="AQ38" i="10"/>
  <c r="AR38" i="10"/>
  <c r="AS38" i="10"/>
  <c r="AT38" i="10"/>
  <c r="AU38" i="10"/>
  <c r="AN39" i="10"/>
  <c r="AO39" i="10"/>
  <c r="AP39" i="10"/>
  <c r="AQ39" i="10"/>
  <c r="AR39" i="10"/>
  <c r="AS39" i="10"/>
  <c r="AT39" i="10"/>
  <c r="AU39" i="10"/>
  <c r="AN40" i="10"/>
  <c r="AO40" i="10"/>
  <c r="AP40" i="10"/>
  <c r="AQ40" i="10"/>
  <c r="AR40" i="10"/>
  <c r="AS40" i="10"/>
  <c r="AT40" i="10"/>
  <c r="AU40" i="10"/>
  <c r="AN41" i="10"/>
  <c r="AO41" i="10"/>
  <c r="AP41" i="10"/>
  <c r="AQ41" i="10"/>
  <c r="AR41" i="10"/>
  <c r="AS41" i="10"/>
  <c r="AT41" i="10"/>
  <c r="AU41" i="10"/>
  <c r="AN42" i="10"/>
  <c r="AO42" i="10"/>
  <c r="AP42" i="10"/>
  <c r="AQ42" i="10"/>
  <c r="AR42" i="10"/>
  <c r="AS42" i="10"/>
  <c r="AT42" i="10"/>
  <c r="AU42" i="10"/>
  <c r="AN43" i="10"/>
  <c r="AO43" i="10"/>
  <c r="AP43" i="10"/>
  <c r="AQ43" i="10"/>
  <c r="AR43" i="10"/>
  <c r="AS43" i="10"/>
  <c r="AT43" i="10"/>
  <c r="AU43" i="10"/>
  <c r="AN44" i="10"/>
  <c r="AO44" i="10"/>
  <c r="AP44" i="10"/>
  <c r="AQ44" i="10"/>
  <c r="AR44" i="10"/>
  <c r="AS44" i="10"/>
  <c r="AT44" i="10"/>
  <c r="AU44" i="10"/>
  <c r="AN45" i="10"/>
  <c r="AO45" i="10"/>
  <c r="AP45" i="10"/>
  <c r="AQ45" i="10"/>
  <c r="AR45" i="10"/>
  <c r="AS45" i="10"/>
  <c r="AT45" i="10"/>
  <c r="AU45" i="10"/>
  <c r="AN46" i="10"/>
  <c r="AO46" i="10"/>
  <c r="AP46" i="10"/>
  <c r="AQ46" i="10"/>
  <c r="AR46" i="10"/>
  <c r="AS46" i="10"/>
  <c r="AT46" i="10"/>
  <c r="AU46" i="10"/>
  <c r="AN47" i="10"/>
  <c r="AO47" i="10"/>
  <c r="AP47" i="10"/>
  <c r="AQ47" i="10"/>
  <c r="AR47" i="10"/>
  <c r="AS47" i="10"/>
  <c r="AT47" i="10"/>
  <c r="AU47" i="10"/>
  <c r="AN48" i="10"/>
  <c r="AO48" i="10"/>
  <c r="AP48" i="10"/>
  <c r="AQ48" i="10"/>
  <c r="AR48" i="10"/>
  <c r="AS48" i="10"/>
  <c r="AT48" i="10"/>
  <c r="AU48" i="10"/>
  <c r="AN49" i="10"/>
  <c r="AO49" i="10"/>
  <c r="AP49" i="10"/>
  <c r="AQ49" i="10"/>
  <c r="AR49" i="10"/>
  <c r="AS49" i="10"/>
  <c r="AT49" i="10"/>
  <c r="AU49" i="10"/>
  <c r="AN50" i="10"/>
  <c r="AO50" i="10"/>
  <c r="AP50" i="10"/>
  <c r="AQ50" i="10"/>
  <c r="AR50" i="10"/>
  <c r="AS50" i="10"/>
  <c r="AT50" i="10"/>
  <c r="AU50" i="10"/>
  <c r="AN51" i="10"/>
  <c r="AO51" i="10"/>
  <c r="AP51" i="10"/>
  <c r="AQ51" i="10"/>
  <c r="AR51" i="10"/>
  <c r="AS51" i="10"/>
  <c r="AT51" i="10"/>
  <c r="AU51" i="10"/>
  <c r="AN52" i="10"/>
  <c r="AO52" i="10"/>
  <c r="AP52" i="10"/>
  <c r="AQ52" i="10"/>
  <c r="AR52" i="10"/>
  <c r="AS52" i="10"/>
  <c r="AT52" i="10"/>
  <c r="AU52" i="10"/>
  <c r="AN53" i="10"/>
  <c r="AO53" i="10"/>
  <c r="AP53" i="10"/>
  <c r="AQ53" i="10"/>
  <c r="AR53" i="10"/>
  <c r="AS53" i="10"/>
  <c r="AT53" i="10"/>
  <c r="AU53" i="10"/>
  <c r="AN54" i="10"/>
  <c r="AO54" i="10"/>
  <c r="AP54" i="10"/>
  <c r="AQ54" i="10"/>
  <c r="AR54" i="10"/>
  <c r="AS54" i="10"/>
  <c r="AT54" i="10"/>
  <c r="AU54" i="10"/>
  <c r="AN55" i="10"/>
  <c r="AO55" i="10"/>
  <c r="AP55" i="10"/>
  <c r="AQ55" i="10"/>
  <c r="AR55" i="10"/>
  <c r="AS55" i="10"/>
  <c r="AT55" i="10"/>
  <c r="AU55" i="10"/>
  <c r="AN56" i="10"/>
  <c r="AO56" i="10"/>
  <c r="AP56" i="10"/>
  <c r="AQ56" i="10"/>
  <c r="AR56" i="10"/>
  <c r="AS56" i="10"/>
  <c r="AT56" i="10"/>
  <c r="AU56" i="10"/>
  <c r="AN57" i="10"/>
  <c r="AO57" i="10"/>
  <c r="AP57" i="10"/>
  <c r="AQ57" i="10"/>
  <c r="AR57" i="10"/>
  <c r="AS57" i="10"/>
  <c r="AT57" i="10"/>
  <c r="AU57" i="10"/>
  <c r="AN58" i="10"/>
  <c r="AO58" i="10"/>
  <c r="AP58" i="10"/>
  <c r="AQ58" i="10"/>
  <c r="AR58" i="10"/>
  <c r="AS58" i="10"/>
  <c r="AT58" i="10"/>
  <c r="AU58" i="10"/>
  <c r="AN59" i="10"/>
  <c r="AO59" i="10"/>
  <c r="AP59" i="10"/>
  <c r="AQ59" i="10"/>
  <c r="AR59" i="10"/>
  <c r="AS59" i="10"/>
  <c r="AT59" i="10"/>
  <c r="AU59" i="10"/>
  <c r="AN60" i="10"/>
  <c r="AO60" i="10"/>
  <c r="AP60" i="10"/>
  <c r="AQ60" i="10"/>
  <c r="AR60" i="10"/>
  <c r="AS60" i="10"/>
  <c r="AT60" i="10"/>
  <c r="AU60" i="10"/>
  <c r="AN61" i="10"/>
  <c r="AO61" i="10"/>
  <c r="AP61" i="10"/>
  <c r="AQ61" i="10"/>
  <c r="AR61" i="10"/>
  <c r="AS61" i="10"/>
  <c r="AT61" i="10"/>
  <c r="AU61" i="10"/>
  <c r="AN62" i="10"/>
  <c r="AO62" i="10"/>
  <c r="AP62" i="10"/>
  <c r="AQ62" i="10"/>
  <c r="AR62" i="10"/>
  <c r="AS62" i="10"/>
  <c r="AT62" i="10"/>
  <c r="AU62" i="10"/>
  <c r="AN63" i="10"/>
  <c r="AO63" i="10"/>
  <c r="AP63" i="10"/>
  <c r="AQ63" i="10"/>
  <c r="AR63" i="10"/>
  <c r="AS63" i="10"/>
  <c r="AT63" i="10"/>
  <c r="AU63" i="10"/>
  <c r="AN64" i="10"/>
  <c r="AO64" i="10"/>
  <c r="AP64" i="10"/>
  <c r="AQ64" i="10"/>
  <c r="AR64" i="10"/>
  <c r="AS64" i="10"/>
  <c r="AT64" i="10"/>
  <c r="AU64" i="10"/>
  <c r="AN65" i="10"/>
  <c r="AO65" i="10"/>
  <c r="AP65" i="10"/>
  <c r="AQ65" i="10"/>
  <c r="AR65" i="10"/>
  <c r="AS65" i="10"/>
  <c r="AT65" i="10"/>
  <c r="AU65" i="10"/>
  <c r="AN66" i="10"/>
  <c r="AO66" i="10"/>
  <c r="AP66" i="10"/>
  <c r="AQ66" i="10"/>
  <c r="AR66" i="10"/>
  <c r="AS66" i="10"/>
  <c r="AT66" i="10"/>
  <c r="AU66" i="10"/>
  <c r="AN67" i="10"/>
  <c r="AO67" i="10"/>
  <c r="AP67" i="10"/>
  <c r="AQ67" i="10"/>
  <c r="AR67" i="10"/>
  <c r="AS67" i="10"/>
  <c r="AT67" i="10"/>
  <c r="AU67" i="10"/>
  <c r="AN68" i="10"/>
  <c r="AO68" i="10"/>
  <c r="AP68" i="10"/>
  <c r="AQ68" i="10"/>
  <c r="AR68" i="10"/>
  <c r="AS68" i="10"/>
  <c r="AT68" i="10"/>
  <c r="AU68" i="10"/>
  <c r="AN69" i="10"/>
  <c r="AO69" i="10"/>
  <c r="AP69" i="10"/>
  <c r="AQ69" i="10"/>
  <c r="AR69" i="10"/>
  <c r="AS69" i="10"/>
  <c r="AT69" i="10"/>
  <c r="AU69" i="10"/>
  <c r="AN70" i="10"/>
  <c r="AO70" i="10"/>
  <c r="AP70" i="10"/>
  <c r="AQ70" i="10"/>
  <c r="AR70" i="10"/>
  <c r="AS70" i="10"/>
  <c r="AT70" i="10"/>
  <c r="AU70" i="10"/>
  <c r="AN71" i="10"/>
  <c r="AO71" i="10"/>
  <c r="AP71" i="10"/>
  <c r="AQ71" i="10"/>
  <c r="AR71" i="10"/>
  <c r="AS71" i="10"/>
  <c r="AT71" i="10"/>
  <c r="AU71" i="10"/>
  <c r="AN72" i="10"/>
  <c r="AO72" i="10"/>
  <c r="AP72" i="10"/>
  <c r="AQ72" i="10"/>
  <c r="AR72" i="10"/>
  <c r="AS72" i="10"/>
  <c r="AT72" i="10"/>
  <c r="AU72" i="10"/>
  <c r="AN73" i="10"/>
  <c r="AO73" i="10"/>
  <c r="AP73" i="10"/>
  <c r="AQ73" i="10"/>
  <c r="AR73" i="10"/>
  <c r="AS73" i="10"/>
  <c r="AT73" i="10"/>
  <c r="AU73" i="10"/>
  <c r="AN74" i="10"/>
  <c r="AO74" i="10"/>
  <c r="AP74" i="10"/>
  <c r="AQ74" i="10"/>
  <c r="AR74" i="10"/>
  <c r="AS74" i="10"/>
  <c r="AT74" i="10"/>
  <c r="AU74" i="10"/>
  <c r="AN75" i="10"/>
  <c r="AO75" i="10"/>
  <c r="AP75" i="10"/>
  <c r="AQ75" i="10"/>
  <c r="AR75" i="10"/>
  <c r="AS75" i="10"/>
  <c r="AT75" i="10"/>
  <c r="AU75" i="10"/>
  <c r="AN76" i="10"/>
  <c r="AO76" i="10"/>
  <c r="AP76" i="10"/>
  <c r="AQ76" i="10"/>
  <c r="AR76" i="10"/>
  <c r="AS76" i="10"/>
  <c r="AT76" i="10"/>
  <c r="AU76" i="10"/>
  <c r="AN77" i="10"/>
  <c r="AO77" i="10"/>
  <c r="AP77" i="10"/>
  <c r="AQ77" i="10"/>
  <c r="AR77" i="10"/>
  <c r="AS77" i="10"/>
  <c r="AT77" i="10"/>
  <c r="AU77" i="10"/>
  <c r="AN78" i="10"/>
  <c r="AO78" i="10"/>
  <c r="AP78" i="10"/>
  <c r="AQ78" i="10"/>
  <c r="AR78" i="10"/>
  <c r="AS78" i="10"/>
  <c r="AT78" i="10"/>
  <c r="AU78" i="10"/>
  <c r="AN79" i="10"/>
  <c r="AO79" i="10"/>
  <c r="AP79" i="10"/>
  <c r="AQ79" i="10"/>
  <c r="AR79" i="10"/>
  <c r="AS79" i="10"/>
  <c r="AT79" i="10"/>
  <c r="AU79" i="10"/>
  <c r="AN80" i="10"/>
  <c r="AO80" i="10"/>
  <c r="AP80" i="10"/>
  <c r="AQ80" i="10"/>
  <c r="AR80" i="10"/>
  <c r="AS80" i="10"/>
  <c r="AT80" i="10"/>
  <c r="AU80" i="10"/>
  <c r="AN81" i="10"/>
  <c r="AO81" i="10"/>
  <c r="AP81" i="10"/>
  <c r="AQ81" i="10"/>
  <c r="AR81" i="10"/>
  <c r="AS81" i="10"/>
  <c r="AT81" i="10"/>
  <c r="AU81" i="10"/>
  <c r="AN82" i="10"/>
  <c r="AO82" i="10"/>
  <c r="AP82" i="10"/>
  <c r="AQ82" i="10"/>
  <c r="AR82" i="10"/>
  <c r="AS82" i="10"/>
  <c r="AT82" i="10"/>
  <c r="AU82" i="10"/>
  <c r="AN83" i="10"/>
  <c r="AO83" i="10"/>
  <c r="AP83" i="10"/>
  <c r="AQ83" i="10"/>
  <c r="AR83" i="10"/>
  <c r="AS83" i="10"/>
  <c r="AT83" i="10"/>
  <c r="AU83" i="10"/>
  <c r="AN84" i="10"/>
  <c r="AO84" i="10"/>
  <c r="AP84" i="10"/>
  <c r="AQ84" i="10"/>
  <c r="AR84" i="10"/>
  <c r="AS84" i="10"/>
  <c r="AT84" i="10"/>
  <c r="AU84" i="10"/>
  <c r="AN85" i="10"/>
  <c r="AO85" i="10"/>
  <c r="AP85" i="10"/>
  <c r="AQ85" i="10"/>
  <c r="AR85" i="10"/>
  <c r="AS85" i="10"/>
  <c r="AT85" i="10"/>
  <c r="AU85" i="10"/>
  <c r="AN86" i="10"/>
  <c r="AO86" i="10"/>
  <c r="AP86" i="10"/>
  <c r="AQ86" i="10"/>
  <c r="AR86" i="10"/>
  <c r="AS86" i="10"/>
  <c r="AT86" i="10"/>
  <c r="AU86" i="10"/>
  <c r="AN87" i="10"/>
  <c r="AO87" i="10"/>
  <c r="AP87" i="10"/>
  <c r="AQ87" i="10"/>
  <c r="AR87" i="10"/>
  <c r="AS87" i="10"/>
  <c r="AT87" i="10"/>
  <c r="AU87" i="10"/>
  <c r="AN88" i="10"/>
  <c r="AO88" i="10"/>
  <c r="AP88" i="10"/>
  <c r="AQ88" i="10"/>
  <c r="AR88" i="10"/>
  <c r="AS88" i="10"/>
  <c r="AT88" i="10"/>
  <c r="AU88" i="10"/>
  <c r="AN89" i="10"/>
  <c r="AO89" i="10"/>
  <c r="AP89" i="10"/>
  <c r="AQ89" i="10"/>
  <c r="AR89" i="10"/>
  <c r="AS89" i="10"/>
  <c r="AT89" i="10"/>
  <c r="AU89" i="10"/>
  <c r="AN90" i="10"/>
  <c r="AO90" i="10"/>
  <c r="AP90" i="10"/>
  <c r="AQ90" i="10"/>
  <c r="AR90" i="10"/>
  <c r="AS90" i="10"/>
  <c r="AT90" i="10"/>
  <c r="AU90" i="10"/>
  <c r="AN91" i="10"/>
  <c r="AO91" i="10"/>
  <c r="AP91" i="10"/>
  <c r="AQ91" i="10"/>
  <c r="AR91" i="10"/>
  <c r="AS91" i="10"/>
  <c r="AT91" i="10"/>
  <c r="AU91" i="10"/>
  <c r="AN92" i="10"/>
  <c r="AO92" i="10"/>
  <c r="AP92" i="10"/>
  <c r="AQ92" i="10"/>
  <c r="AR92" i="10"/>
  <c r="AS92" i="10"/>
  <c r="AT92" i="10"/>
  <c r="AU92" i="10"/>
  <c r="AN93" i="10"/>
  <c r="AO93" i="10"/>
  <c r="AP93" i="10"/>
  <c r="AQ93" i="10"/>
  <c r="AR93" i="10"/>
  <c r="AS93" i="10"/>
  <c r="AT93" i="10"/>
  <c r="AU93" i="10"/>
  <c r="AN94" i="10"/>
  <c r="AO94" i="10"/>
  <c r="AP94" i="10"/>
  <c r="AQ94" i="10"/>
  <c r="AR94" i="10"/>
  <c r="AS94" i="10"/>
  <c r="AT94" i="10"/>
  <c r="AU94" i="10"/>
  <c r="AN95" i="10"/>
  <c r="AO95" i="10"/>
  <c r="AP95" i="10"/>
  <c r="AQ95" i="10"/>
  <c r="AR95" i="10"/>
  <c r="AS95" i="10"/>
  <c r="AT95" i="10"/>
  <c r="AU95" i="10"/>
  <c r="AN96" i="10"/>
  <c r="AO96" i="10"/>
  <c r="AP96" i="10"/>
  <c r="AQ96" i="10"/>
  <c r="AR96" i="10"/>
  <c r="AS96" i="10"/>
  <c r="AT96" i="10"/>
  <c r="AU96" i="10"/>
  <c r="AN97" i="10"/>
  <c r="AO97" i="10"/>
  <c r="AP97" i="10"/>
  <c r="AQ97" i="10"/>
  <c r="AR97" i="10"/>
  <c r="AS97" i="10"/>
  <c r="AT97" i="10"/>
  <c r="AU97" i="10"/>
  <c r="AN98" i="10"/>
  <c r="AO98" i="10"/>
  <c r="AP98" i="10"/>
  <c r="AQ98" i="10"/>
  <c r="AR98" i="10"/>
  <c r="AS98" i="10"/>
  <c r="AT98" i="10"/>
  <c r="AU98" i="10"/>
  <c r="AN99" i="10"/>
  <c r="AO99" i="10"/>
  <c r="AP99" i="10"/>
  <c r="AQ99" i="10"/>
  <c r="AR99" i="10"/>
  <c r="AS99" i="10"/>
  <c r="AT99" i="10"/>
  <c r="AU99" i="10"/>
  <c r="AN100" i="10"/>
  <c r="AO100" i="10"/>
  <c r="AP100" i="10"/>
  <c r="AQ100" i="10"/>
  <c r="AR100" i="10"/>
  <c r="AS100" i="10"/>
  <c r="AT100" i="10"/>
  <c r="AU100" i="10"/>
  <c r="AN101" i="10"/>
  <c r="AO101" i="10"/>
  <c r="AP101" i="10"/>
  <c r="AQ101" i="10"/>
  <c r="AR101" i="10"/>
  <c r="AS101" i="10"/>
  <c r="AT101" i="10"/>
  <c r="AU101" i="10"/>
  <c r="AN102" i="10"/>
  <c r="AO102" i="10"/>
  <c r="AP102" i="10"/>
  <c r="AQ102" i="10"/>
  <c r="AR102" i="10"/>
  <c r="AS102" i="10"/>
  <c r="AT102" i="10"/>
  <c r="AU102" i="10"/>
  <c r="AN103" i="10"/>
  <c r="AO103" i="10"/>
  <c r="AP103" i="10"/>
  <c r="AQ103" i="10"/>
  <c r="AR103" i="10"/>
  <c r="AS103" i="10"/>
  <c r="AT103" i="10"/>
  <c r="AU103" i="10"/>
  <c r="AN104" i="10"/>
  <c r="AO104" i="10"/>
  <c r="AP104" i="10"/>
  <c r="AQ104" i="10"/>
  <c r="AR104" i="10"/>
  <c r="AS104" i="10"/>
  <c r="AT104" i="10"/>
  <c r="AU104" i="10"/>
  <c r="AN105" i="10"/>
  <c r="AO105" i="10"/>
  <c r="AP105" i="10"/>
  <c r="AQ105" i="10"/>
  <c r="AR105" i="10"/>
  <c r="AS105" i="10"/>
  <c r="AT105" i="10"/>
  <c r="AU105" i="10"/>
  <c r="AN106" i="10"/>
  <c r="AO106" i="10"/>
  <c r="AP106" i="10"/>
  <c r="AQ106" i="10"/>
  <c r="AR106" i="10"/>
  <c r="AS106" i="10"/>
  <c r="AT106" i="10"/>
  <c r="AU106" i="10"/>
  <c r="AN107" i="10"/>
  <c r="AO107" i="10"/>
  <c r="AP107" i="10"/>
  <c r="AQ107" i="10"/>
  <c r="AR107" i="10"/>
  <c r="AS107" i="10"/>
  <c r="AT107" i="10"/>
  <c r="AU107" i="10"/>
  <c r="AN108" i="10"/>
  <c r="AO108" i="10"/>
  <c r="AP108" i="10"/>
  <c r="AQ108" i="10"/>
  <c r="AR108" i="10"/>
  <c r="AS108" i="10"/>
  <c r="AT108" i="10"/>
  <c r="AU108" i="10"/>
  <c r="AN109" i="10"/>
  <c r="AO109" i="10"/>
  <c r="AP109" i="10"/>
  <c r="AQ109" i="10"/>
  <c r="AR109" i="10"/>
  <c r="AS109" i="10"/>
  <c r="AT109" i="10"/>
  <c r="AU109" i="10"/>
  <c r="AN110" i="10"/>
  <c r="AO110" i="10"/>
  <c r="AP110" i="10"/>
  <c r="AQ110" i="10"/>
  <c r="AR110" i="10"/>
  <c r="AS110" i="10"/>
  <c r="AT110" i="10"/>
  <c r="AU110" i="10"/>
  <c r="AN111" i="10"/>
  <c r="AO111" i="10"/>
  <c r="AP111" i="10"/>
  <c r="AQ111" i="10"/>
  <c r="AR111" i="10"/>
  <c r="AS111" i="10"/>
  <c r="AT111" i="10"/>
  <c r="AU111" i="10"/>
  <c r="AN112" i="10"/>
  <c r="AO112" i="10"/>
  <c r="AP112" i="10"/>
  <c r="AQ112" i="10"/>
  <c r="AR112" i="10"/>
  <c r="AS112" i="10"/>
  <c r="AT112" i="10"/>
  <c r="AU112" i="10"/>
  <c r="AN113" i="10"/>
  <c r="AO113" i="10"/>
  <c r="AP113" i="10"/>
  <c r="AQ113" i="10"/>
  <c r="AR113" i="10"/>
  <c r="AS113" i="10"/>
  <c r="AT113" i="10"/>
  <c r="AU113" i="10"/>
  <c r="AN114" i="10"/>
  <c r="AO114" i="10"/>
  <c r="AP114" i="10"/>
  <c r="AQ114" i="10"/>
  <c r="AR114" i="10"/>
  <c r="AS114" i="10"/>
  <c r="AT114" i="10"/>
  <c r="AU114" i="10"/>
  <c r="AN115" i="10"/>
  <c r="AO115" i="10"/>
  <c r="AP115" i="10"/>
  <c r="AQ115" i="10"/>
  <c r="AR115" i="10"/>
  <c r="AS115" i="10"/>
  <c r="AT115" i="10"/>
  <c r="AU115" i="10"/>
  <c r="AN116" i="10"/>
  <c r="AO116" i="10"/>
  <c r="AP116" i="10"/>
  <c r="AQ116" i="10"/>
  <c r="AR116" i="10"/>
  <c r="AS116" i="10"/>
  <c r="AT116" i="10"/>
  <c r="AU116" i="10"/>
  <c r="AN117" i="10"/>
  <c r="AO117" i="10"/>
  <c r="AP117" i="10"/>
  <c r="AQ117" i="10"/>
  <c r="AR117" i="10"/>
  <c r="AS117" i="10"/>
  <c r="AT117" i="10"/>
  <c r="AU117" i="10"/>
  <c r="AN118" i="10"/>
  <c r="AO118" i="10"/>
  <c r="AP118" i="10"/>
  <c r="AQ118" i="10"/>
  <c r="AR118" i="10"/>
  <c r="AS118" i="10"/>
  <c r="AT118" i="10"/>
  <c r="AU118" i="10"/>
  <c r="AN119" i="10"/>
  <c r="AO119" i="10"/>
  <c r="AP119" i="10"/>
  <c r="AQ119" i="10"/>
  <c r="AR119" i="10"/>
  <c r="AS119" i="10"/>
  <c r="AT119" i="10"/>
  <c r="AU119" i="10"/>
  <c r="AN120" i="10"/>
  <c r="AO120" i="10"/>
  <c r="AP120" i="10"/>
  <c r="AQ120" i="10"/>
  <c r="AR120" i="10"/>
  <c r="AS120" i="10"/>
  <c r="AT120" i="10"/>
  <c r="AU120" i="10"/>
  <c r="AN121" i="10"/>
  <c r="AO121" i="10"/>
  <c r="AP121" i="10"/>
  <c r="AQ121" i="10"/>
  <c r="AR121" i="10"/>
  <c r="AS121" i="10"/>
  <c r="AT121" i="10"/>
  <c r="AU121" i="10"/>
  <c r="AN122" i="10"/>
  <c r="AO122" i="10"/>
  <c r="AP122" i="10"/>
  <c r="AQ122" i="10"/>
  <c r="AR122" i="10"/>
  <c r="AS122" i="10"/>
  <c r="AT122" i="10"/>
  <c r="AU122" i="10"/>
  <c r="AN123" i="10"/>
  <c r="AO123" i="10"/>
  <c r="AP123" i="10"/>
  <c r="AQ123" i="10"/>
  <c r="AR123" i="10"/>
  <c r="AS123" i="10"/>
  <c r="AT123" i="10"/>
  <c r="AU123" i="10"/>
  <c r="AN124" i="10"/>
  <c r="AO124" i="10"/>
  <c r="AP124" i="10"/>
  <c r="AQ124" i="10"/>
  <c r="AR124" i="10"/>
  <c r="AS124" i="10"/>
  <c r="AT124" i="10"/>
  <c r="AU124" i="10"/>
  <c r="AN125" i="10"/>
  <c r="AO125" i="10"/>
  <c r="AP125" i="10"/>
  <c r="AQ125" i="10"/>
  <c r="AR125" i="10"/>
  <c r="AS125" i="10"/>
  <c r="AT125" i="10"/>
  <c r="AU125" i="10"/>
  <c r="B4" i="1"/>
  <c r="B1" i="1"/>
  <c r="B33" i="4"/>
  <c r="O2" i="7" a="1"/>
  <c r="O2" i="7"/>
  <c r="P2" i="7"/>
  <c r="Q2" i="7"/>
  <c r="R2" i="7"/>
  <c r="S2" i="7"/>
  <c r="T2" i="7"/>
  <c r="U2" i="7"/>
  <c r="V2" i="7"/>
  <c r="O3" i="7"/>
  <c r="P3" i="7"/>
  <c r="Q3" i="7"/>
  <c r="R3" i="7"/>
  <c r="S3" i="7"/>
  <c r="T3" i="7"/>
  <c r="U3" i="7"/>
  <c r="V3" i="7"/>
  <c r="O4" i="7"/>
  <c r="P4" i="7"/>
  <c r="Q4" i="7"/>
  <c r="R4" i="7"/>
  <c r="S4" i="7"/>
  <c r="T4" i="7"/>
  <c r="U4" i="7"/>
  <c r="V4" i="7"/>
  <c r="O5" i="7"/>
  <c r="P5" i="7"/>
  <c r="Q5" i="7"/>
  <c r="R5" i="7"/>
  <c r="S5" i="7"/>
  <c r="T5" i="7"/>
  <c r="U5" i="7"/>
  <c r="V5" i="7"/>
  <c r="O6" i="7"/>
  <c r="P6" i="7"/>
  <c r="Q6" i="7"/>
  <c r="R6" i="7"/>
  <c r="S6" i="7"/>
  <c r="T6" i="7"/>
  <c r="U6" i="7"/>
  <c r="V6" i="7"/>
  <c r="O7" i="7"/>
  <c r="P7" i="7"/>
  <c r="Q7" i="7"/>
  <c r="R7" i="7"/>
  <c r="S7" i="7"/>
  <c r="T7" i="7"/>
  <c r="U7" i="7"/>
  <c r="V7" i="7"/>
  <c r="O8" i="7"/>
  <c r="P8" i="7"/>
  <c r="Q8" i="7"/>
  <c r="R8" i="7"/>
  <c r="S8" i="7"/>
  <c r="T8" i="7"/>
  <c r="U8" i="7"/>
  <c r="V8" i="7"/>
  <c r="O9" i="7"/>
  <c r="P9" i="7"/>
  <c r="Q9" i="7"/>
  <c r="R9" i="7"/>
  <c r="S9" i="7"/>
  <c r="T9" i="7"/>
  <c r="U9" i="7"/>
  <c r="V9" i="7"/>
  <c r="O10" i="7"/>
  <c r="P10" i="7"/>
  <c r="Q10" i="7"/>
  <c r="R10" i="7"/>
  <c r="S10" i="7"/>
  <c r="T10" i="7"/>
  <c r="U10" i="7"/>
  <c r="V10" i="7"/>
  <c r="O11" i="7"/>
  <c r="P11" i="7"/>
  <c r="Q11" i="7"/>
  <c r="R11" i="7"/>
  <c r="S11" i="7"/>
  <c r="T11" i="7"/>
  <c r="U11" i="7"/>
  <c r="V11" i="7"/>
  <c r="O12" i="7"/>
  <c r="P12" i="7"/>
  <c r="Q12" i="7"/>
  <c r="R12" i="7"/>
  <c r="S12" i="7"/>
  <c r="T12" i="7"/>
  <c r="U12" i="7"/>
  <c r="V12" i="7"/>
  <c r="O13" i="7"/>
  <c r="P13" i="7"/>
  <c r="Q13" i="7"/>
  <c r="R13" i="7"/>
  <c r="S13" i="7"/>
  <c r="T13" i="7"/>
  <c r="U13" i="7"/>
  <c r="V13" i="7"/>
  <c r="O14" i="7"/>
  <c r="P14" i="7"/>
  <c r="Q14" i="7"/>
  <c r="R14" i="7"/>
  <c r="S14" i="7"/>
  <c r="T14" i="7"/>
  <c r="U14" i="7"/>
  <c r="V14" i="7"/>
  <c r="O15" i="7"/>
  <c r="P15" i="7"/>
  <c r="Q15" i="7"/>
  <c r="R15" i="7"/>
  <c r="S15" i="7"/>
  <c r="T15" i="7"/>
  <c r="U15" i="7"/>
  <c r="V15" i="7"/>
  <c r="O16" i="7"/>
  <c r="P16" i="7"/>
  <c r="Q16" i="7"/>
  <c r="R16" i="7"/>
  <c r="S16" i="7"/>
  <c r="T16" i="7"/>
  <c r="U16" i="7"/>
  <c r="V16" i="7"/>
  <c r="O17" i="7"/>
  <c r="P17" i="7"/>
  <c r="Q17" i="7"/>
  <c r="R17" i="7"/>
  <c r="S17" i="7"/>
  <c r="T17" i="7"/>
  <c r="U17" i="7"/>
  <c r="V17" i="7"/>
  <c r="O18" i="7"/>
  <c r="P18" i="7"/>
  <c r="Q18" i="7"/>
  <c r="R18" i="7"/>
  <c r="S18" i="7"/>
  <c r="T18" i="7"/>
  <c r="U18" i="7"/>
  <c r="V18" i="7"/>
  <c r="O19" i="7"/>
  <c r="P19" i="7"/>
  <c r="Q19" i="7"/>
  <c r="R19" i="7"/>
  <c r="S19" i="7"/>
  <c r="T19" i="7"/>
  <c r="U19" i="7"/>
  <c r="V19" i="7"/>
  <c r="O20" i="7"/>
  <c r="P20" i="7"/>
  <c r="Q20" i="7"/>
  <c r="R20" i="7"/>
  <c r="S20" i="7"/>
  <c r="T20" i="7"/>
  <c r="U20" i="7"/>
  <c r="V20" i="7"/>
  <c r="O21" i="7"/>
  <c r="P21" i="7"/>
  <c r="Q21" i="7"/>
  <c r="R21" i="7"/>
  <c r="S21" i="7"/>
  <c r="T21" i="7"/>
  <c r="U21" i="7"/>
  <c r="V21" i="7"/>
  <c r="O22" i="7"/>
  <c r="P22" i="7"/>
  <c r="Q22" i="7"/>
  <c r="R22" i="7"/>
  <c r="S22" i="7"/>
  <c r="T22" i="7"/>
  <c r="U22" i="7"/>
  <c r="V22" i="7"/>
  <c r="O23" i="7"/>
  <c r="P23" i="7"/>
  <c r="Q23" i="7"/>
  <c r="R23" i="7"/>
  <c r="S23" i="7"/>
  <c r="T23" i="7"/>
  <c r="U23" i="7"/>
  <c r="V23" i="7"/>
  <c r="O24" i="7"/>
  <c r="P24" i="7"/>
  <c r="Q24" i="7"/>
  <c r="R24" i="7"/>
  <c r="S24" i="7"/>
  <c r="T24" i="7"/>
  <c r="U24" i="7"/>
  <c r="V24" i="7"/>
  <c r="O25" i="7"/>
  <c r="P25" i="7"/>
  <c r="Q25" i="7"/>
  <c r="R25" i="7"/>
  <c r="S25" i="7"/>
  <c r="T25" i="7"/>
  <c r="U25" i="7"/>
  <c r="V25" i="7"/>
  <c r="O26" i="7"/>
  <c r="P26" i="7"/>
  <c r="Q26" i="7"/>
  <c r="R26" i="7"/>
  <c r="S26" i="7"/>
  <c r="T26" i="7"/>
  <c r="U26" i="7"/>
  <c r="V26" i="7"/>
  <c r="AE3" i="7"/>
  <c r="N26" i="7"/>
  <c r="N25" i="7"/>
  <c r="N24" i="7"/>
  <c r="N23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B25" i="4"/>
  <c r="B9" i="4"/>
  <c r="B17" i="4"/>
  <c r="H18" i="4" a="1"/>
  <c r="H18" i="4"/>
  <c r="I18" i="4"/>
  <c r="J18" i="4"/>
  <c r="K18" i="4"/>
  <c r="L18" i="4"/>
  <c r="H9" i="4" a="1"/>
  <c r="H9" i="4"/>
  <c r="I9" i="4"/>
  <c r="J9" i="4"/>
  <c r="K9" i="4"/>
  <c r="L9" i="4"/>
  <c r="E17" i="4"/>
  <c r="E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Manas Bhatt</author>
  </authors>
  <commentList>
    <comment ref="K1" authorId="0" shapeId="0" xr:uid="{6090A077-EEAA-44E5-BF21-793DD49F8B0C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Url for retrieving market data</t>
        </r>
      </text>
    </comment>
    <comment ref="M1" authorId="0" shapeId="0" xr:uid="{865A7CAE-B80C-4D1B-A2D5-C63D521B8DF9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Used for accessing Tradier data</t>
        </r>
      </text>
    </comment>
    <comment ref="O1" authorId="0" shapeId="0" xr:uid="{AC84120E-7215-45FA-A985-72831527B5ED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Add ticker whose data needs to be retrieved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Manas Bhatt</author>
  </authors>
  <commentList>
    <comment ref="C4" authorId="0" shapeId="0" xr:uid="{45B7EB17-DCC9-43E1-A7C2-5FB1B624DBDF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when spotPrice return null, this value will replace spotPrice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167EC-7419-4341-B612-962AA8DC8274}" keepAlive="1" name="ModelConnection_ExternalData_1" description="Data Model" type="5" refreshedVersion="7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02F43D6-98C1-4D53-AADD-9DDDC7D6241A}" interval="10" name="Query - data" description="Connection to the 'data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35642b8f-f80c-45fc-a51f-82d792fcab97"/>
      </ext>
    </extLst>
  </connection>
  <connection id="3" xr16:uid="{5B6FAC64-72B2-4E00-8BE2-E7768DDBB23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<sst xmlns="http://schemas.openxmlformats.org/spreadsheetml/2006/main" count="3709" uniqueCount="840">
  <si>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</si>
  <si>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</si>
  <si>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</si>
  <si>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</si>
  <si>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</si>
  <si>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</si>
  <si>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</si>
  <si>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</si>
  <si>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</si>
  <si>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</si>
  <si>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</si>
  <si>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</si>
  <si>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</si>
  <si>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</si>
  <si>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</si>
  <si>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</t>
  </si>
  <si>
    <t>Tradier</t>
  </si>
  <si>
    <t>Delta</t>
  </si>
  <si>
    <t>Gamma</t>
  </si>
  <si>
    <t>Vega</t>
  </si>
  <si>
    <t>Theta</t>
  </si>
  <si>
    <t>Rho</t>
  </si>
  <si>
    <t>Today</t>
  </si>
  <si>
    <t>EndPoint</t>
  </si>
  <si>
    <t>Access Token</t>
  </si>
  <si>
    <t>AAPL</t>
  </si>
  <si>
    <t>Call</t>
  </si>
  <si>
    <t>Call Price</t>
  </si>
  <si>
    <t>Put Price</t>
  </si>
  <si>
    <t>put</t>
  </si>
  <si>
    <t>LXVkmzoytEbdiNQc6gcmOkF1rMxH</t>
  </si>
  <si>
    <t>Python Function testing</t>
  </si>
  <si>
    <t>Implied Vol</t>
  </si>
  <si>
    <t>K</t>
  </si>
  <si>
    <t>T</t>
  </si>
  <si>
    <t>r</t>
  </si>
  <si>
    <t>C</t>
  </si>
  <si>
    <t>Type</t>
  </si>
  <si>
    <t>c</t>
  </si>
  <si>
    <t>Greeks</t>
  </si>
  <si>
    <t>Price</t>
  </si>
  <si>
    <t>sigma</t>
  </si>
  <si>
    <t>Spot</t>
  </si>
  <si>
    <t xml:space="preserve">r </t>
  </si>
  <si>
    <t>p</t>
  </si>
  <si>
    <t>https://api.tradier.com/v1/</t>
  </si>
  <si>
    <t>EndPoints</t>
  </si>
  <si>
    <t>https://sandbox.tradier.com/v1/</t>
  </si>
  <si>
    <t>AuthCode</t>
  </si>
  <si>
    <t>SPX</t>
  </si>
  <si>
    <t>MSFT</t>
  </si>
  <si>
    <t>DTE</t>
  </si>
  <si>
    <t>Expiry</t>
  </si>
  <si>
    <t>Option Expiry (DTE)</t>
  </si>
  <si>
    <t>Strike</t>
  </si>
  <si>
    <t>Spot Price</t>
  </si>
  <si>
    <t>option</t>
  </si>
  <si>
    <t>call</t>
  </si>
  <si>
    <t>Option Chain</t>
  </si>
  <si>
    <t>Symbol</t>
  </si>
  <si>
    <t>Description</t>
  </si>
  <si>
    <t>Last</t>
  </si>
  <si>
    <t>Volume</t>
  </si>
  <si>
    <t>Close</t>
  </si>
  <si>
    <t>Bid</t>
  </si>
  <si>
    <t>Ask</t>
  </si>
  <si>
    <t>Column1.type</t>
  </si>
  <si>
    <t>Column1.change</t>
  </si>
  <si>
    <t>Column1.open</t>
  </si>
  <si>
    <t>Column1.high</t>
  </si>
  <si>
    <t>Column1.low</t>
  </si>
  <si>
    <t>Column1.underlying</t>
  </si>
  <si>
    <t>Column1.change_percentage</t>
  </si>
  <si>
    <t>Column1.trade_date</t>
  </si>
  <si>
    <t>Column1.prevclose</t>
  </si>
  <si>
    <t>Column1.week_52_high</t>
  </si>
  <si>
    <t>Column1.week_52_low</t>
  </si>
  <si>
    <t>Column1.bidexch</t>
  </si>
  <si>
    <t>Column1.bid_date</t>
  </si>
  <si>
    <t>Column1.askexch</t>
  </si>
  <si>
    <t>Column1.ask_date</t>
  </si>
  <si>
    <t>Column1.expiration_type</t>
  </si>
  <si>
    <t>Column1.root_symbol</t>
  </si>
  <si>
    <t>12</t>
  </si>
  <si>
    <t>0</t>
  </si>
  <si>
    <t>1</t>
  </si>
  <si>
    <t>100</t>
  </si>
  <si>
    <t>2400</t>
  </si>
  <si>
    <t>3000</t>
  </si>
  <si>
    <t>3200</t>
  </si>
  <si>
    <t>3400</t>
  </si>
  <si>
    <t>2</t>
  </si>
  <si>
    <t>25</t>
  </si>
  <si>
    <t>24</t>
  </si>
  <si>
    <t>9</t>
  </si>
  <si>
    <t>8</t>
  </si>
  <si>
    <t>5</t>
  </si>
  <si>
    <t>22</t>
  </si>
  <si>
    <t>3600</t>
  </si>
  <si>
    <t>21</t>
  </si>
  <si>
    <t>20</t>
  </si>
  <si>
    <t>19</t>
  </si>
  <si>
    <t>16</t>
  </si>
  <si>
    <t>3800</t>
  </si>
  <si>
    <t>3</t>
  </si>
  <si>
    <t>14</t>
  </si>
  <si>
    <t>15</t>
  </si>
  <si>
    <t>3900</t>
  </si>
  <si>
    <t>13</t>
  </si>
  <si>
    <t>11</t>
  </si>
  <si>
    <t>4050</t>
  </si>
  <si>
    <t>10</t>
  </si>
  <si>
    <t>7</t>
  </si>
  <si>
    <t>4200</t>
  </si>
  <si>
    <t>18</t>
  </si>
  <si>
    <t>4</t>
  </si>
  <si>
    <t>31</t>
  </si>
  <si>
    <t>2000</t>
  </si>
  <si>
    <t>2600</t>
  </si>
  <si>
    <t>3300</t>
  </si>
  <si>
    <t>3500</t>
  </si>
  <si>
    <t>3650</t>
  </si>
  <si>
    <t>3750</t>
  </si>
  <si>
    <t>3850</t>
  </si>
  <si>
    <t>3925</t>
  </si>
  <si>
    <t>3950</t>
  </si>
  <si>
    <t>3975</t>
  </si>
  <si>
    <t>4000</t>
  </si>
  <si>
    <t>4400</t>
  </si>
  <si>
    <t>4600</t>
  </si>
  <si>
    <t>45</t>
  </si>
  <si>
    <t>49</t>
  </si>
  <si>
    <t>4800</t>
  </si>
  <si>
    <t>1200</t>
  </si>
  <si>
    <t>1400</t>
  </si>
  <si>
    <t>1600</t>
  </si>
  <si>
    <t>0.2</t>
  </si>
  <si>
    <t>5000</t>
  </si>
  <si>
    <t>2200</t>
  </si>
  <si>
    <t>3700</t>
  </si>
  <si>
    <t>4100</t>
  </si>
  <si>
    <t>4300</t>
  </si>
  <si>
    <t>38</t>
  </si>
  <si>
    <t>1800</t>
  </si>
  <si>
    <t>2800</t>
  </si>
  <si>
    <t>JSON</t>
  </si>
  <si>
    <t>Location</t>
  </si>
  <si>
    <t>Contract Size</t>
  </si>
  <si>
    <t>Option Type</t>
  </si>
  <si>
    <t>Exch</t>
  </si>
  <si>
    <t>Bidsize</t>
  </si>
  <si>
    <t>Asksize</t>
  </si>
  <si>
    <t>Expiry Date</t>
  </si>
  <si>
    <t>Open Interest</t>
  </si>
  <si>
    <t>Maturity ( Days)</t>
  </si>
  <si>
    <t>IV</t>
  </si>
  <si>
    <t>OptType</t>
  </si>
  <si>
    <t>Dividend</t>
  </si>
  <si>
    <t>GOOG</t>
  </si>
  <si>
    <t>17</t>
  </si>
  <si>
    <t>SPXW</t>
  </si>
  <si>
    <t>3930</t>
  </si>
  <si>
    <t>3910</t>
  </si>
  <si>
    <t>3920</t>
  </si>
  <si>
    <t>3940</t>
  </si>
  <si>
    <t>3960</t>
  </si>
  <si>
    <t>3980</t>
  </si>
  <si>
    <t>3990</t>
  </si>
  <si>
    <t>3970</t>
  </si>
  <si>
    <t>Cnt Price</t>
  </si>
  <si>
    <t>Task</t>
  </si>
  <si>
    <t>Option Expiry</t>
  </si>
  <si>
    <t>Auto Refresh</t>
  </si>
  <si>
    <t>On</t>
  </si>
  <si>
    <t>Updated On</t>
  </si>
  <si>
    <t>Off</t>
  </si>
  <si>
    <t>Wait for Timer to refresh data</t>
  </si>
  <si>
    <t>Interest Rate</t>
  </si>
  <si>
    <r>
      <t xml:space="preserve">Press </t>
    </r>
    <r>
      <rPr>
        <b/>
        <sz val="10"/>
        <color theme="1"/>
        <rFont val="Calibri"/>
        <family val="2"/>
        <scheme val="minor"/>
      </rPr>
      <t>Option Expiries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</si>
  <si>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Ticker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</si>
  <si>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Expiry</t>
    </r>
  </si>
  <si>
    <r>
      <t xml:space="preserve">Press </t>
    </r>
    <r>
      <rPr>
        <b/>
        <sz val="10"/>
        <color theme="1"/>
        <rFont val="Calibri"/>
        <family val="2"/>
        <scheme val="minor"/>
      </rPr>
      <t>Option Chain</t>
    </r>
  </si>
  <si>
    <r>
      <t xml:space="preserve">Press </t>
    </r>
    <r>
      <rPr>
        <b/>
        <sz val="10"/>
        <color theme="1"/>
        <rFont val="Calibri"/>
        <family val="2"/>
        <scheme val="minor"/>
      </rPr>
      <t>Calculate Greeks</t>
    </r>
  </si>
  <si>
    <t>Refresh Time(mins)</t>
  </si>
  <si>
    <t>27</t>
  </si>
  <si>
    <t>0.1</t>
  </si>
  <si>
    <t>199</t>
  </si>
  <si>
    <t>39</t>
  </si>
  <si>
    <t>0.15</t>
  </si>
  <si>
    <r>
      <t xml:space="preserve">Update </t>
    </r>
    <r>
      <rPr>
        <b/>
        <sz val="10"/>
        <color theme="1"/>
        <rFont val="Calibri"/>
        <family val="2"/>
        <scheme val="minor"/>
      </rPr>
      <t>Today</t>
    </r>
  </si>
  <si>
    <t>111</t>
  </si>
  <si>
    <t>3250</t>
  </si>
  <si>
    <t>3350</t>
  </si>
  <si>
    <t>3550</t>
  </si>
  <si>
    <t>3775</t>
  </si>
  <si>
    <t>3870</t>
  </si>
  <si>
    <t>3890</t>
  </si>
  <si>
    <t>3860</t>
  </si>
  <si>
    <t>3880</t>
  </si>
  <si>
    <t>3450</t>
  </si>
  <si>
    <t>143.1</t>
  </si>
  <si>
    <t>DdR1zniymR4PVMTuaZYlTOnvgT9n</t>
  </si>
  <si>
    <t>Last Vol</t>
  </si>
  <si>
    <t>Avg Vol</t>
  </si>
  <si>
    <t>124.7</t>
  </si>
  <si>
    <t>160.6</t>
  </si>
  <si>
    <t>121.3</t>
  </si>
  <si>
    <t>209.6</t>
  </si>
  <si>
    <t>217</t>
  </si>
  <si>
    <t>131.8</t>
  </si>
  <si>
    <t>114.7</t>
  </si>
  <si>
    <t>118</t>
  </si>
  <si>
    <t>112.6</t>
  </si>
  <si>
    <t>119.1</t>
  </si>
  <si>
    <t>194.7</t>
  </si>
  <si>
    <t>140.4</t>
  </si>
  <si>
    <t>186.7</t>
  </si>
  <si>
    <t>116.3</t>
  </si>
  <si>
    <t>191.6</t>
  </si>
  <si>
    <t>238.1</t>
  </si>
  <si>
    <t>244.9</t>
  </si>
  <si>
    <t>122.4</t>
  </si>
  <si>
    <t>125.8</t>
  </si>
  <si>
    <t>177.5</t>
  </si>
  <si>
    <t>230.2</t>
  </si>
  <si>
    <t>211.7</t>
  </si>
  <si>
    <t>2022-06-24</t>
  </si>
  <si>
    <t>177.1</t>
  </si>
  <si>
    <t>130.14</t>
  </si>
  <si>
    <t>136.75</t>
  </si>
  <si>
    <t>152.45</t>
  </si>
  <si>
    <t>126.49</t>
  </si>
  <si>
    <t>141.9</t>
  </si>
  <si>
    <t>281.46</t>
  </si>
  <si>
    <t>128.81</t>
  </si>
  <si>
    <t>216.1</t>
  </si>
  <si>
    <t>149.75</t>
  </si>
  <si>
    <t>241.1</t>
  </si>
  <si>
    <t>160.51</t>
  </si>
  <si>
    <t>190.75</t>
  </si>
  <si>
    <t>142.07</t>
  </si>
  <si>
    <t>176.99</t>
  </si>
  <si>
    <t>135.5</t>
  </si>
  <si>
    <t>204.1</t>
  </si>
  <si>
    <t>205.3</t>
  </si>
  <si>
    <t>144.2</t>
  </si>
  <si>
    <t>243.7</t>
  </si>
  <si>
    <t>236.9</t>
  </si>
  <si>
    <t>115.8</t>
  </si>
  <si>
    <t>231.4</t>
  </si>
  <si>
    <t>119.6</t>
  </si>
  <si>
    <t>120.7</t>
  </si>
  <si>
    <t>223.6</t>
  </si>
  <si>
    <t>224.8</t>
  </si>
  <si>
    <t>137.4</t>
  </si>
  <si>
    <t>138.5</t>
  </si>
  <si>
    <t>192.8</t>
  </si>
  <si>
    <t>139.3</t>
  </si>
  <si>
    <t>185.5</t>
  </si>
  <si>
    <t>111.5</t>
  </si>
  <si>
    <t>226.9</t>
  </si>
  <si>
    <t>228.1</t>
  </si>
  <si>
    <t>218.2</t>
  </si>
  <si>
    <t>128.2</t>
  </si>
  <si>
    <t>129.3</t>
  </si>
  <si>
    <t>210.5</t>
  </si>
  <si>
    <t>132.9</t>
  </si>
  <si>
    <t>197.8</t>
  </si>
  <si>
    <t>136.6</t>
  </si>
  <si>
    <t>195.9</t>
  </si>
  <si>
    <t>Option Pricing Data</t>
  </si>
  <si>
    <t>0.25</t>
  </si>
  <si>
    <t>0.45</t>
  </si>
  <si>
    <t>7.6</t>
  </si>
  <si>
    <t>70</t>
  </si>
  <si>
    <t>43</t>
  </si>
  <si>
    <t>28</t>
  </si>
  <si>
    <t>72.5</t>
  </si>
  <si>
    <t>90</t>
  </si>
  <si>
    <t>60</t>
  </si>
  <si>
    <t>103</t>
  </si>
  <si>
    <t>Strikes</t>
  </si>
  <si>
    <t>179</t>
  </si>
  <si>
    <t>26</t>
  </si>
  <si>
    <t>66</t>
  </si>
  <si>
    <t>56</t>
  </si>
  <si>
    <t>99</t>
  </si>
  <si>
    <t>50</t>
  </si>
  <si>
    <t>9.6</t>
  </si>
  <si>
    <t>47</t>
  </si>
  <si>
    <t>iStrikes</t>
  </si>
  <si>
    <t>6.8</t>
  </si>
  <si>
    <t>106</t>
  </si>
  <si>
    <t>23</t>
  </si>
  <si>
    <t>30</t>
  </si>
  <si>
    <t>81</t>
  </si>
  <si>
    <t>80</t>
  </si>
  <si>
    <t>101</t>
  </si>
  <si>
    <t>0.9</t>
  </si>
  <si>
    <t>0.75</t>
  </si>
  <si>
    <t>0.5</t>
  </si>
  <si>
    <t>4.3</t>
  </si>
  <si>
    <t>1.8</t>
  </si>
  <si>
    <t>1000</t>
  </si>
  <si>
    <t>11.7</t>
  </si>
  <si>
    <t>54.4</t>
  </si>
  <si>
    <t>18.9</t>
  </si>
  <si>
    <t>202</t>
  </si>
  <si>
    <t>86.2</t>
  </si>
  <si>
    <t>151.6</t>
  </si>
  <si>
    <t>103.7</t>
  </si>
  <si>
    <t>weeklys</t>
  </si>
  <si>
    <t>109.4</t>
  </si>
  <si>
    <t>75.5</t>
  </si>
  <si>
    <t>120.9</t>
  </si>
  <si>
    <t>2022-06-15</t>
  </si>
  <si>
    <t>SPXW220615C01000000</t>
  </si>
  <si>
    <t>SPXW Jun 15 2022 $1000.00 Call</t>
  </si>
  <si>
    <t>SPXW220615P01000000</t>
  </si>
  <si>
    <t>SPXW Jun 15 2022 $1000.00 Put</t>
  </si>
  <si>
    <t>SPXW220615C01200000</t>
  </si>
  <si>
    <t>SPXW Jun 15 2022 $1200.00 Call</t>
  </si>
  <si>
    <t>SPXW220615P01200000</t>
  </si>
  <si>
    <t>SPXW Jun 15 2022 $1200.00 Put</t>
  </si>
  <si>
    <t>SPXW220615C01400000</t>
  </si>
  <si>
    <t>SPXW Jun 15 2022 $1400.00 Call</t>
  </si>
  <si>
    <t>SPXW220615P01400000</t>
  </si>
  <si>
    <t>SPXW Jun 15 2022 $1400.00 Put</t>
  </si>
  <si>
    <t>SPXW220615C01600000</t>
  </si>
  <si>
    <t>SPXW Jun 15 2022 $1600.00 Call</t>
  </si>
  <si>
    <t>SPXW220615P01600000</t>
  </si>
  <si>
    <t>SPXW Jun 15 2022 $1600.00 Put</t>
  </si>
  <si>
    <t>SPXW220615P01800000</t>
  </si>
  <si>
    <t>SPXW Jun 15 2022 $1800.00 Put</t>
  </si>
  <si>
    <t>SPXW220615C01800000</t>
  </si>
  <si>
    <t>SPXW Jun 15 2022 $1800.00 Call</t>
  </si>
  <si>
    <t>SPXW220615C02000000</t>
  </si>
  <si>
    <t>SPXW Jun 15 2022 $2000.00 Call</t>
  </si>
  <si>
    <t>SPXW220615P02000000</t>
  </si>
  <si>
    <t>SPXW Jun 15 2022 $2000.00 Put</t>
  </si>
  <si>
    <t>SPXW220615C02200000</t>
  </si>
  <si>
    <t>SPXW Jun 15 2022 $2200.00 Call</t>
  </si>
  <si>
    <t>SPXW220615P02200000</t>
  </si>
  <si>
    <t>SPXW Jun 15 2022 $2200.00 Put</t>
  </si>
  <si>
    <t>SPXW220615C02400000</t>
  </si>
  <si>
    <t>SPXW Jun 15 2022 $2400.00 Call</t>
  </si>
  <si>
    <t>SPXW220615P02400000</t>
  </si>
  <si>
    <t>SPXW Jun 15 2022 $2400.00 Put</t>
  </si>
  <si>
    <t>SPXW220615P02600000</t>
  </si>
  <si>
    <t>SPXW Jun 15 2022 $2600.00 Put</t>
  </si>
  <si>
    <t>SPXW220615C02600000</t>
  </si>
  <si>
    <t>SPXW Jun 15 2022 $2600.00 Call</t>
  </si>
  <si>
    <t>SPXW220615P02800000</t>
  </si>
  <si>
    <t>SPXW Jun 15 2022 $2800.00 Put</t>
  </si>
  <si>
    <t>SPXW220615C02800000</t>
  </si>
  <si>
    <t>SPXW Jun 15 2022 $2800.00 Call</t>
  </si>
  <si>
    <t>SPXW220615C03000000</t>
  </si>
  <si>
    <t>SPXW Jun 15 2022 $3000.00 Call</t>
  </si>
  <si>
    <t>SPXW220615P03000000</t>
  </si>
  <si>
    <t>SPXW Jun 15 2022 $3000.00 Put</t>
  </si>
  <si>
    <t>SPXW220615C03100000</t>
  </si>
  <si>
    <t>SPXW Jun 15 2022 $3100.00 Call</t>
  </si>
  <si>
    <t>3100</t>
  </si>
  <si>
    <t>SPXW220615P03100000</t>
  </si>
  <si>
    <t>SPXW Jun 15 2022 $3100.00 Put</t>
  </si>
  <si>
    <t>SPXW220615C03200000</t>
  </si>
  <si>
    <t>SPXW Jun 15 2022 $3200.00 Call</t>
  </si>
  <si>
    <t>SPXW220615P03200000</t>
  </si>
  <si>
    <t>SPXW Jun 15 2022 $3200.00 Put</t>
  </si>
  <si>
    <t>SPXW220615P03250000</t>
  </si>
  <si>
    <t>SPXW Jun 15 2022 $3250.00 Put</t>
  </si>
  <si>
    <t>SPXW220615C03250000</t>
  </si>
  <si>
    <t>SPXW Jun 15 2022 $3250.00 Call</t>
  </si>
  <si>
    <t>SPXW220615C03300000</t>
  </si>
  <si>
    <t>SPXW Jun 15 2022 $3300.00 Call</t>
  </si>
  <si>
    <t>SPXW220615P03300000</t>
  </si>
  <si>
    <t>SPXW Jun 15 2022 $3300.00 Put</t>
  </si>
  <si>
    <t>SPXW220615P03350000</t>
  </si>
  <si>
    <t>SPXW Jun 15 2022 $3350.00 Put</t>
  </si>
  <si>
    <t>SPXW220615C03350000</t>
  </si>
  <si>
    <t>SPXW Jun 15 2022 $3350.00 Call</t>
  </si>
  <si>
    <t>SPXW220615P03400000</t>
  </si>
  <si>
    <t>SPXW Jun 15 2022 $3400.00 Put</t>
  </si>
  <si>
    <t>SPXW220615C03400000</t>
  </si>
  <si>
    <t>SPXW Jun 15 2022 $3400.00 Call</t>
  </si>
  <si>
    <t>SPXW220615C03450000</t>
  </si>
  <si>
    <t>SPXW Jun 15 2022 $3450.00 Call</t>
  </si>
  <si>
    <t>SPXW220615P03450000</t>
  </si>
  <si>
    <t>SPXW Jun 15 2022 $3450.00 Put</t>
  </si>
  <si>
    <t>SPXW220615P03500000</t>
  </si>
  <si>
    <t>SPXW Jun 15 2022 $3500.00 Put</t>
  </si>
  <si>
    <t>SPXW220615C03500000</t>
  </si>
  <si>
    <t>SPXW Jun 15 2022 $3500.00 Call</t>
  </si>
  <si>
    <t>SPXW220615C03550000</t>
  </si>
  <si>
    <t>SPXW Jun 15 2022 $3550.00 Call</t>
  </si>
  <si>
    <t>SPXW220615P03550000</t>
  </si>
  <si>
    <t>SPXW Jun 15 2022 $3550.00 Put</t>
  </si>
  <si>
    <t>SPXW220615P03600000</t>
  </si>
  <si>
    <t>SPXW Jun 15 2022 $3600.00 Put</t>
  </si>
  <si>
    <t>SPXW220615C03600000</t>
  </si>
  <si>
    <t>SPXW Jun 15 2022 $3600.00 Call</t>
  </si>
  <si>
    <t>SPXW220615C03650000</t>
  </si>
  <si>
    <t>SPXW Jun 15 2022 $3650.00 Call</t>
  </si>
  <si>
    <t>SPXW220615P03650000</t>
  </si>
  <si>
    <t>SPXW Jun 15 2022 $3650.00 Put</t>
  </si>
  <si>
    <t>SPXW220615C03700000</t>
  </si>
  <si>
    <t>SPXW Jun 15 2022 $3700.00 Call</t>
  </si>
  <si>
    <t>SPXW220615P03700000</t>
  </si>
  <si>
    <t>SPXW Jun 15 2022 $3700.00 Put</t>
  </si>
  <si>
    <t>SPXW220615C03750000</t>
  </si>
  <si>
    <t>SPXW Jun 15 2022 $3750.00 Call</t>
  </si>
  <si>
    <t>SPXW220615P03750000</t>
  </si>
  <si>
    <t>SPXW Jun 15 2022 $3750.00 Put</t>
  </si>
  <si>
    <t>SPXW220615P03775000</t>
  </si>
  <si>
    <t>SPXW Jun 15 2022 $3775.00 Put</t>
  </si>
  <si>
    <t>SPXW220615C03775000</t>
  </si>
  <si>
    <t>SPXW Jun 15 2022 $3775.00 Call</t>
  </si>
  <si>
    <t>SPXW220615C03800000</t>
  </si>
  <si>
    <t>SPXW Jun 15 2022 $3800.00 Call</t>
  </si>
  <si>
    <t>SPXW220615P03800000</t>
  </si>
  <si>
    <t>SPXW Jun 15 2022 $3800.00 Put</t>
  </si>
  <si>
    <t>SPXW220615C03825000</t>
  </si>
  <si>
    <t>SPXW Jun 15 2022 $3825.00 Call</t>
  </si>
  <si>
    <t>3825</t>
  </si>
  <si>
    <t>SPXW220615P03825000</t>
  </si>
  <si>
    <t>SPXW Jun 15 2022 $3825.00 Put</t>
  </si>
  <si>
    <t>SPXW220615C03850000</t>
  </si>
  <si>
    <t>SPXW Jun 15 2022 $3850.00 Call</t>
  </si>
  <si>
    <t>SPXW220615P03850000</t>
  </si>
  <si>
    <t>SPXW Jun 15 2022 $3850.00 Put</t>
  </si>
  <si>
    <t>SPXW220615C03860000</t>
  </si>
  <si>
    <t>SPXW Jun 15 2022 $3860.00 Call</t>
  </si>
  <si>
    <t>SPXW220615P03860000</t>
  </si>
  <si>
    <t>SPXW Jun 15 2022 $3860.00 Put</t>
  </si>
  <si>
    <t>SPXW220615P03870000</t>
  </si>
  <si>
    <t>SPXW Jun 15 2022 $3870.00 Put</t>
  </si>
  <si>
    <t>SPXW220615C03870000</t>
  </si>
  <si>
    <t>SPXW Jun 15 2022 $3870.00 Call</t>
  </si>
  <si>
    <t>SPXW220615P03880000</t>
  </si>
  <si>
    <t>SPXW Jun 15 2022 $3880.00 Put</t>
  </si>
  <si>
    <t>SPXW220615C03880000</t>
  </si>
  <si>
    <t>SPXW Jun 15 2022 $3880.00 Call</t>
  </si>
  <si>
    <t>SPXW220615C03890000</t>
  </si>
  <si>
    <t>SPXW Jun 15 2022 $3890.00 Call</t>
  </si>
  <si>
    <t>SPXW220615P03890000</t>
  </si>
  <si>
    <t>SPXW Jun 15 2022 $3890.00 Put</t>
  </si>
  <si>
    <t>SPXW220615C03900000</t>
  </si>
  <si>
    <t>SPXW Jun 15 2022 $3900.00 Call</t>
  </si>
  <si>
    <t>SPXW220615P03900000</t>
  </si>
  <si>
    <t>SPXW Jun 15 2022 $3900.00 Put</t>
  </si>
  <si>
    <t>SPXW220615P03910000</t>
  </si>
  <si>
    <t>SPXW Jun 15 2022 $3910.00 Put</t>
  </si>
  <si>
    <t>SPXW220615C03910000</t>
  </si>
  <si>
    <t>SPXW Jun 15 2022 $3910.00 Call</t>
  </si>
  <si>
    <t>SPXW220615P03920000</t>
  </si>
  <si>
    <t>SPXW Jun 15 2022 $3920.00 Put</t>
  </si>
  <si>
    <t>SPXW220615C03920000</t>
  </si>
  <si>
    <t>SPXW Jun 15 2022 $3920.00 Call</t>
  </si>
  <si>
    <t>SPXW220615C03930000</t>
  </si>
  <si>
    <t>SPXW Jun 15 2022 $3930.00 Call</t>
  </si>
  <si>
    <t>SPXW220615P03930000</t>
  </si>
  <si>
    <t>SPXW Jun 15 2022 $3930.00 Put</t>
  </si>
  <si>
    <t>SPXW220615C03940000</t>
  </si>
  <si>
    <t>SPXW Jun 15 2022 $3940.00 Call</t>
  </si>
  <si>
    <t>SPXW220615P03940000</t>
  </si>
  <si>
    <t>SPXW Jun 15 2022 $3940.00 Put</t>
  </si>
  <si>
    <t>SPXW220615C03950000</t>
  </si>
  <si>
    <t>SPXW Jun 15 2022 $3950.00 Call</t>
  </si>
  <si>
    <t>SPXW220615P03950000</t>
  </si>
  <si>
    <t>SPXW Jun 15 2022 $3950.00 Put</t>
  </si>
  <si>
    <t>SPXW220615C03960000</t>
  </si>
  <si>
    <t>SPXW Jun 15 2022 $3960.00 Call</t>
  </si>
  <si>
    <t>SPXW220615P03960000</t>
  </si>
  <si>
    <t>SPXW Jun 15 2022 $3960.00 Put</t>
  </si>
  <si>
    <t>SPXW220615C03970000</t>
  </si>
  <si>
    <t>SPXW Jun 15 2022 $3970.00 Call</t>
  </si>
  <si>
    <t>SPXW220615P03970000</t>
  </si>
  <si>
    <t>SPXW Jun 15 2022 $3970.00 Put</t>
  </si>
  <si>
    <t>SPXW220615P03980000</t>
  </si>
  <si>
    <t>SPXW Jun 15 2022 $3980.00 Put</t>
  </si>
  <si>
    <t>SPXW220615C03980000</t>
  </si>
  <si>
    <t>SPXW Jun 15 2022 $3980.00 Call</t>
  </si>
  <si>
    <t>SPXW220615C03990000</t>
  </si>
  <si>
    <t>SPXW Jun 15 2022 $3990.00 Call</t>
  </si>
  <si>
    <t>SPXW220615P03990000</t>
  </si>
  <si>
    <t>SPXW Jun 15 2022 $3990.00 Put</t>
  </si>
  <si>
    <t>SPXW220615C04000000</t>
  </si>
  <si>
    <t>SPXW Jun 15 2022 $4000.00 Call</t>
  </si>
  <si>
    <t>SPXW220615P04000000</t>
  </si>
  <si>
    <t>SPXW Jun 15 2022 $4000.00 Put</t>
  </si>
  <si>
    <t>SPXW220615C04010000</t>
  </si>
  <si>
    <t>SPXW Jun 15 2022 $4010.00 Call</t>
  </si>
  <si>
    <t>4010</t>
  </si>
  <si>
    <t>SPXW220615P04010000</t>
  </si>
  <si>
    <t>SPXW Jun 15 2022 $4010.00 Put</t>
  </si>
  <si>
    <t>SPXW220615C04020000</t>
  </si>
  <si>
    <t>SPXW Jun 15 2022 $4020.00 Call</t>
  </si>
  <si>
    <t>4020</t>
  </si>
  <si>
    <t>SPXW220615P04020000</t>
  </si>
  <si>
    <t>SPXW Jun 15 2022 $4020.00 Put</t>
  </si>
  <si>
    <t>SPXW220615C04030000</t>
  </si>
  <si>
    <t>SPXW Jun 15 2022 $4030.00 Call</t>
  </si>
  <si>
    <t>4030</t>
  </si>
  <si>
    <t>SPXW220615P04030000</t>
  </si>
  <si>
    <t>SPXW Jun 15 2022 $4030.00 Put</t>
  </si>
  <si>
    <t>SPXW220615C04040000</t>
  </si>
  <si>
    <t>SPXW Jun 15 2022 $4040.00 Call</t>
  </si>
  <si>
    <t>4040</t>
  </si>
  <si>
    <t>SPXW220615P04040000</t>
  </si>
  <si>
    <t>SPXW Jun 15 2022 $4040.00 Put</t>
  </si>
  <si>
    <t>SPXW220615P04050000</t>
  </si>
  <si>
    <t>SPXW Jun 15 2022 $4050.00 Put</t>
  </si>
  <si>
    <t>SPXW220615C04050000</t>
  </si>
  <si>
    <t>SPXW Jun 15 2022 $4050.00 Call</t>
  </si>
  <si>
    <t>SPXW220615C04060000</t>
  </si>
  <si>
    <t>SPXW Jun 15 2022 $4060.00 Call</t>
  </si>
  <si>
    <t>4060</t>
  </si>
  <si>
    <t>SPXW220615P04060000</t>
  </si>
  <si>
    <t>SPXW Jun 15 2022 $4060.00 Put</t>
  </si>
  <si>
    <t>SPXW220615C04070000</t>
  </si>
  <si>
    <t>SPXW Jun 15 2022 $4070.00 Call</t>
  </si>
  <si>
    <t>4070</t>
  </si>
  <si>
    <t>SPXW220615P04070000</t>
  </si>
  <si>
    <t>SPXW Jun 15 2022 $4070.00 Put</t>
  </si>
  <si>
    <t>SPXW220615C04080000</t>
  </si>
  <si>
    <t>SPXW Jun 15 2022 $4080.00 Call</t>
  </si>
  <si>
    <t>4080</t>
  </si>
  <si>
    <t>SPXW220615P04080000</t>
  </si>
  <si>
    <t>SPXW Jun 15 2022 $4080.00 Put</t>
  </si>
  <si>
    <t>SPXW220615C04090000</t>
  </si>
  <si>
    <t>SPXW Jun 15 2022 $4090.00 Call</t>
  </si>
  <si>
    <t>4090</t>
  </si>
  <si>
    <t>SPXW220615P04090000</t>
  </si>
  <si>
    <t>SPXW Jun 15 2022 $4090.00 Put</t>
  </si>
  <si>
    <t>SPXW220615C04100000</t>
  </si>
  <si>
    <t>SPXW Jun 15 2022 $4100.00 Call</t>
  </si>
  <si>
    <t>SPXW220615P04100000</t>
  </si>
  <si>
    <t>SPXW Jun 15 2022 $4100.00 Put</t>
  </si>
  <si>
    <t>SPXW220615C04125000</t>
  </si>
  <si>
    <t>SPXW Jun 15 2022 $4125.00 Call</t>
  </si>
  <si>
    <t>4125</t>
  </si>
  <si>
    <t>SPXW220615P04125000</t>
  </si>
  <si>
    <t>SPXW Jun 15 2022 $4125.00 Put</t>
  </si>
  <si>
    <t>SPXW220615P04150000</t>
  </si>
  <si>
    <t>SPXW Jun 15 2022 $4150.00 Put</t>
  </si>
  <si>
    <t>4150</t>
  </si>
  <si>
    <t>SPXW220615C04150000</t>
  </si>
  <si>
    <t>SPXW Jun 15 2022 $4150.00 Call</t>
  </si>
  <si>
    <t>SPXW220615P04200000</t>
  </si>
  <si>
    <t>SPXW Jun 15 2022 $4200.00 Put</t>
  </si>
  <si>
    <t>SPXW220615C04200000</t>
  </si>
  <si>
    <t>SPXW Jun 15 2022 $4200.00 Call</t>
  </si>
  <si>
    <t>SPXW220615P04300000</t>
  </si>
  <si>
    <t>SPXW Jun 15 2022 $4300.00 Put</t>
  </si>
  <si>
    <t>SPXW220615C04300000</t>
  </si>
  <si>
    <t>SPXW Jun 15 2022 $4300.00 Call</t>
  </si>
  <si>
    <t>SPXW220615P04400000</t>
  </si>
  <si>
    <t>SPXW Jun 15 2022 $4400.00 Put</t>
  </si>
  <si>
    <t>SPXW220615C04400000</t>
  </si>
  <si>
    <t>SPXW Jun 15 2022 $4400.00 Call</t>
  </si>
  <si>
    <t>SPXW220615C04500000</t>
  </si>
  <si>
    <t>SPXW Jun 15 2022 $4500.00 Call</t>
  </si>
  <si>
    <t>4500</t>
  </si>
  <si>
    <t>SPXW220615P04500000</t>
  </si>
  <si>
    <t>SPXW Jun 15 2022 $4500.00 Put</t>
  </si>
  <si>
    <t>SPXW220615C04600000</t>
  </si>
  <si>
    <t>SPXW Jun 15 2022 $4600.00 Call</t>
  </si>
  <si>
    <t>SPXW220615P04600000</t>
  </si>
  <si>
    <t>SPXW Jun 15 2022 $4600.00 Put</t>
  </si>
  <si>
    <t>SPXW220615C04800000</t>
  </si>
  <si>
    <t>SPXW Jun 15 2022 $4800.00 Call</t>
  </si>
  <si>
    <t>SPXW220615P04800000</t>
  </si>
  <si>
    <t>SPXW Jun 15 2022 $4800.00 Put</t>
  </si>
  <si>
    <t>SPXW220615P05000000</t>
  </si>
  <si>
    <t>SPXW Jun 15 2022 $5000.00 Put</t>
  </si>
  <si>
    <t>SPXW220615C05000000</t>
  </si>
  <si>
    <t>SPXW Jun 15 2022 $5000.00 Call</t>
  </si>
  <si>
    <t>C:\work\freelance\test\</t>
  </si>
  <si>
    <t>1.6528E+12</t>
  </si>
  <si>
    <t>0.3</t>
  </si>
  <si>
    <t>346</t>
  </si>
  <si>
    <t>1.65</t>
  </si>
  <si>
    <t>249</t>
  </si>
  <si>
    <t>2.25</t>
  </si>
  <si>
    <t>5.3</t>
  </si>
  <si>
    <t>6.4</t>
  </si>
  <si>
    <t>7.8</t>
  </si>
  <si>
    <t>42</t>
  </si>
  <si>
    <t>78</t>
  </si>
  <si>
    <t>61</t>
  </si>
  <si>
    <t>48</t>
  </si>
  <si>
    <t>51.4</t>
  </si>
  <si>
    <t>53.7</t>
  </si>
  <si>
    <t>58.6</t>
  </si>
  <si>
    <t>84.6</t>
  </si>
  <si>
    <t>104.1</t>
  </si>
  <si>
    <t>121.4</t>
  </si>
  <si>
    <t>0.55</t>
  </si>
  <si>
    <t>87</t>
  </si>
  <si>
    <t>0.05</t>
  </si>
  <si>
    <t>1.65277E+12</t>
  </si>
  <si>
    <t>402</t>
  </si>
  <si>
    <t>61.2</t>
  </si>
  <si>
    <t>58.22</t>
  </si>
  <si>
    <t>81.1</t>
  </si>
  <si>
    <t>79.1</t>
  </si>
  <si>
    <t>1.65279E+12</t>
  </si>
  <si>
    <t>92.5</t>
  </si>
  <si>
    <t>89.54</t>
  </si>
  <si>
    <t>124.1</t>
  </si>
  <si>
    <t>117</t>
  </si>
  <si>
    <t>117.2</t>
  </si>
  <si>
    <t>115</t>
  </si>
  <si>
    <t>108.3</t>
  </si>
  <si>
    <t>101.1</t>
  </si>
  <si>
    <t>104.9</t>
  </si>
  <si>
    <t>96</t>
  </si>
  <si>
    <t>98.6</t>
  </si>
  <si>
    <t>96.9</t>
  </si>
  <si>
    <t>93.2</t>
  </si>
  <si>
    <t>50.5</t>
  </si>
  <si>
    <t>6.57</t>
  </si>
  <si>
    <t>1.97</t>
  </si>
  <si>
    <t>503</t>
  </si>
  <si>
    <t>363</t>
  </si>
  <si>
    <t>0.7</t>
  </si>
  <si>
    <t>323</t>
  </si>
  <si>
    <t>3.2</t>
  </si>
  <si>
    <t>3.8</t>
  </si>
  <si>
    <t>159</t>
  </si>
  <si>
    <t>4.5</t>
  </si>
  <si>
    <t>6.6</t>
  </si>
  <si>
    <t>74</t>
  </si>
  <si>
    <t>73.4</t>
  </si>
  <si>
    <t>98.4</t>
  </si>
  <si>
    <t>133.1</t>
  </si>
  <si>
    <t>145.2</t>
  </si>
  <si>
    <t>356</t>
  </si>
  <si>
    <t>243</t>
  </si>
  <si>
    <t>398</t>
  </si>
  <si>
    <t>375</t>
  </si>
  <si>
    <t>1.05</t>
  </si>
  <si>
    <t>241</t>
  </si>
  <si>
    <t>112.7</t>
  </si>
  <si>
    <t>79.5</t>
  </si>
  <si>
    <t>6.2</t>
  </si>
  <si>
    <t>1.95</t>
  </si>
  <si>
    <t>463</t>
  </si>
  <si>
    <t>446</t>
  </si>
  <si>
    <t>2.4</t>
  </si>
  <si>
    <t>83</t>
  </si>
  <si>
    <t>59</t>
  </si>
  <si>
    <t>184.7</t>
  </si>
  <si>
    <t>108.5</t>
  </si>
  <si>
    <t>0.6</t>
  </si>
  <si>
    <t>1.77</t>
  </si>
  <si>
    <t>3.31</t>
  </si>
  <si>
    <t>214</t>
  </si>
  <si>
    <t>15.4</t>
  </si>
  <si>
    <t>47.6</t>
  </si>
  <si>
    <t>3053.1</t>
  </si>
  <si>
    <t>3062.8</t>
  </si>
  <si>
    <t>2853.3</t>
  </si>
  <si>
    <t>2863</t>
  </si>
  <si>
    <t>2653.5</t>
  </si>
  <si>
    <t>2663.2</t>
  </si>
  <si>
    <t>2453.7</t>
  </si>
  <si>
    <t>2463.4</t>
  </si>
  <si>
    <t>2253.9</t>
  </si>
  <si>
    <t>2263.6</t>
  </si>
  <si>
    <t>2054.1</t>
  </si>
  <si>
    <t>2063.8</t>
  </si>
  <si>
    <t>1854.4</t>
  </si>
  <si>
    <t>1864</t>
  </si>
  <si>
    <t>1654.7</t>
  </si>
  <si>
    <t>1664.3</t>
  </si>
  <si>
    <t>1455.1</t>
  </si>
  <si>
    <t>1464.7</t>
  </si>
  <si>
    <t>1255.7</t>
  </si>
  <si>
    <t>1265.3</t>
  </si>
  <si>
    <t>1059</t>
  </si>
  <si>
    <t>1066.2</t>
  </si>
  <si>
    <t>76</t>
  </si>
  <si>
    <t>960.8</t>
  </si>
  <si>
    <t>964.5</t>
  </si>
  <si>
    <t>861.7</t>
  </si>
  <si>
    <t>865.4</t>
  </si>
  <si>
    <t>3.6</t>
  </si>
  <si>
    <t>812.3</t>
  </si>
  <si>
    <t>816</t>
  </si>
  <si>
    <t>763</t>
  </si>
  <si>
    <t>766.7</t>
  </si>
  <si>
    <t>5.1</t>
  </si>
  <si>
    <t>713.8</t>
  </si>
  <si>
    <t>717.5</t>
  </si>
  <si>
    <t>665.1</t>
  </si>
  <si>
    <t>668.7</t>
  </si>
  <si>
    <t>616.6</t>
  </si>
  <si>
    <t>620.2</t>
  </si>
  <si>
    <t>9.4</t>
  </si>
  <si>
    <t>46</t>
  </si>
  <si>
    <t>568.3</t>
  </si>
  <si>
    <t>571.8</t>
  </si>
  <si>
    <t>519.2</t>
  </si>
  <si>
    <t>525.2</t>
  </si>
  <si>
    <t>472.9</t>
  </si>
  <si>
    <t>477.8</t>
  </si>
  <si>
    <t>427.1</t>
  </si>
  <si>
    <t>432.1</t>
  </si>
  <si>
    <t>18.4</t>
  </si>
  <si>
    <t>382.7</t>
  </si>
  <si>
    <t>385.9</t>
  </si>
  <si>
    <t>23.3</t>
  </si>
  <si>
    <t>114</t>
  </si>
  <si>
    <t>339</t>
  </si>
  <si>
    <t>342.1</t>
  </si>
  <si>
    <t>29.5</t>
  </si>
  <si>
    <t>30.1</t>
  </si>
  <si>
    <t>51</t>
  </si>
  <si>
    <t>33.1</t>
  </si>
  <si>
    <t>33.7</t>
  </si>
  <si>
    <t>317.7</t>
  </si>
  <si>
    <t>320.9</t>
  </si>
  <si>
    <t>297.1</t>
  </si>
  <si>
    <t>300</t>
  </si>
  <si>
    <t>37.4</t>
  </si>
  <si>
    <t>276.9</t>
  </si>
  <si>
    <t>279.7</t>
  </si>
  <si>
    <t>41.8</t>
  </si>
  <si>
    <t>42.4</t>
  </si>
  <si>
    <t>256.8</t>
  </si>
  <si>
    <t>259.6</t>
  </si>
  <si>
    <t>47.1</t>
  </si>
  <si>
    <t>251.8</t>
  </si>
  <si>
    <t>48.9</t>
  </si>
  <si>
    <t>49.6</t>
  </si>
  <si>
    <t>52.1</t>
  </si>
  <si>
    <t>241.4</t>
  </si>
  <si>
    <t>244</t>
  </si>
  <si>
    <t>233.6</t>
  </si>
  <si>
    <t>236.4</t>
  </si>
  <si>
    <t>226.2</t>
  </si>
  <si>
    <t>228.8</t>
  </si>
  <si>
    <t>56.6</t>
  </si>
  <si>
    <t>218.8</t>
  </si>
  <si>
    <t>221.3</t>
  </si>
  <si>
    <t>61.9</t>
  </si>
  <si>
    <t>211.4</t>
  </si>
  <si>
    <t>214.1</t>
  </si>
  <si>
    <t>63.7</t>
  </si>
  <si>
    <t>64.6</t>
  </si>
  <si>
    <t>36</t>
  </si>
  <si>
    <t>206.8</t>
  </si>
  <si>
    <t>196.4</t>
  </si>
  <si>
    <t>199.1</t>
  </si>
  <si>
    <t>66.5</t>
  </si>
  <si>
    <t>67.2</t>
  </si>
  <si>
    <t>189.8</t>
  </si>
  <si>
    <t>192.5</t>
  </si>
  <si>
    <t>69.4</t>
  </si>
  <si>
    <t>70.1</t>
  </si>
  <si>
    <t>182.1</t>
  </si>
  <si>
    <t>175.5</t>
  </si>
  <si>
    <t>178</t>
  </si>
  <si>
    <t>76.3</t>
  </si>
  <si>
    <t>169.1</t>
  </si>
  <si>
    <t>171.7</t>
  </si>
  <si>
    <t>82.1</t>
  </si>
  <si>
    <t>162.4</t>
  </si>
  <si>
    <t>165</t>
  </si>
  <si>
    <t>155.7</t>
  </si>
  <si>
    <t>158.1</t>
  </si>
  <si>
    <t>149.4</t>
  </si>
  <si>
    <t>93.4</t>
  </si>
  <si>
    <t>136.4</t>
  </si>
  <si>
    <t>138.6</t>
  </si>
  <si>
    <t>96.3</t>
  </si>
  <si>
    <t>97.1</t>
  </si>
  <si>
    <t>130.7</t>
  </si>
  <si>
    <t>100.2</t>
  </si>
  <si>
    <t>105</t>
  </si>
  <si>
    <t>112.8</t>
  </si>
  <si>
    <t>113.7</t>
  </si>
  <si>
    <t>117.8</t>
  </si>
  <si>
    <t>126.4</t>
  </si>
  <si>
    <t>127.3</t>
  </si>
  <si>
    <t>130.9</t>
  </si>
  <si>
    <t>143.3</t>
  </si>
  <si>
    <t>145.6</t>
  </si>
  <si>
    <t>156.7</t>
  </si>
  <si>
    <t>159.2</t>
  </si>
  <si>
    <t>68.6</t>
  </si>
  <si>
    <t>186.1</t>
  </si>
  <si>
    <t>188.9</t>
  </si>
  <si>
    <t>257.7</t>
  </si>
  <si>
    <t>260.9</t>
  </si>
  <si>
    <t>20.7</t>
  </si>
  <si>
    <t>21.3</t>
  </si>
  <si>
    <t>343.7</t>
  </si>
  <si>
    <t>347.1</t>
  </si>
  <si>
    <t>438.4</t>
  </si>
  <si>
    <t>442</t>
  </si>
  <si>
    <t>394</t>
  </si>
  <si>
    <t>534.7</t>
  </si>
  <si>
    <t>542.1</t>
  </si>
  <si>
    <t>92</t>
  </si>
  <si>
    <t>494</t>
  </si>
  <si>
    <t>734</t>
  </si>
  <si>
    <t>742.3</t>
  </si>
  <si>
    <t>933.7</t>
  </si>
  <si>
    <t>942.2</t>
  </si>
  <si>
    <t>238</t>
  </si>
  <si>
    <t>303</t>
  </si>
  <si>
    <t>404</t>
  </si>
  <si>
    <t>295</t>
  </si>
  <si>
    <t>149</t>
  </si>
  <si>
    <t>167</t>
  </si>
  <si>
    <t>14.6</t>
  </si>
  <si>
    <t>59.3</t>
  </si>
  <si>
    <t>78.6</t>
  </si>
  <si>
    <t>85.3</t>
  </si>
  <si>
    <t>88.9</t>
  </si>
  <si>
    <t>89.7</t>
  </si>
  <si>
    <t>125.5</t>
  </si>
  <si>
    <t>119.7</t>
  </si>
  <si>
    <t>120.5</t>
  </si>
  <si>
    <t>113.9</t>
  </si>
  <si>
    <t>114.8</t>
  </si>
  <si>
    <t>109.2</t>
  </si>
  <si>
    <t>102.8</t>
  </si>
  <si>
    <t>97.5</t>
  </si>
  <si>
    <t>92.1</t>
  </si>
  <si>
    <t>93</t>
  </si>
  <si>
    <t>79.8</t>
  </si>
  <si>
    <t>80.6</t>
  </si>
  <si>
    <t>48.6</t>
  </si>
  <si>
    <t>49.3</t>
  </si>
  <si>
    <t>7.1</t>
  </si>
  <si>
    <t>2.15</t>
  </si>
  <si>
    <t>2022-06-17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</si>
</sst>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_ ;[Red]\-0.00\ "/>
    <numFmt numFmtId="165" formatCode="0.0000_ ;[Red]\-0.0000\ "/>
    <numFmt numFmtId="166" formatCode="0.000%"/>
    <numFmt numFmtId="167" formatCode="0.0000%"/>
    <numFmt numFmtId="168" formatCode="0.000_ ;[Red]\-0.000\ "/>
  </numFmts>
  <fonts count="1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0" borderId="0" xfId="0" applyNumberFormat="1"/>
    <xf numFmtId="164" fontId="0" fillId="0" borderId="0" xfId="0" applyNumberFormat="1"/>
    <xf numFmtId="0" fontId="6" fillId="0" borderId="6" xfId="0" applyFont="1" applyBorder="1"/>
    <xf numFmtId="0" fontId="10" fillId="0" borderId="8" xfId="0" applyFont="1" applyBorder="1"/>
    <xf numFmtId="0" fontId="10" fillId="0" borderId="10" xfId="0" applyFont="1" applyBorder="1"/>
    <xf numFmtId="0" fontId="6" fillId="2" borderId="6" xfId="0" applyFont="1" applyFill="1" applyBorder="1"/>
    <xf numFmtId="22" fontId="6" fillId="2" borderId="7" xfId="0" applyNumberFormat="1" applyFont="1" applyFill="1" applyBorder="1"/>
    <xf numFmtId="22" fontId="10" fillId="0" borderId="9" xfId="0" applyNumberFormat="1" applyFont="1" applyBorder="1"/>
    <xf numFmtId="0" fontId="10" fillId="0" borderId="1" xfId="0" applyFont="1" applyBorder="1"/>
    <xf numFmtId="0" fontId="5" fillId="0" borderId="0" xfId="0" applyFont="1"/>
    <xf numFmtId="0" fontId="9" fillId="3" borderId="0" xfId="0" applyFont="1" applyFill="1"/>
    <xf numFmtId="14" fontId="5" fillId="4" borderId="0" xfId="0" applyNumberFormat="1" applyFont="1" applyFill="1" applyAlignment="1">
      <alignment horizontal="right"/>
    </xf>
    <xf numFmtId="0" fontId="5" fillId="4" borderId="0" xfId="0" applyFont="1" applyFill="1" applyAlignment="1">
      <alignment horizontal="right"/>
    </xf>
    <xf numFmtId="9" fontId="5" fillId="4" borderId="0" xfId="1" applyFont="1" applyFill="1" applyAlignment="1">
      <alignment horizontal="right"/>
    </xf>
    <xf numFmtId="0" fontId="6" fillId="0" borderId="13" xfId="0" applyFont="1" applyBorder="1"/>
    <xf numFmtId="0" fontId="10" fillId="5" borderId="6" xfId="0" applyFont="1" applyFill="1" applyBorder="1"/>
    <xf numFmtId="0" fontId="10" fillId="5" borderId="10" xfId="0" applyFont="1" applyFill="1" applyBorder="1"/>
    <xf numFmtId="0" fontId="10" fillId="5" borderId="11" xfId="0" applyFont="1" applyFill="1" applyBorder="1"/>
    <xf numFmtId="0" fontId="5" fillId="5" borderId="2" xfId="0" applyFont="1" applyFill="1" applyBorder="1"/>
    <xf numFmtId="0" fontId="5" fillId="5" borderId="0" xfId="0" applyNumberFormat="1" applyFont="1" applyFill="1" applyBorder="1"/>
    <xf numFmtId="0" fontId="5" fillId="5" borderId="3" xfId="0" applyFont="1" applyFill="1" applyBorder="1"/>
    <xf numFmtId="0" fontId="5" fillId="5" borderId="4" xfId="0" applyFont="1" applyFill="1" applyBorder="1"/>
    <xf numFmtId="0" fontId="5" fillId="5" borderId="12" xfId="0" applyFont="1" applyFill="1" applyBorder="1"/>
    <xf numFmtId="0" fontId="5" fillId="5" borderId="5" xfId="0" applyFont="1" applyFill="1" applyBorder="1"/>
    <xf numFmtId="0" fontId="9" fillId="4" borderId="0" xfId="0" applyFont="1" applyFill="1" applyAlignment="1">
      <alignment horizontal="left"/>
    </xf>
    <xf numFmtId="0" fontId="9" fillId="4" borderId="0" xfId="0" applyFont="1" applyFill="1" applyAlignment="1">
      <alignment horizontal="right"/>
    </xf>
    <xf numFmtId="22" fontId="10" fillId="0" borderId="11" xfId="0" applyNumberFormat="1" applyFont="1" applyBorder="1"/>
    <xf numFmtId="0" fontId="10" fillId="5" borderId="7" xfId="0" applyFont="1" applyFill="1" applyBorder="1" applyAlignment="1">
      <alignment horizontal="right"/>
    </xf>
    <xf numFmtId="0" fontId="10" fillId="0" borderId="14" xfId="0" applyFont="1" applyBorder="1"/>
    <xf numFmtId="0" fontId="11" fillId="2" borderId="10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6" fillId="5" borderId="7" xfId="0" applyFont="1" applyFill="1" applyBorder="1"/>
    <xf numFmtId="0" fontId="4" fillId="6" borderId="0" xfId="0" applyFont="1" applyFill="1"/>
    <xf numFmtId="0" fontId="0" fillId="0" borderId="0" xfId="0" applyFill="1"/>
    <xf numFmtId="0" fontId="12" fillId="7" borderId="15" xfId="0" applyFont="1" applyFill="1" applyBorder="1"/>
    <xf numFmtId="0" fontId="0" fillId="8" borderId="16" xfId="0" applyFont="1" applyFill="1" applyBorder="1"/>
    <xf numFmtId="0" fontId="0" fillId="9" borderId="16" xfId="0" applyFont="1" applyFill="1" applyBorder="1"/>
    <xf numFmtId="0" fontId="12" fillId="7" borderId="17" xfId="0" applyFont="1" applyFill="1" applyBorder="1"/>
    <xf numFmtId="0" fontId="3" fillId="0" borderId="0" xfId="0" applyFont="1"/>
    <xf numFmtId="0" fontId="3" fillId="0" borderId="0" xfId="0" applyFont="1" applyFill="1"/>
    <xf numFmtId="0" fontId="0" fillId="8" borderId="16" xfId="0" applyNumberFormat="1" applyFont="1" applyFill="1" applyBorder="1"/>
    <xf numFmtId="0" fontId="0" fillId="8" borderId="18" xfId="0" applyNumberFormat="1" applyFont="1" applyFill="1" applyBorder="1"/>
    <xf numFmtId="0" fontId="0" fillId="9" borderId="16" xfId="0" applyNumberFormat="1" applyFont="1" applyFill="1" applyBorder="1"/>
    <xf numFmtId="0" fontId="0" fillId="9" borderId="18" xfId="0" applyNumberFormat="1" applyFont="1" applyFill="1" applyBorder="1"/>
    <xf numFmtId="0" fontId="12" fillId="7" borderId="0" xfId="0" applyFont="1" applyFill="1" applyBorder="1"/>
    <xf numFmtId="0" fontId="0" fillId="8" borderId="0" xfId="0" applyNumberFormat="1" applyFont="1" applyFill="1" applyBorder="1"/>
    <xf numFmtId="0" fontId="0" fillId="9" borderId="0" xfId="0" applyNumberFormat="1" applyFont="1" applyFill="1" applyBorder="1"/>
    <xf numFmtId="167" fontId="0" fillId="0" borderId="0" xfId="1" applyNumberFormat="1" applyFont="1"/>
    <xf numFmtId="168" fontId="0" fillId="0" borderId="0" xfId="0" applyNumberFormat="1"/>
    <xf numFmtId="0" fontId="9" fillId="0" borderId="0" xfId="0" applyFont="1"/>
    <xf numFmtId="164" fontId="2" fillId="0" borderId="0" xfId="0" applyNumberFormat="1" applyFont="1"/>
    <xf numFmtId="0" fontId="2" fillId="0" borderId="0" xfId="0" applyFont="1"/>
    <xf numFmtId="165" fontId="2" fillId="0" borderId="0" xfId="0" applyNumberFormat="1" applyFont="1"/>
    <xf numFmtId="166" fontId="2" fillId="0" borderId="0" xfId="1" applyNumberFormat="1" applyFont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" fillId="0" borderId="0" xfId="0" applyFont="1"/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</xdr:row>
          <xdr:rowOff>7620</xdr:rowOff>
        </xdr:from>
        <xdr:to>
          <xdr:col>5</xdr:col>
          <xdr:colOff>800100</xdr:colOff>
          <xdr:row>3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Expiries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5</xdr:row>
          <xdr:rowOff>7620</xdr:rowOff>
        </xdr:from>
        <xdr:to>
          <xdr:col>5</xdr:col>
          <xdr:colOff>807720</xdr:colOff>
          <xdr:row>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9</xdr:row>
          <xdr:rowOff>38100</xdr:rowOff>
        </xdr:from>
        <xdr:to>
          <xdr:col>5</xdr:col>
          <xdr:colOff>815340</xdr:colOff>
          <xdr:row>11</xdr:row>
          <xdr:rowOff>83820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Greeks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2596811-5347-4282-86C5-B91BB47BB0B9}" autoFormatId="16" applyNumberFormats="0" applyBorderFormats="0" applyFontFormats="0" applyPatternFormats="0" applyAlignmentFormats="0" applyWidthHeightFormats="0">
  <queryTableRefresh nextId="87" unboundColumnsRight="5">
    <queryTableFields count="39">
      <queryTableField id="35" name="Symbol" tableColumnId="35"/>
      <queryTableField id="36" name="Description" tableColumnId="36"/>
      <queryTableField id="40" name="Option Type" tableColumnId="38"/>
      <queryTableField id="80" name="Last Vol" tableColumnId="1"/>
      <queryTableField id="81" name="Avg Vol" tableColumnId="3"/>
      <queryTableField id="43" name="Strike" tableColumnId="39"/>
      <queryTableField id="50" name="Bid" tableColumnId="42"/>
      <queryTableField id="51" name="Ask" tableColumnId="43"/>
      <queryTableField id="44" name="Last" tableColumnId="40"/>
      <queryTableField id="52" name="Bidsize" tableColumnId="44"/>
      <queryTableField id="55" name="Asksize" tableColumnId="47"/>
      <queryTableField id="62" name="Expiry Date" tableColumnId="48"/>
      <queryTableField id="63" name="Open Interest" tableColumnId="49"/>
      <queryTableField id="4" name="Column1.type" tableColumnId="4"/>
      <queryTableField id="45" name="Exch" tableColumnId="41"/>
      <queryTableField id="6" name="Column1.change" tableColumnId="6"/>
      <queryTableField id="53" name="Volume" tableColumnId="45"/>
      <queryTableField id="8" name="Column1.open" tableColumnId="8"/>
      <queryTableField id="9" name="Column1.high" tableColumnId="9"/>
      <queryTableField id="10" name="Column1.low" tableColumnId="10"/>
      <queryTableField id="54" name="Close" tableColumnId="46"/>
      <queryTableField id="14" name="Column1.underlying" tableColumnId="14"/>
      <queryTableField id="16" name="Column1.change_percentage" tableColumnId="16"/>
      <queryTableField id="19" name="Column1.trade_date" tableColumnId="19"/>
      <queryTableField id="20" name="Column1.prevclose" tableColumnId="20"/>
      <queryTableField id="21" name="Column1.week_52_high" tableColumnId="21"/>
      <queryTableField id="22" name="Column1.week_52_low" tableColumnId="22"/>
      <queryTableField id="24" name="Column1.bidexch" tableColumnId="24"/>
      <queryTableField id="25" name="Column1.bid_date" tableColumnId="25"/>
      <queryTableField id="27" name="Column1.askexch" tableColumnId="27"/>
      <queryTableField id="28" name="Column1.ask_date" tableColumnId="28"/>
      <queryTableField id="39" name="Contract Size" tableColumnId="37"/>
      <queryTableField id="32" name="Column1.expiration_type" tableColumnId="32"/>
      <queryTableField id="34" name="Column1.root_symbol" tableColumnId="34"/>
      <queryTableField id="67" dataBound="0" tableColumnId="50"/>
      <queryTableField id="68" dataBound="0" tableColumnId="51"/>
      <queryTableField id="71" dataBound="0" tableColumnId="54"/>
      <queryTableField id="79" dataBound="0" tableColumnId="2"/>
      <queryTableField id="86" dataBound="0" tableColumnId="5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714DFB-C0F1-4EE6-BDBF-7FB175BEF30E}" name="data" displayName="data" ref="A1:AM125" tableType="queryTable" totalsRowShown="0">
  <autoFilter ref="A1:AM125" xr:uid="{5D714DFB-C0F1-4EE6-BDBF-7FB175BEF30E}"/>
  <tableColumns count="39">
    <tableColumn id="35" xr3:uid="{CEB9CE65-2162-4ED9-9016-CB2FCE641286}" uniqueName="35" name="Symbol" queryTableFieldId="35"/>
    <tableColumn id="36" xr3:uid="{2A7A8BE2-DA45-4A2C-B295-AEF0F791EB60}" uniqueName="36" name="Description" queryTableFieldId="36"/>
    <tableColumn id="38" xr3:uid="{A6370AE0-8F47-40D1-93E3-0EE6B0CE5E22}" uniqueName="38" name="Option Type" queryTableFieldId="40"/>
    <tableColumn id="1" xr3:uid="{BD9578C1-4095-4D67-8DAD-952DF1DF035E}" uniqueName="1" name="Last Vol" queryTableFieldId="80"/>
    <tableColumn id="3" xr3:uid="{4658F7EB-44B8-4424-AFDF-2CE499AD5309}" uniqueName="3" name="Avg Vol" queryTableFieldId="81"/>
    <tableColumn id="39" xr3:uid="{D8930245-CC01-4E0B-AF76-0A9C083B1450}" uniqueName="39" name="Strike" queryTableFieldId="43"/>
    <tableColumn id="42" xr3:uid="{B04D7747-3E36-4766-A7D1-8E718D9F62DE}" uniqueName="42" name="Bid" queryTableFieldId="50"/>
    <tableColumn id="43" xr3:uid="{33C3473D-4BB6-4D2D-9550-53AA22E4446E}" uniqueName="43" name="Ask" queryTableFieldId="51"/>
    <tableColumn id="40" xr3:uid="{2D6C5234-D164-463F-A322-80918A5761D3}" uniqueName="40" name="Last" queryTableFieldId="44"/>
    <tableColumn id="44" xr3:uid="{94FEA75E-C560-408E-8F96-C76A7FBAF3E9}" uniqueName="44" name="Bidsize" queryTableFieldId="52"/>
    <tableColumn id="47" xr3:uid="{8D21FA33-94CF-4DE7-B1C0-AA244EDAAD0C}" uniqueName="47" name="Asksize" queryTableFieldId="55"/>
    <tableColumn id="48" xr3:uid="{137735A9-C6CF-4CC1-A182-D79BBFBA8306}" uniqueName="48" name="Expiry Date" queryTableFieldId="62"/>
    <tableColumn id="49" xr3:uid="{5FB906FE-6776-4C82-9C2F-2B5CC68CBD15}" uniqueName="49" name="Open Interest" queryTableFieldId="63"/>
    <tableColumn id="4" xr3:uid="{BCF14F1F-7CE6-4782-BA55-C9A4E5278ACE}" uniqueName="4" name="Column1.type" queryTableFieldId="4"/>
    <tableColumn id="41" xr3:uid="{0DDDA443-81E6-46FB-BCD8-09F9AE99CC00}" uniqueName="41" name="Exch" queryTableFieldId="45"/>
    <tableColumn id="6" xr3:uid="{5DE19769-A645-4563-8158-FCF96DF1C459}" uniqueName="6" name="Column1.change" queryTableFieldId="6"/>
    <tableColumn id="45" xr3:uid="{A0AA97A7-B7C0-494D-9334-7B49D5B837E2}" uniqueName="45" name="Volume" queryTableFieldId="53"/>
    <tableColumn id="8" xr3:uid="{0307FD8C-DE81-4089-9FA7-C0B2E8A10627}" uniqueName="8" name="Column1.open" queryTableFieldId="8"/>
    <tableColumn id="9" xr3:uid="{D5773F86-F65A-4E2B-A369-32BF28760D5B}" uniqueName="9" name="Column1.high" queryTableFieldId="9"/>
    <tableColumn id="10" xr3:uid="{32BB9CC0-FF15-4E2B-B029-C14BF32311FF}" uniqueName="10" name="Column1.low" queryTableFieldId="10"/>
    <tableColumn id="46" xr3:uid="{139E0BD1-C28C-422D-BCC7-B4B6FCB6122E}" uniqueName="46" name="Close" queryTableFieldId="54"/>
    <tableColumn id="14" xr3:uid="{6777BF94-73C1-46AD-9EA9-C88A76241DDA}" uniqueName="14" name="Column1.underlying" queryTableFieldId="14"/>
    <tableColumn id="16" xr3:uid="{42D86354-6DA2-4AA0-8748-51167654AA1F}" uniqueName="16" name="Column1.change_percentage" queryTableFieldId="16"/>
    <tableColumn id="19" xr3:uid="{92B7F7F2-771B-4761-BE7C-914A57829C22}" uniqueName="19" name="Column1.trade_date" queryTableFieldId="19"/>
    <tableColumn id="20" xr3:uid="{A2D7700C-0C76-454F-A39E-9E719494EFCF}" uniqueName="20" name="Column1.prevclose" queryTableFieldId="20"/>
    <tableColumn id="21" xr3:uid="{B5F424F3-FDCA-4752-BB04-376A5B324655}" uniqueName="21" name="Column1.week_52_high" queryTableFieldId="21"/>
    <tableColumn id="22" xr3:uid="{4B2CEFF9-6C81-440A-B5E0-93F6A5DC21C9}" uniqueName="22" name="Column1.week_52_low" queryTableFieldId="22"/>
    <tableColumn id="24" xr3:uid="{8438ABF8-01C5-41D3-B398-302A0226F18B}" uniqueName="24" name="Column1.bidexch" queryTableFieldId="24"/>
    <tableColumn id="25" xr3:uid="{D1E6CB48-A3D7-4A08-ACD4-54EBFE97BA24}" uniqueName="25" name="Column1.bid_date" queryTableFieldId="25"/>
    <tableColumn id="27" xr3:uid="{45AD97A4-AE75-464B-92A7-1A9BD3551651}" uniqueName="27" name="Column1.askexch" queryTableFieldId="27"/>
    <tableColumn id="28" xr3:uid="{392A9F6B-367D-4ED5-A9A8-6511CC9C10A6}" uniqueName="28" name="Column1.ask_date" queryTableFieldId="28"/>
    <tableColumn id="37" xr3:uid="{2CCAFD98-2273-42CC-921A-FC883E2645E6}" uniqueName="37" name="Contract Size" queryTableFieldId="39"/>
    <tableColumn id="32" xr3:uid="{C6893056-D251-4D65-A873-65B02D77B78E}" uniqueName="32" name="Column1.expiration_type" queryTableFieldId="32"/>
    <tableColumn id="34" xr3:uid="{A2B7C5A9-7416-4CAE-915D-CDC21C766784}" uniqueName="34" name="Column1.root_symbol" queryTableFieldId="34"/>
    <tableColumn id="50" xr3:uid="{5E84EA49-26EF-42C1-BF5B-C63F59D58172}" uniqueName="50" name="Maturity ( Days)" queryTableFieldId="67" dataDxfId="4">
      <calculatedColumnFormula>data[[#This Row],[Expiry Date]]-TODAY()</calculatedColumnFormula>
    </tableColumn>
    <tableColumn id="51" xr3:uid="{A7699F0D-1C2B-42DE-8510-FFBF8497B00A}" uniqueName="51" name="T" queryTableFieldId="68" dataDxfId="3">
      <calculatedColumnFormula>data[[#This Row],[Maturity ( Days)]]/365</calculatedColumnFormula>
    </tableColumn>
    <tableColumn id="54" xr3:uid="{35D10E33-5168-4A14-8BEF-39DF3C5E3C94}" uniqueName="54" name="OptType" queryTableFieldId="71" dataDxfId="2">
      <calculatedColumnFormula>IF(data[[#This Row],[Option Type]]="put","p","c")</calculatedColumnFormula>
    </tableColumn>
    <tableColumn id="2" xr3:uid="{53295D80-BD76-4D8C-BB63-1F01BC598DC5}" uniqueName="2" name="Cnt Price" queryTableFieldId="79" dataDxfId="1">
      <calculatedColumnFormula>(data[[#This Row],[Bid]]*data[[#This Row],[Asksize]]+data[[#This Row],[Ask]]*data[[#This Row],[Bidsize]])/(data[[#This Row],[Bidsize]]+data[[#This Row],[Asksize]])</calculatedColumnFormula>
    </tableColumn>
    <tableColumn id="5" xr3:uid="{3EEE1337-FE84-4906-9D8B-8E44DCC2C451}" uniqueName="5" name="iStrikes" queryTableFieldId="86" dataDxfId="0">
      <calculatedColumnFormula>VALUE(data[[#This Row],[Strike]])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FAA6-1A7A-4CA6-8E33-0ED9DD1F8B6E}">
  <sheetPr codeName="Sheet3"/>
  <dimension ref="A1:O6"/>
  <sheetViews>
    <sheetView workbookViewId="0">
      <selection activeCell="E12" sqref="E12"/>
    </sheetView>
  </sheetViews>
  <sheetFormatPr defaultRowHeight="15.6" x14ac:dyDescent="0.3"/>
  <cols>
    <col min="1" max="1" width="12.19921875" customWidth="1"/>
  </cols>
  <sheetData>
    <row r="1" spans="1:15" x14ac:dyDescent="0.3">
      <c r="A1" s="3" t="s">
        <v>16</v>
      </c>
      <c r="K1" t="s">
        <v>46</v>
      </c>
      <c r="M1" t="s">
        <v>48</v>
      </c>
      <c r="O1" t="s">
        <v>15</v>
      </c>
    </row>
    <row r="2" spans="1:15" x14ac:dyDescent="0.3">
      <c r="A2" s="44" t="s">
        <v>23</v>
      </c>
      <c r="B2" s="45" t="s">
        <v>45</v>
      </c>
      <c r="K2" t="s">
        <v>47</v>
      </c>
      <c r="M2" t="s">
        <v>30</v>
      </c>
      <c r="O2" t="s">
        <v>49</v>
      </c>
    </row>
    <row r="3" spans="1:15" x14ac:dyDescent="0.3">
      <c r="A3" s="44" t="s">
        <v>24</v>
      </c>
      <c r="B3" s="44" t="s">
        <v>201</v>
      </c>
      <c r="K3" s="39" t="s">
        <v>45</v>
      </c>
      <c r="M3" t="s">
        <v>201</v>
      </c>
      <c r="O3" t="s">
        <v>50</v>
      </c>
    </row>
    <row r="4" spans="1:15" x14ac:dyDescent="0.3">
      <c r="O4" t="s">
        <v>25</v>
      </c>
    </row>
    <row r="5" spans="1:15" x14ac:dyDescent="0.3">
      <c r="A5" s="3" t="s">
        <v>145</v>
      </c>
      <c r="O5" t="s">
        <v>158</v>
      </c>
    </row>
    <row r="6" spans="1:15" x14ac:dyDescent="0.3">
      <c r="A6" s="13" t="s">
        <v>146</v>
      </c>
      <c r="B6" s="62" t="s">
        <v>577</v>
      </c>
    </row>
  </sheetData>
  <dataValidations count="2">
    <dataValidation type="list" allowBlank="1" showInputMessage="1" showErrorMessage="1" sqref="B2" xr:uid="{F361C60E-2318-4773-93E3-53FF351BFE0C}">
      <formula1>$K$2:$K$4</formula1>
    </dataValidation>
    <dataValidation type="list" allowBlank="1" showInputMessage="1" showErrorMessage="1" sqref="B3" xr:uid="{33BC3094-1CC8-4C0F-AE38-6BE555CDA8B8}">
      <formula1>$M$2:$M$3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7"/>
  <sheetViews>
    <sheetView tabSelected="1" workbookViewId="0">
      <selection activeCell="E19" sqref="E19"/>
    </sheetView>
  </sheetViews>
  <sheetFormatPr defaultColWidth="11" defaultRowHeight="15.6" x14ac:dyDescent="0.3"/>
  <cols>
    <col min="1" max="1" width="12.3984375" customWidth="1"/>
    <col min="2" max="2" width="11.796875" customWidth="1"/>
    <col min="3" max="3" width="18.09765625" bestFit="1" customWidth="1"/>
    <col min="9" max="9" width="12.296875" bestFit="1" customWidth="1"/>
    <col min="10" max="10" width="17.09765625" customWidth="1"/>
    <col min="12" max="12" width="16.59765625" customWidth="1"/>
    <col min="13" max="13" width="17.59765625" customWidth="1"/>
  </cols>
  <sheetData>
    <row r="1" spans="1:14" x14ac:dyDescent="0.3">
      <c r="A1" s="14" t="s">
        <v>22</v>
      </c>
      <c r="B1" s="15">
        <f ca="1">TODAY()</f>
        <v>44698</v>
      </c>
      <c r="C1" s="36"/>
      <c r="D1" s="36"/>
      <c r="E1" s="36"/>
      <c r="F1" s="36"/>
      <c r="G1" s="36"/>
      <c r="H1" s="36"/>
      <c r="I1" s="19" t="s">
        <v>172</v>
      </c>
      <c r="J1" s="31" t="s">
        <v>175</v>
      </c>
      <c r="K1" s="36"/>
      <c r="L1" s="60" t="s">
        <v>172</v>
      </c>
      <c r="M1" s="61"/>
      <c r="N1" s="36"/>
    </row>
    <row r="2" spans="1:14" ht="16.2" thickBot="1" x14ac:dyDescent="0.35">
      <c r="A2" s="14" t="s">
        <v>15</v>
      </c>
      <c r="B2" s="29" t="s">
        <v>49</v>
      </c>
      <c r="C2" s="36"/>
      <c r="D2" s="36"/>
      <c r="E2" s="36"/>
      <c r="F2" s="36"/>
      <c r="G2" s="36"/>
      <c r="H2" s="36"/>
      <c r="I2" s="20" t="s">
        <v>183</v>
      </c>
      <c r="J2" s="21">
        <v>3</v>
      </c>
      <c r="K2" s="36"/>
      <c r="L2" s="33" t="s">
        <v>173</v>
      </c>
      <c r="M2" s="34" t="s">
        <v>175</v>
      </c>
      <c r="N2" s="36"/>
    </row>
    <row r="3" spans="1:14" ht="16.2" thickBot="1" x14ac:dyDescent="0.35">
      <c r="A3" s="14" t="s">
        <v>52</v>
      </c>
      <c r="B3" s="29" t="s">
        <v>839</v>
      </c>
      <c r="C3" s="36"/>
      <c r="D3" s="36"/>
      <c r="E3" s="36"/>
      <c r="F3" s="36"/>
      <c r="G3" s="36"/>
      <c r="H3" s="36"/>
      <c r="K3" s="36"/>
      <c r="L3" s="32" t="s">
        <v>189</v>
      </c>
      <c r="M3" s="32" t="s">
        <v>189</v>
      </c>
      <c r="N3" s="36"/>
    </row>
    <row r="4" spans="1:14" x14ac:dyDescent="0.3">
      <c r="A4" s="14" t="s">
        <v>55</v>
      </c>
      <c r="B4" s="16">
        <f ca="1">IF(spotPrice(Static!$B$3,Details!B2,Static!$B$2)="",Details!C4,spotPrice(Static!$B$3,Details!B2,Static!$B$2))</f>
        <v>4065.22</v>
      </c>
      <c r="C4" s="38">
        <v>3990</v>
      </c>
      <c r="D4" s="36"/>
      <c r="E4" s="36"/>
      <c r="F4" s="36"/>
      <c r="G4" s="36"/>
      <c r="H4" s="36"/>
      <c r="I4" s="9" t="s">
        <v>170</v>
      </c>
      <c r="J4" s="10" t="s">
        <v>174</v>
      </c>
      <c r="K4" s="36"/>
      <c r="L4" s="12" t="s">
        <v>179</v>
      </c>
      <c r="M4" s="12" t="s">
        <v>179</v>
      </c>
      <c r="N4" s="36"/>
    </row>
    <row r="5" spans="1:14" x14ac:dyDescent="0.3">
      <c r="A5" s="14" t="s">
        <v>58</v>
      </c>
      <c r="B5" s="28" t="str">
        <f ca="1">optionChainFile(Static!B6,B3,B2,Static!B3,Static!B2)</f>
        <v>124 lines written 17/05/2022, 22:01:46</v>
      </c>
      <c r="C5" s="36"/>
      <c r="D5" s="36"/>
      <c r="E5" s="36"/>
      <c r="F5" s="36"/>
      <c r="G5" s="36"/>
      <c r="H5" s="36"/>
      <c r="I5" s="7" t="s">
        <v>171</v>
      </c>
      <c r="J5" s="11">
        <v>44698.917881944442</v>
      </c>
      <c r="K5" s="36"/>
      <c r="L5" s="12" t="s">
        <v>180</v>
      </c>
      <c r="M5" s="12" t="s">
        <v>178</v>
      </c>
      <c r="N5" s="36"/>
    </row>
    <row r="6" spans="1:14" x14ac:dyDescent="0.3">
      <c r="A6" s="14" t="s">
        <v>177</v>
      </c>
      <c r="B6" s="17">
        <v>0.02</v>
      </c>
      <c r="C6" s="36"/>
      <c r="D6" s="36"/>
      <c r="E6" s="36"/>
      <c r="F6" s="36"/>
      <c r="G6" s="36"/>
      <c r="H6" s="36"/>
      <c r="I6" s="7" t="s">
        <v>58</v>
      </c>
      <c r="J6" s="11">
        <v>44698.917893518519</v>
      </c>
      <c r="K6" s="36"/>
      <c r="L6" s="12" t="s">
        <v>176</v>
      </c>
      <c r="M6" s="12" t="s">
        <v>180</v>
      </c>
      <c r="N6" s="36"/>
    </row>
    <row r="7" spans="1:14" ht="16.2" thickBot="1" x14ac:dyDescent="0.35">
      <c r="A7" s="14" t="s">
        <v>157</v>
      </c>
      <c r="B7" s="17">
        <v>0.01</v>
      </c>
      <c r="C7" s="36"/>
      <c r="D7" s="36"/>
      <c r="E7" s="36"/>
      <c r="F7" s="36"/>
      <c r="G7" s="36"/>
      <c r="H7" s="36"/>
      <c r="I7" s="8" t="s">
        <v>39</v>
      </c>
      <c r="J7" s="30">
        <v>44698.917916666665</v>
      </c>
      <c r="K7" s="36"/>
      <c r="L7" s="12"/>
      <c r="M7" s="12" t="s">
        <v>181</v>
      </c>
      <c r="N7" s="36"/>
    </row>
    <row r="8" spans="1:14" ht="16.2" thickBot="1" x14ac:dyDescent="0.35">
      <c r="C8" s="36"/>
      <c r="D8" s="36"/>
      <c r="E8" s="36"/>
      <c r="F8" s="36"/>
      <c r="G8" s="36"/>
      <c r="H8" s="36"/>
      <c r="I8" s="36"/>
      <c r="J8" s="36"/>
      <c r="K8" s="36"/>
      <c r="L8" s="12"/>
      <c r="M8" s="12" t="s">
        <v>182</v>
      </c>
      <c r="N8" s="36"/>
    </row>
    <row r="9" spans="1:14" x14ac:dyDescent="0.3">
      <c r="A9" s="6" t="s">
        <v>171</v>
      </c>
      <c r="B9" s="18" t="s">
        <v>51</v>
      </c>
      <c r="C9" s="37" t="s">
        <v>53</v>
      </c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1:14" x14ac:dyDescent="0.3">
      <c r="A10" s="22" t="str">
        <f t="array" aca="1" ref="A10:A56" ca="1">TRANSPOSE(optionExpiries(Static!$B$3,$B$2,Static!$B$2))</f>
        <v>2022-05-17</v>
      </c>
      <c r="B10" s="23">
        <f ca="1">A10-$B$1</f>
        <v>0</v>
      </c>
      <c r="C10" s="24" t="str">
        <f ca="1">_xlfn.IFNA(A10  &amp; "  ("  &amp; B10  &amp; ")","")</f>
        <v>2022-05-17  (0)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</row>
    <row r="11" spans="1:14" x14ac:dyDescent="0.3">
      <c r="A11" s="22" t="str">
        <f ca="1"/>
        <v>2022-05-18</v>
      </c>
      <c r="B11" s="23">
        <f t="shared" ref="B11:B55" ca="1" si="0">A11-$B$1</f>
        <v>1</v>
      </c>
      <c r="C11" s="24" t="str">
        <f t="shared" ref="C11:C56" ca="1" si="1">_xlfn.IFNA(A11  &amp; "  ("  &amp; B11  &amp; ")","")</f>
        <v>2022-05-18  (1)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x14ac:dyDescent="0.3">
      <c r="A12" s="22" t="str">
        <f ca="1"/>
        <v>2022-05-19</v>
      </c>
      <c r="B12" s="23">
        <f t="shared" ca="1" si="0"/>
        <v>2</v>
      </c>
      <c r="C12" s="24" t="str">
        <f t="shared" ca="1" si="1"/>
        <v>2022-05-19  (2)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1:14" x14ac:dyDescent="0.3">
      <c r="A13" s="22" t="str">
        <f ca="1"/>
        <v>2022-05-20</v>
      </c>
      <c r="B13" s="23">
        <f t="shared" ca="1" si="0"/>
        <v>3</v>
      </c>
      <c r="C13" s="24" t="str">
        <f t="shared" ca="1" si="1"/>
        <v>2022-05-20  (3)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</row>
    <row r="14" spans="1:14" x14ac:dyDescent="0.3">
      <c r="A14" s="22" t="str">
        <f ca="1"/>
        <v>2022-05-23</v>
      </c>
      <c r="B14" s="23">
        <f t="shared" ca="1" si="0"/>
        <v>6</v>
      </c>
      <c r="C14" s="24" t="str">
        <f t="shared" ca="1" si="1"/>
        <v>2022-05-23  (6)</v>
      </c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14" x14ac:dyDescent="0.3">
      <c r="A15" s="22" t="str">
        <f ca="1"/>
        <v>2022-05-24</v>
      </c>
      <c r="B15" s="23">
        <f t="shared" ca="1" si="0"/>
        <v>7</v>
      </c>
      <c r="C15" s="24" t="str">
        <f t="shared" ca="1" si="1"/>
        <v>2022-05-24  (7)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14" x14ac:dyDescent="0.3">
      <c r="A16" s="22" t="str">
        <f ca="1"/>
        <v>2022-05-25</v>
      </c>
      <c r="B16" s="23">
        <f t="shared" ca="1" si="0"/>
        <v>8</v>
      </c>
      <c r="C16" s="24" t="str">
        <f t="shared" ca="1" si="1"/>
        <v>2022-05-25  (8)</v>
      </c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1:14" x14ac:dyDescent="0.3">
      <c r="A17" s="22" t="str">
        <f ca="1"/>
        <v>2022-05-26</v>
      </c>
      <c r="B17" s="23">
        <f t="shared" ca="1" si="0"/>
        <v>9</v>
      </c>
      <c r="C17" s="24" t="str">
        <f t="shared" ca="1" si="1"/>
        <v>2022-05-26  (9)</v>
      </c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</row>
    <row r="18" spans="1:14" x14ac:dyDescent="0.3">
      <c r="A18" s="22" t="str">
        <f ca="1"/>
        <v>2022-05-27</v>
      </c>
      <c r="B18" s="23">
        <f t="shared" ca="1" si="0"/>
        <v>10</v>
      </c>
      <c r="C18" s="24" t="str">
        <f t="shared" ca="1" si="1"/>
        <v>2022-05-27  (10)</v>
      </c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</row>
    <row r="19" spans="1:14" x14ac:dyDescent="0.3">
      <c r="A19" s="22" t="str">
        <f ca="1"/>
        <v>2022-05-31</v>
      </c>
      <c r="B19" s="23">
        <f t="shared" ca="1" si="0"/>
        <v>14</v>
      </c>
      <c r="C19" s="24" t="str">
        <f t="shared" ca="1" si="1"/>
        <v>2022-05-31  (14)</v>
      </c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</row>
    <row r="20" spans="1:14" x14ac:dyDescent="0.3">
      <c r="A20" s="22" t="str">
        <f ca="1"/>
        <v>2022-06-01</v>
      </c>
      <c r="B20" s="23">
        <f t="shared" ca="1" si="0"/>
        <v>15</v>
      </c>
      <c r="C20" s="24" t="str">
        <f t="shared" ca="1" si="1"/>
        <v>2022-06-01  (15)</v>
      </c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</row>
    <row r="21" spans="1:14" x14ac:dyDescent="0.3">
      <c r="A21" s="22" t="str">
        <f ca="1"/>
        <v>2022-06-03</v>
      </c>
      <c r="B21" s="23">
        <f t="shared" ca="1" si="0"/>
        <v>17</v>
      </c>
      <c r="C21" s="24" t="str">
        <f t="shared" ca="1" si="1"/>
        <v>2022-06-03  (17)</v>
      </c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</row>
    <row r="22" spans="1:14" x14ac:dyDescent="0.3">
      <c r="A22" s="22" t="str">
        <f ca="1"/>
        <v>2022-06-06</v>
      </c>
      <c r="B22" s="23">
        <f t="shared" ca="1" si="0"/>
        <v>20</v>
      </c>
      <c r="C22" s="24" t="str">
        <f t="shared" ca="1" si="1"/>
        <v>2022-06-06  (20)</v>
      </c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</row>
    <row r="23" spans="1:14" x14ac:dyDescent="0.3">
      <c r="A23" s="22" t="str">
        <f ca="1"/>
        <v>2022-06-08</v>
      </c>
      <c r="B23" s="23">
        <f t="shared" ca="1" si="0"/>
        <v>22</v>
      </c>
      <c r="C23" s="24" t="str">
        <f t="shared" ca="1" si="1"/>
        <v>2022-06-08  (22)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</row>
    <row r="24" spans="1:14" x14ac:dyDescent="0.3">
      <c r="A24" s="22" t="str">
        <f ca="1"/>
        <v>2022-06-10</v>
      </c>
      <c r="B24" s="23">
        <f t="shared" ca="1" si="0"/>
        <v>24</v>
      </c>
      <c r="C24" s="24" t="str">
        <f t="shared" ca="1" si="1"/>
        <v>2022-06-10  (24)</v>
      </c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1:14" x14ac:dyDescent="0.3">
      <c r="A25" s="22" t="str">
        <f ca="1"/>
        <v>2022-06-13</v>
      </c>
      <c r="B25" s="23">
        <f t="shared" ca="1" si="0"/>
        <v>27</v>
      </c>
      <c r="C25" s="24" t="str">
        <f t="shared" ca="1" si="1"/>
        <v>2022-06-13  (27)</v>
      </c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</row>
    <row r="26" spans="1:14" x14ac:dyDescent="0.3">
      <c r="A26" s="22" t="str">
        <f ca="1"/>
        <v>2022-06-15</v>
      </c>
      <c r="B26" s="23">
        <f t="shared" ca="1" si="0"/>
        <v>29</v>
      </c>
      <c r="C26" s="24" t="str">
        <f t="shared" ca="1" si="1"/>
        <v>2022-06-15  (29)</v>
      </c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</row>
    <row r="27" spans="1:14" x14ac:dyDescent="0.3">
      <c r="A27" s="22" t="str">
        <f ca="1"/>
        <v>2022-06-17</v>
      </c>
      <c r="B27" s="23">
        <f t="shared" ca="1" si="0"/>
        <v>31</v>
      </c>
      <c r="C27" s="24" t="str">
        <f t="shared" ca="1" si="1"/>
        <v>2022-06-17  (31)</v>
      </c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</row>
    <row r="28" spans="1:14" x14ac:dyDescent="0.3">
      <c r="A28" s="22" t="str">
        <f ca="1"/>
        <v>2022-06-24</v>
      </c>
      <c r="B28" s="23">
        <f t="shared" ca="1" si="0"/>
        <v>38</v>
      </c>
      <c r="C28" s="24" t="str">
        <f t="shared" ca="1" si="1"/>
        <v>2022-06-24  (38)</v>
      </c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</row>
    <row r="29" spans="1:14" x14ac:dyDescent="0.3">
      <c r="A29" s="22" t="str">
        <f ca="1"/>
        <v>2022-06-30</v>
      </c>
      <c r="B29" s="23">
        <f t="shared" ca="1" si="0"/>
        <v>44</v>
      </c>
      <c r="C29" s="24" t="str">
        <f t="shared" ca="1" si="1"/>
        <v>2022-06-30  (44)</v>
      </c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</row>
    <row r="30" spans="1:14" x14ac:dyDescent="0.3">
      <c r="A30" s="22" t="str">
        <f ca="1"/>
        <v>2022-07-01</v>
      </c>
      <c r="B30" s="23">
        <f t="shared" ca="1" si="0"/>
        <v>45</v>
      </c>
      <c r="C30" s="24" t="str">
        <f t="shared" ca="1" si="1"/>
        <v>2022-07-01  (45)</v>
      </c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</row>
    <row r="31" spans="1:14" x14ac:dyDescent="0.3">
      <c r="A31" s="22" t="str">
        <f ca="1"/>
        <v>2022-07-15</v>
      </c>
      <c r="B31" s="23">
        <f t="shared" ca="1" si="0"/>
        <v>59</v>
      </c>
      <c r="C31" s="24" t="str">
        <f t="shared" ca="1" si="1"/>
        <v>2022-07-15  (59)</v>
      </c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</row>
    <row r="32" spans="1:14" x14ac:dyDescent="0.3">
      <c r="A32" s="22" t="str">
        <f ca="1"/>
        <v>2022-07-29</v>
      </c>
      <c r="B32" s="23">
        <f t="shared" ca="1" si="0"/>
        <v>73</v>
      </c>
      <c r="C32" s="24" t="str">
        <f t="shared" ca="1" si="1"/>
        <v>2022-07-29  (73)</v>
      </c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x14ac:dyDescent="0.3">
      <c r="A33" s="22" t="str">
        <f ca="1"/>
        <v>2022-08-19</v>
      </c>
      <c r="B33" s="23">
        <f t="shared" ca="1" si="0"/>
        <v>94</v>
      </c>
      <c r="C33" s="24" t="str">
        <f t="shared" ca="1" si="1"/>
        <v>2022-08-19  (94)</v>
      </c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</row>
    <row r="34" spans="1:14" x14ac:dyDescent="0.3">
      <c r="A34" s="22" t="str">
        <f ca="1"/>
        <v>2022-08-31</v>
      </c>
      <c r="B34" s="23">
        <f t="shared" ca="1" si="0"/>
        <v>106</v>
      </c>
      <c r="C34" s="24" t="str">
        <f t="shared" ca="1" si="1"/>
        <v>2022-08-31  (106)</v>
      </c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</row>
    <row r="35" spans="1:14" x14ac:dyDescent="0.3">
      <c r="A35" s="22" t="str">
        <f ca="1"/>
        <v>2022-09-16</v>
      </c>
      <c r="B35" s="23">
        <f t="shared" ca="1" si="0"/>
        <v>122</v>
      </c>
      <c r="C35" s="24" t="str">
        <f t="shared" ca="1" si="1"/>
        <v>2022-09-16  (122)</v>
      </c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</row>
    <row r="36" spans="1:14" x14ac:dyDescent="0.3">
      <c r="A36" s="22" t="str">
        <f ca="1"/>
        <v>2022-09-30</v>
      </c>
      <c r="B36" s="23">
        <f t="shared" ca="1" si="0"/>
        <v>136</v>
      </c>
      <c r="C36" s="24" t="str">
        <f t="shared" ca="1" si="1"/>
        <v>2022-09-30  (136)</v>
      </c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</row>
    <row r="37" spans="1:14" x14ac:dyDescent="0.3">
      <c r="A37" s="22" t="str">
        <f ca="1"/>
        <v>2022-10-21</v>
      </c>
      <c r="B37" s="23">
        <f t="shared" ca="1" si="0"/>
        <v>157</v>
      </c>
      <c r="C37" s="24" t="str">
        <f t="shared" ca="1" si="1"/>
        <v>2022-10-21  (157)</v>
      </c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1:14" x14ac:dyDescent="0.3">
      <c r="A38" s="22" t="str">
        <f ca="1"/>
        <v>2022-10-31</v>
      </c>
      <c r="B38" s="23">
        <f t="shared" ca="1" si="0"/>
        <v>167</v>
      </c>
      <c r="C38" s="24" t="str">
        <f t="shared" ca="1" si="1"/>
        <v>2022-10-31  (167)</v>
      </c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</row>
    <row r="39" spans="1:14" x14ac:dyDescent="0.3">
      <c r="A39" s="22" t="str">
        <f ca="1"/>
        <v>2022-11-18</v>
      </c>
      <c r="B39" s="23">
        <f t="shared" ca="1" si="0"/>
        <v>185</v>
      </c>
      <c r="C39" s="24" t="str">
        <f t="shared" ca="1" si="1"/>
        <v>2022-11-18  (185)</v>
      </c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1:14" x14ac:dyDescent="0.3">
      <c r="A40" s="22" t="str">
        <f ca="1"/>
        <v>2022-12-16</v>
      </c>
      <c r="B40" s="23">
        <f t="shared" ca="1" si="0"/>
        <v>213</v>
      </c>
      <c r="C40" s="24" t="str">
        <f t="shared" ca="1" si="1"/>
        <v>2022-12-16  (213)</v>
      </c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</row>
    <row r="41" spans="1:14" x14ac:dyDescent="0.3">
      <c r="A41" s="22" t="str">
        <f ca="1"/>
        <v>2022-12-30</v>
      </c>
      <c r="B41" s="23">
        <f t="shared" ca="1" si="0"/>
        <v>227</v>
      </c>
      <c r="C41" s="24" t="str">
        <f t="shared" ca="1" si="1"/>
        <v>2022-12-30  (227)</v>
      </c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</row>
    <row r="42" spans="1:14" x14ac:dyDescent="0.3">
      <c r="A42" s="22" t="str">
        <f ca="1"/>
        <v>2023-01-20</v>
      </c>
      <c r="B42" s="23">
        <f t="shared" ca="1" si="0"/>
        <v>248</v>
      </c>
      <c r="C42" s="24" t="str">
        <f t="shared" ca="1" si="1"/>
        <v>2023-01-20  (248)</v>
      </c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1:14" x14ac:dyDescent="0.3">
      <c r="A43" s="22" t="str">
        <f ca="1"/>
        <v>2023-02-17</v>
      </c>
      <c r="B43" s="23">
        <f t="shared" ca="1" si="0"/>
        <v>276</v>
      </c>
      <c r="C43" s="24" t="str">
        <f t="shared" ca="1" si="1"/>
        <v>2023-02-17  (276)</v>
      </c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</row>
    <row r="44" spans="1:14" x14ac:dyDescent="0.3">
      <c r="A44" s="22" t="str">
        <f ca="1"/>
        <v>2023-03-17</v>
      </c>
      <c r="B44" s="23">
        <f t="shared" ca="1" si="0"/>
        <v>304</v>
      </c>
      <c r="C44" s="24" t="str">
        <f t="shared" ca="1" si="1"/>
        <v>2023-03-17  (304)</v>
      </c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</row>
    <row r="45" spans="1:14" x14ac:dyDescent="0.3">
      <c r="A45" s="22" t="str">
        <f ca="1"/>
        <v>2023-03-31</v>
      </c>
      <c r="B45" s="23">
        <f t="shared" ca="1" si="0"/>
        <v>318</v>
      </c>
      <c r="C45" s="24" t="str">
        <f t="shared" ca="1" si="1"/>
        <v>2023-03-31  (318)</v>
      </c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</row>
    <row r="46" spans="1:14" x14ac:dyDescent="0.3">
      <c r="A46" s="22" t="str">
        <f ca="1"/>
        <v>2023-04-21</v>
      </c>
      <c r="B46" s="23">
        <f t="shared" ca="1" si="0"/>
        <v>339</v>
      </c>
      <c r="C46" s="24" t="str">
        <f t="shared" ca="1" si="1"/>
        <v>2023-04-21  (339)</v>
      </c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</row>
    <row r="47" spans="1:14" x14ac:dyDescent="0.3">
      <c r="A47" s="22" t="str">
        <f ca="1"/>
        <v>2023-05-19</v>
      </c>
      <c r="B47" s="23">
        <f t="shared" ca="1" si="0"/>
        <v>367</v>
      </c>
      <c r="C47" s="24" t="str">
        <f t="shared" ca="1" si="1"/>
        <v>2023-05-19  (367)</v>
      </c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</row>
    <row r="48" spans="1:14" x14ac:dyDescent="0.3">
      <c r="A48" s="22" t="str">
        <f ca="1"/>
        <v>2023-06-16</v>
      </c>
      <c r="B48" s="23">
        <f t="shared" ca="1" si="0"/>
        <v>395</v>
      </c>
      <c r="C48" s="24" t="str">
        <f t="shared" ca="1" si="1"/>
        <v>2023-06-16  (395)</v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</row>
    <row r="49" spans="1:14" x14ac:dyDescent="0.3">
      <c r="A49" s="22" t="str">
        <f ca="1"/>
        <v>2023-09-15</v>
      </c>
      <c r="B49" s="23">
        <f t="shared" ca="1" si="0"/>
        <v>486</v>
      </c>
      <c r="C49" s="24" t="str">
        <f t="shared" ca="1" si="1"/>
        <v>2023-09-15  (486)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</row>
    <row r="50" spans="1:14" x14ac:dyDescent="0.3">
      <c r="A50" s="22" t="str">
        <f ca="1"/>
        <v>2023-12-15</v>
      </c>
      <c r="B50" s="23">
        <f t="shared" ca="1" si="0"/>
        <v>577</v>
      </c>
      <c r="C50" s="24" t="str">
        <f t="shared" ca="1" si="1"/>
        <v>2023-12-15  (577)</v>
      </c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</row>
    <row r="51" spans="1:14" x14ac:dyDescent="0.3">
      <c r="A51" s="22" t="str">
        <f ca="1"/>
        <v>2024-12-20</v>
      </c>
      <c r="B51" s="23">
        <f ca="1">A51-$B$1</f>
        <v>948</v>
      </c>
      <c r="C51" s="24" t="str">
        <f ca="1">_xlfn.IFNA(A51  &amp; "  ("  &amp; B51  &amp; ")","")</f>
        <v>2024-12-20  (948)</v>
      </c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</row>
    <row r="52" spans="1:14" x14ac:dyDescent="0.3">
      <c r="A52" s="22" t="str">
        <f ca="1"/>
        <v>2025-12-19</v>
      </c>
      <c r="B52" s="23">
        <f t="shared" ca="1" si="0"/>
        <v>1312</v>
      </c>
      <c r="C52" s="24" t="str">
        <f ca="1">_xlfn.IFNA(A52  &amp; "  ("  &amp; B52  &amp; ")","")</f>
        <v>2025-12-19  (1312)</v>
      </c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</row>
    <row r="53" spans="1:14" x14ac:dyDescent="0.3">
      <c r="A53" s="22" t="str">
        <f ca="1"/>
        <v>2026-12-18</v>
      </c>
      <c r="B53" s="23">
        <f t="shared" ca="1" si="0"/>
        <v>1676</v>
      </c>
      <c r="C53" s="24" t="str">
        <f ca="1">_xlfn.IFNA(A53  &amp; "  ("  &amp; B53  &amp; ")","")</f>
        <v>2026-12-18  (1676)</v>
      </c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</row>
    <row r="54" spans="1:14" x14ac:dyDescent="0.3">
      <c r="A54" s="22" t="e">
        <f ca="1"/>
        <v>#N/A</v>
      </c>
      <c r="B54" s="23" t="e">
        <f t="shared" ca="1" si="0"/>
        <v>#N/A</v>
      </c>
      <c r="C54" s="24" t="str">
        <f ca="1">_xlfn.IFNA(A54  &amp; "  ("  &amp; B54  &amp; ")","")</f>
        <v/>
      </c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</row>
    <row r="55" spans="1:14" x14ac:dyDescent="0.3">
      <c r="A55" s="22" t="e">
        <f ca="1"/>
        <v>#N/A</v>
      </c>
      <c r="B55" s="23" t="e">
        <f t="shared" ca="1" si="0"/>
        <v>#N/A</v>
      </c>
      <c r="C55" s="24" t="str">
        <f ca="1">_xlfn.IFNA(A55  &amp; "  ("  &amp; B55  &amp; ")","")</f>
        <v/>
      </c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</row>
    <row r="56" spans="1:14" ht="16.2" thickBot="1" x14ac:dyDescent="0.35">
      <c r="A56" s="25" t="e">
        <f ca="1"/>
        <v>#N/A</v>
      </c>
      <c r="B56" s="26"/>
      <c r="C56" s="27" t="str">
        <f t="shared" ca="1" si="1"/>
        <v/>
      </c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</row>
    <row r="57" spans="1:14" x14ac:dyDescent="0.3">
      <c r="K57" s="36"/>
      <c r="L57" s="36"/>
      <c r="M57" s="36"/>
      <c r="N57" s="36"/>
    </row>
  </sheetData>
  <mergeCells count="1">
    <mergeCell ref="L1:M1"/>
  </mergeCells>
  <dataValidations count="3">
    <dataValidation type="list" allowBlank="1" showInputMessage="1" showErrorMessage="1" sqref="D2" xr:uid="{A218AECD-8476-4D8C-8E67-C3D3CAF1DC35}">
      <formula1>CalcMode</formula1>
    </dataValidation>
    <dataValidation type="list" allowBlank="1" showInputMessage="1" showErrorMessage="1" sqref="B3" xr:uid="{23DBBA2B-9CD9-4AC2-8C70-4D364A101839}">
      <formula1>$A$10:$A$56</formula1>
    </dataValidation>
    <dataValidation type="list" allowBlank="1" showInputMessage="1" showErrorMessage="1" sqref="J1" xr:uid="{2AE977BC-3B57-4DC3-954D-AD8F3255618F}">
      <formula1>"On, Off"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UpdateOptionExpiries">
                <anchor moveWithCells="1" sizeWithCells="1">
                  <from>
                    <xdr:col>4</xdr:col>
                    <xdr:colOff>45720</xdr:colOff>
                    <xdr:row>1</xdr:row>
                    <xdr:rowOff>7620</xdr:rowOff>
                  </from>
                  <to>
                    <xdr:col>5</xdr:col>
                    <xdr:colOff>800100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UpdateOptionChain">
                <anchor moveWithCells="1" sizeWithCells="1">
                  <from>
                    <xdr:col>4</xdr:col>
                    <xdr:colOff>45720</xdr:colOff>
                    <xdr:row>5</xdr:row>
                    <xdr:rowOff>7620</xdr:rowOff>
                  </from>
                  <to>
                    <xdr:col>5</xdr:col>
                    <xdr:colOff>807720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CalculateGreeks">
                <anchor moveWithCells="1" sizeWithCells="1">
                  <from>
                    <xdr:col>4</xdr:col>
                    <xdr:colOff>53340</xdr:colOff>
                    <xdr:row>9</xdr:row>
                    <xdr:rowOff>38100</xdr:rowOff>
                  </from>
                  <to>
                    <xdr:col>5</xdr:col>
                    <xdr:colOff>815340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A3D0E1-B897-40F0-9E31-FC9C483FEAEC}">
          <x14:formula1>
            <xm:f>Static!$O$2:$O$11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E197-4DE5-4520-BA2F-23D4312D4734}">
  <sheetPr codeName="Sheet7"/>
  <dimension ref="A1:AU867"/>
  <sheetViews>
    <sheetView topLeftCell="C1" workbookViewId="0">
      <pane ySplit="1" topLeftCell="A112" activePane="bottomLeft" state="frozen"/>
      <selection activeCell="D1" sqref="D1"/>
      <selection pane="bottomLeft" activeCell="AL125" sqref="AL125"/>
    </sheetView>
  </sheetViews>
  <sheetFormatPr defaultRowHeight="15.6" outlineLevelCol="1" x14ac:dyDescent="0.3"/>
  <cols>
    <col min="1" max="1" width="19.69921875" bestFit="1" customWidth="1"/>
    <col min="2" max="2" width="26.69921875" bestFit="1" customWidth="1"/>
    <col min="3" max="3" width="13.8984375" bestFit="1" customWidth="1"/>
    <col min="4" max="4" width="9.69921875" bestFit="1" customWidth="1"/>
    <col min="5" max="5" width="9.3984375" bestFit="1" customWidth="1"/>
    <col min="6" max="6" width="7.8984375" bestFit="1" customWidth="1"/>
    <col min="7" max="7" width="8" bestFit="1" customWidth="1"/>
    <col min="8" max="8" width="9.296875" bestFit="1" customWidth="1"/>
    <col min="9" max="9" width="9.59765625" bestFit="1" customWidth="1"/>
    <col min="10" max="10" width="8.796875" bestFit="1" customWidth="1"/>
    <col min="11" max="11" width="9.796875" bestFit="1" customWidth="1"/>
    <col min="12" max="12" width="12.69921875" bestFit="1" customWidth="1"/>
    <col min="13" max="13" width="14.5" bestFit="1" customWidth="1"/>
    <col min="14" max="14" width="17" hidden="1" customWidth="1" outlineLevel="1"/>
    <col min="15" max="15" width="9.5" hidden="1" customWidth="1" outlineLevel="1"/>
    <col min="16" max="16" width="16.8984375" hidden="1" customWidth="1" outlineLevel="1"/>
    <col min="17" max="17" width="14.59765625" hidden="1" customWidth="1" outlineLevel="1"/>
    <col min="18" max="18" width="15.296875" hidden="1" customWidth="1" outlineLevel="1"/>
    <col min="19" max="19" width="14.5" hidden="1" customWidth="1" outlineLevel="1"/>
    <col min="20" max="20" width="20.09765625" hidden="1" customWidth="1" outlineLevel="1"/>
    <col min="21" max="21" width="27.59765625" hidden="1" customWidth="1" outlineLevel="1"/>
    <col min="22" max="22" width="25" hidden="1" customWidth="1" outlineLevel="1"/>
    <col min="23" max="23" width="27.5" hidden="1" customWidth="1" outlineLevel="1"/>
    <col min="24" max="24" width="20.5" hidden="1" customWidth="1" outlineLevel="1"/>
    <col min="25" max="25" width="19" hidden="1" customWidth="1" outlineLevel="1"/>
    <col min="26" max="26" width="23.3984375" hidden="1" customWidth="1" outlineLevel="1"/>
    <col min="27" max="27" width="22.796875" hidden="1" customWidth="1" outlineLevel="1"/>
    <col min="28" max="28" width="17.59765625" hidden="1" customWidth="1" outlineLevel="1"/>
    <col min="29" max="29" width="18.59765625" hidden="1" customWidth="1" outlineLevel="1"/>
    <col min="30" max="30" width="17.69921875" hidden="1" customWidth="1" outlineLevel="1"/>
    <col min="31" max="31" width="18.69921875" hidden="1" customWidth="1" outlineLevel="1"/>
    <col min="32" max="32" width="13.8984375" hidden="1" customWidth="1" outlineLevel="1"/>
    <col min="33" max="33" width="24.59765625" hidden="1" customWidth="1" outlineLevel="1"/>
    <col min="34" max="34" width="21.69921875" hidden="1" customWidth="1" outlineLevel="1"/>
    <col min="35" max="35" width="16.5" bestFit="1" customWidth="1" collapsed="1"/>
    <col min="36" max="36" width="11.8984375" bestFit="1" customWidth="1"/>
    <col min="37" max="37" width="10.09765625" bestFit="1" customWidth="1"/>
    <col min="38" max="38" width="11.8984375" bestFit="1" customWidth="1"/>
    <col min="39" max="39" width="9" bestFit="1" customWidth="1"/>
    <col min="40" max="40" width="10.796875" bestFit="1" customWidth="1"/>
    <col min="41" max="41" width="7.8984375" customWidth="1"/>
    <col min="42" max="42" width="20.19921875" customWidth="1"/>
    <col min="43" max="45" width="9.8984375" bestFit="1" customWidth="1"/>
    <col min="46" max="47" width="9" bestFit="1" customWidth="1"/>
    <col min="48" max="60" width="8.8984375" bestFit="1" customWidth="1"/>
    <col min="61" max="61" width="10.8984375" bestFit="1" customWidth="1"/>
    <col min="62" max="64" width="8.8984375" bestFit="1" customWidth="1"/>
    <col min="65" max="65" width="11.8984375" bestFit="1" customWidth="1"/>
    <col min="66" max="66" width="10.8984375" bestFit="1" customWidth="1"/>
    <col min="67" max="85" width="8.8984375" bestFit="1" customWidth="1"/>
    <col min="86" max="87" width="11.8984375" bestFit="1" customWidth="1"/>
    <col min="88" max="88" width="10.8984375" bestFit="1" customWidth="1"/>
    <col min="89" max="89" width="11.8984375" bestFit="1" customWidth="1"/>
    <col min="90" max="90" width="10.8984375" bestFit="1" customWidth="1"/>
    <col min="91" max="117" width="8.8984375" bestFit="1" customWidth="1"/>
    <col min="118" max="120" width="11.8984375" bestFit="1" customWidth="1"/>
    <col min="121" max="121" width="10.8984375" bestFit="1" customWidth="1"/>
    <col min="122" max="136" width="8.8984375" bestFit="1" customWidth="1"/>
    <col min="137" max="137" width="11.8984375" bestFit="1" customWidth="1"/>
    <col min="138" max="141" width="8.8984375" bestFit="1" customWidth="1"/>
    <col min="142" max="142" width="11.8984375" bestFit="1" customWidth="1"/>
    <col min="143" max="240" width="8.8984375" bestFit="1" customWidth="1"/>
    <col min="241" max="241" width="11.8984375" bestFit="1" customWidth="1"/>
    <col min="242" max="738" width="8.8984375" bestFit="1" customWidth="1"/>
    <col min="739" max="739" width="12.5" bestFit="1" customWidth="1"/>
    <col min="740" max="784" width="8.8984375" bestFit="1" customWidth="1"/>
    <col min="785" max="785" width="11.8984375" bestFit="1" customWidth="1"/>
    <col min="786" max="789" width="8.8984375" bestFit="1" customWidth="1"/>
    <col min="790" max="790" width="11.8984375" bestFit="1" customWidth="1"/>
    <col min="791" max="806" width="8.8984375" bestFit="1" customWidth="1"/>
    <col min="807" max="807" width="10.8984375" bestFit="1" customWidth="1"/>
    <col min="808" max="809" width="11.8984375" bestFit="1" customWidth="1"/>
    <col min="810" max="845" width="8.8984375" bestFit="1" customWidth="1"/>
    <col min="846" max="846" width="9.8984375" bestFit="1" customWidth="1"/>
    <col min="847" max="852" width="11.8984375" bestFit="1" customWidth="1"/>
    <col min="853" max="854" width="10.8984375" bestFit="1" customWidth="1"/>
    <col min="855" max="859" width="11.8984375" bestFit="1" customWidth="1"/>
    <col min="860" max="860" width="10.8984375" bestFit="1" customWidth="1"/>
    <col min="861" max="870" width="8.8984375" bestFit="1" customWidth="1"/>
    <col min="871" max="871" width="11.8984375" bestFit="1" customWidth="1"/>
    <col min="872" max="905" width="8.8984375" bestFit="1" customWidth="1"/>
  </cols>
  <sheetData>
    <row r="1" spans="1:47" x14ac:dyDescent="0.3">
      <c r="A1" t="s">
        <v>59</v>
      </c>
      <c r="B1" t="s">
        <v>60</v>
      </c>
      <c r="C1" t="s">
        <v>148</v>
      </c>
      <c r="D1" t="s">
        <v>202</v>
      </c>
      <c r="E1" t="s">
        <v>203</v>
      </c>
      <c r="F1" t="s">
        <v>54</v>
      </c>
      <c r="G1" t="s">
        <v>64</v>
      </c>
      <c r="H1" t="s">
        <v>65</v>
      </c>
      <c r="I1" t="s">
        <v>61</v>
      </c>
      <c r="J1" t="s">
        <v>150</v>
      </c>
      <c r="K1" t="s">
        <v>151</v>
      </c>
      <c r="L1" t="s">
        <v>152</v>
      </c>
      <c r="M1" t="s">
        <v>153</v>
      </c>
      <c r="N1" t="s">
        <v>66</v>
      </c>
      <c r="O1" t="s">
        <v>149</v>
      </c>
      <c r="P1" t="s">
        <v>67</v>
      </c>
      <c r="Q1" t="s">
        <v>62</v>
      </c>
      <c r="R1" t="s">
        <v>68</v>
      </c>
      <c r="S1" t="s">
        <v>69</v>
      </c>
      <c r="T1" t="s">
        <v>70</v>
      </c>
      <c r="U1" t="s">
        <v>63</v>
      </c>
      <c r="V1" t="s">
        <v>71</v>
      </c>
      <c r="W1" t="s">
        <v>72</v>
      </c>
      <c r="X1" t="s">
        <v>73</v>
      </c>
      <c r="Y1" t="s">
        <v>74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F1" t="s">
        <v>147</v>
      </c>
      <c r="AG1" t="s">
        <v>81</v>
      </c>
      <c r="AH1" t="s">
        <v>82</v>
      </c>
      <c r="AI1" t="s">
        <v>154</v>
      </c>
      <c r="AJ1" t="s">
        <v>34</v>
      </c>
      <c r="AK1" t="s">
        <v>156</v>
      </c>
      <c r="AL1" t="s">
        <v>169</v>
      </c>
      <c r="AM1" t="s">
        <v>290</v>
      </c>
      <c r="AN1" s="55" t="str">
        <f t="array" aca="1" ref="AN1:AU125" ca="1">optionChainGreeks(spot,VALUE(data[Strike]),data[OptType],VALUE(data[Cnt Price]),Details!B6,AJ2,Details!B7)</f>
        <v>Option Price</v>
      </c>
      <c r="AO1" s="55" t="str">
        <f ca="1"/>
        <v>Option Type</v>
      </c>
      <c r="AP1" s="55" t="str">
        <f ca="1"/>
        <v>Implied Vol</v>
      </c>
      <c r="AQ1" s="55" t="str">
        <f ca="1"/>
        <v>Delta</v>
      </c>
      <c r="AR1" s="55" t="str">
        <f ca="1"/>
        <v>Gamma</v>
      </c>
      <c r="AS1" s="55" t="str">
        <f ca="1"/>
        <v>Vega</v>
      </c>
      <c r="AT1" s="55" t="str">
        <f ca="1"/>
        <v>Theta</v>
      </c>
      <c r="AU1" s="55" t="str">
        <f ca="1"/>
        <v>Rho</v>
      </c>
    </row>
    <row r="2" spans="1:47" x14ac:dyDescent="0.3">
      <c r="A2" t="s">
        <v>316</v>
      </c>
      <c r="B2" t="s">
        <v>317</v>
      </c>
      <c r="C2" t="s">
        <v>57</v>
      </c>
      <c r="D2" t="s">
        <v>84</v>
      </c>
      <c r="E2" t="s">
        <v>84</v>
      </c>
      <c r="F2" t="s">
        <v>303</v>
      </c>
      <c r="G2" t="s">
        <v>660</v>
      </c>
      <c r="H2" t="s">
        <v>661</v>
      </c>
      <c r="J2" t="s">
        <v>85</v>
      </c>
      <c r="K2" t="s">
        <v>85</v>
      </c>
      <c r="L2" t="s">
        <v>315</v>
      </c>
      <c r="M2" t="s">
        <v>84</v>
      </c>
      <c r="N2" t="s">
        <v>56</v>
      </c>
      <c r="O2" t="s">
        <v>36</v>
      </c>
      <c r="Q2" t="s">
        <v>84</v>
      </c>
      <c r="V2" t="s">
        <v>49</v>
      </c>
      <c r="X2" t="s">
        <v>84</v>
      </c>
      <c r="Z2" t="s">
        <v>84</v>
      </c>
      <c r="AA2" t="s">
        <v>84</v>
      </c>
      <c r="AB2" t="s">
        <v>36</v>
      </c>
      <c r="AC2" t="s">
        <v>578</v>
      </c>
      <c r="AD2" t="s">
        <v>36</v>
      </c>
      <c r="AE2" t="s">
        <v>578</v>
      </c>
      <c r="AF2" t="s">
        <v>86</v>
      </c>
      <c r="AG2" t="s">
        <v>311</v>
      </c>
      <c r="AH2" t="s">
        <v>160</v>
      </c>
      <c r="AI2" s="4">
        <f ca="1">data[[#This Row],[Expiry Date]]-TODAY()</f>
        <v>29</v>
      </c>
      <c r="AJ2" s="4">
        <f ca="1">data[[#This Row],[Maturity ( Days)]]/365</f>
        <v>7.9452054794520555E-2</v>
      </c>
      <c r="AK2" s="4" t="str">
        <f ca="1">IF(data[[#This Row],[Option Type]]="put","p","c")</f>
        <v>c</v>
      </c>
      <c r="AL2" s="4">
        <f ca="1">(data[[#This Row],[Bid]]*data[[#This Row],[Asksize]]+data[[#This Row],[Ask]]*data[[#This Row],[Bidsize]])/(data[[#This Row],[Bidsize]]+data[[#This Row],[Asksize]])</f>
        <v>3057.95</v>
      </c>
      <c r="AM2" s="4">
        <f ca="1">VALUE(data[[#This Row],[Strike]])</f>
        <v>1000</v>
      </c>
      <c r="AN2" s="56">
        <f ca="1"/>
        <v>0</v>
      </c>
      <c r="AO2" s="57" t="str">
        <f ca="1"/>
        <v>c</v>
      </c>
      <c r="AP2" s="57" t="str">
        <f ca="1"/>
        <v>Calculation Error : Vega is Zero</v>
      </c>
      <c r="AQ2" s="58">
        <f ca="1"/>
        <v>0</v>
      </c>
      <c r="AR2" s="58">
        <f ca="1"/>
        <v>0</v>
      </c>
      <c r="AS2" s="58">
        <f ca="1"/>
        <v>0</v>
      </c>
      <c r="AT2" s="56">
        <f ca="1"/>
        <v>0</v>
      </c>
      <c r="AU2" s="56">
        <f ca="1"/>
        <v>0</v>
      </c>
    </row>
    <row r="3" spans="1:47" x14ac:dyDescent="0.3">
      <c r="A3" t="s">
        <v>320</v>
      </c>
      <c r="B3" t="s">
        <v>321</v>
      </c>
      <c r="C3" t="s">
        <v>57</v>
      </c>
      <c r="D3" t="s">
        <v>84</v>
      </c>
      <c r="E3" t="s">
        <v>84</v>
      </c>
      <c r="F3" t="s">
        <v>133</v>
      </c>
      <c r="G3" t="s">
        <v>662</v>
      </c>
      <c r="H3" t="s">
        <v>663</v>
      </c>
      <c r="J3" t="s">
        <v>85</v>
      </c>
      <c r="K3" t="s">
        <v>85</v>
      </c>
      <c r="L3" t="s">
        <v>315</v>
      </c>
      <c r="M3" t="s">
        <v>84</v>
      </c>
      <c r="N3" t="s">
        <v>56</v>
      </c>
      <c r="O3" t="s">
        <v>36</v>
      </c>
      <c r="Q3" t="s">
        <v>84</v>
      </c>
      <c r="V3" t="s">
        <v>49</v>
      </c>
      <c r="X3" t="s">
        <v>84</v>
      </c>
      <c r="Z3" t="s">
        <v>84</v>
      </c>
      <c r="AA3" t="s">
        <v>84</v>
      </c>
      <c r="AB3" t="s">
        <v>36</v>
      </c>
      <c r="AC3" t="s">
        <v>578</v>
      </c>
      <c r="AD3" t="s">
        <v>36</v>
      </c>
      <c r="AE3" t="s">
        <v>578</v>
      </c>
      <c r="AF3" t="s">
        <v>86</v>
      </c>
      <c r="AG3" t="s">
        <v>311</v>
      </c>
      <c r="AH3" t="s">
        <v>160</v>
      </c>
      <c r="AI3" s="4">
        <f ca="1">data[[#This Row],[Expiry Date]]-TODAY()</f>
        <v>29</v>
      </c>
      <c r="AJ3" s="4">
        <f ca="1">data[[#This Row],[Maturity ( Days)]]/365</f>
        <v>7.9452054794520555E-2</v>
      </c>
      <c r="AK3" s="4" t="str">
        <f ca="1">IF(data[[#This Row],[Option Type]]="put","p","c")</f>
        <v>c</v>
      </c>
      <c r="AL3" s="4">
        <f ca="1">(data[[#This Row],[Bid]]*data[[#This Row],[Asksize]]+data[[#This Row],[Ask]]*data[[#This Row],[Bidsize]])/(data[[#This Row],[Bidsize]]+data[[#This Row],[Asksize]])</f>
        <v>2858.15</v>
      </c>
      <c r="AM3" s="4">
        <f ca="1">VALUE(data[[#This Row],[Strike]])</f>
        <v>1200</v>
      </c>
      <c r="AN3" s="56">
        <f ca="1"/>
        <v>0</v>
      </c>
      <c r="AO3" s="57" t="str">
        <f ca="1"/>
        <v>c</v>
      </c>
      <c r="AP3" s="57" t="str">
        <f ca="1"/>
        <v>Calculation Error : Vega is Zero</v>
      </c>
      <c r="AQ3" s="58">
        <f ca="1"/>
        <v>0</v>
      </c>
      <c r="AR3" s="58">
        <f ca="1"/>
        <v>0</v>
      </c>
      <c r="AS3" s="58">
        <f ca="1"/>
        <v>0</v>
      </c>
      <c r="AT3" s="56">
        <f ca="1"/>
        <v>0</v>
      </c>
      <c r="AU3" s="56">
        <f ca="1"/>
        <v>0</v>
      </c>
    </row>
    <row r="4" spans="1:47" x14ac:dyDescent="0.3">
      <c r="A4" t="s">
        <v>324</v>
      </c>
      <c r="B4" t="s">
        <v>325</v>
      </c>
      <c r="C4" t="s">
        <v>57</v>
      </c>
      <c r="D4" t="s">
        <v>84</v>
      </c>
      <c r="E4" t="s">
        <v>84</v>
      </c>
      <c r="F4" t="s">
        <v>134</v>
      </c>
      <c r="G4" t="s">
        <v>664</v>
      </c>
      <c r="H4" t="s">
        <v>665</v>
      </c>
      <c r="J4" t="s">
        <v>85</v>
      </c>
      <c r="K4" t="s">
        <v>85</v>
      </c>
      <c r="L4" t="s">
        <v>315</v>
      </c>
      <c r="M4" t="s">
        <v>84</v>
      </c>
      <c r="N4" t="s">
        <v>56</v>
      </c>
      <c r="O4" t="s">
        <v>36</v>
      </c>
      <c r="Q4" t="s">
        <v>84</v>
      </c>
      <c r="V4" t="s">
        <v>49</v>
      </c>
      <c r="X4" t="s">
        <v>84</v>
      </c>
      <c r="Z4" t="s">
        <v>84</v>
      </c>
      <c r="AA4" t="s">
        <v>84</v>
      </c>
      <c r="AB4" t="s">
        <v>36</v>
      </c>
      <c r="AC4" t="s">
        <v>578</v>
      </c>
      <c r="AD4" t="s">
        <v>36</v>
      </c>
      <c r="AE4" t="s">
        <v>578</v>
      </c>
      <c r="AF4" t="s">
        <v>86</v>
      </c>
      <c r="AG4" t="s">
        <v>311</v>
      </c>
      <c r="AH4" t="s">
        <v>160</v>
      </c>
      <c r="AI4" s="4">
        <f ca="1">data[[#This Row],[Expiry Date]]-TODAY()</f>
        <v>29</v>
      </c>
      <c r="AJ4" s="4">
        <f ca="1">data[[#This Row],[Maturity ( Days)]]/365</f>
        <v>7.9452054794520555E-2</v>
      </c>
      <c r="AK4" s="4" t="str">
        <f ca="1">IF(data[[#This Row],[Option Type]]="put","p","c")</f>
        <v>c</v>
      </c>
      <c r="AL4" s="4">
        <f ca="1">(data[[#This Row],[Bid]]*data[[#This Row],[Asksize]]+data[[#This Row],[Ask]]*data[[#This Row],[Bidsize]])/(data[[#This Row],[Bidsize]]+data[[#This Row],[Asksize]])</f>
        <v>2658.35</v>
      </c>
      <c r="AM4" s="4">
        <f ca="1">VALUE(data[[#This Row],[Strike]])</f>
        <v>1400</v>
      </c>
      <c r="AN4" s="56">
        <f ca="1"/>
        <v>0</v>
      </c>
      <c r="AO4" s="57" t="str">
        <f ca="1"/>
        <v>c</v>
      </c>
      <c r="AP4" s="57" t="str">
        <f ca="1"/>
        <v>Calculation Error : Vega is Zero</v>
      </c>
      <c r="AQ4" s="58">
        <f ca="1"/>
        <v>0</v>
      </c>
      <c r="AR4" s="58">
        <f ca="1"/>
        <v>0</v>
      </c>
      <c r="AS4" s="58">
        <f ca="1"/>
        <v>0</v>
      </c>
      <c r="AT4" s="56">
        <f ca="1"/>
        <v>0</v>
      </c>
      <c r="AU4" s="56">
        <f ca="1"/>
        <v>0</v>
      </c>
    </row>
    <row r="5" spans="1:47" x14ac:dyDescent="0.3">
      <c r="A5" t="s">
        <v>328</v>
      </c>
      <c r="B5" t="s">
        <v>329</v>
      </c>
      <c r="C5" t="s">
        <v>57</v>
      </c>
      <c r="D5" t="s">
        <v>84</v>
      </c>
      <c r="E5" t="s">
        <v>84</v>
      </c>
      <c r="F5" t="s">
        <v>135</v>
      </c>
      <c r="G5" t="s">
        <v>666</v>
      </c>
      <c r="H5" t="s">
        <v>667</v>
      </c>
      <c r="J5" s="35" t="s">
        <v>85</v>
      </c>
      <c r="K5" t="s">
        <v>85</v>
      </c>
      <c r="L5" s="35" t="s">
        <v>315</v>
      </c>
      <c r="M5" t="s">
        <v>84</v>
      </c>
      <c r="N5" t="s">
        <v>56</v>
      </c>
      <c r="O5" t="s">
        <v>36</v>
      </c>
      <c r="Q5" t="s">
        <v>84</v>
      </c>
      <c r="V5" t="s">
        <v>49</v>
      </c>
      <c r="X5" t="s">
        <v>84</v>
      </c>
      <c r="Z5" t="s">
        <v>84</v>
      </c>
      <c r="AA5" t="s">
        <v>84</v>
      </c>
      <c r="AB5" t="s">
        <v>36</v>
      </c>
      <c r="AC5" t="s">
        <v>578</v>
      </c>
      <c r="AD5" t="s">
        <v>36</v>
      </c>
      <c r="AE5" t="s">
        <v>578</v>
      </c>
      <c r="AF5" t="s">
        <v>86</v>
      </c>
      <c r="AG5" t="s">
        <v>311</v>
      </c>
      <c r="AH5" t="s">
        <v>160</v>
      </c>
      <c r="AI5" s="4">
        <f ca="1">data[[#This Row],[Expiry Date]]-TODAY()</f>
        <v>29</v>
      </c>
      <c r="AJ5" s="4">
        <f ca="1">data[[#This Row],[Maturity ( Days)]]/365</f>
        <v>7.9452054794520555E-2</v>
      </c>
      <c r="AK5" s="4" t="str">
        <f ca="1">IF(data[[#This Row],[Option Type]]="put","p","c")</f>
        <v>c</v>
      </c>
      <c r="AL5" s="4">
        <f ca="1">(data[[#This Row],[Bid]]*data[[#This Row],[Asksize]]+data[[#This Row],[Ask]]*data[[#This Row],[Bidsize]])/(data[[#This Row],[Bidsize]]+data[[#This Row],[Asksize]])</f>
        <v>2458.5500000000002</v>
      </c>
      <c r="AM5" s="4">
        <f ca="1">VALUE(data[[#This Row],[Strike]])</f>
        <v>1600</v>
      </c>
      <c r="AN5" s="56">
        <f ca="1"/>
        <v>0</v>
      </c>
      <c r="AO5" s="57" t="str">
        <f ca="1"/>
        <v>c</v>
      </c>
      <c r="AP5" s="57" t="str">
        <f ca="1"/>
        <v>Calculation Error : Vega is Zero</v>
      </c>
      <c r="AQ5" s="58">
        <f ca="1"/>
        <v>0</v>
      </c>
      <c r="AR5" s="58">
        <f ca="1"/>
        <v>0</v>
      </c>
      <c r="AS5" s="58">
        <f ca="1"/>
        <v>0</v>
      </c>
      <c r="AT5" s="56">
        <f ca="1"/>
        <v>0</v>
      </c>
      <c r="AU5" s="56">
        <f ca="1"/>
        <v>0</v>
      </c>
    </row>
    <row r="6" spans="1:47" x14ac:dyDescent="0.3">
      <c r="A6" t="s">
        <v>334</v>
      </c>
      <c r="B6" t="s">
        <v>335</v>
      </c>
      <c r="C6" t="s">
        <v>57</v>
      </c>
      <c r="D6" t="s">
        <v>84</v>
      </c>
      <c r="E6" t="s">
        <v>84</v>
      </c>
      <c r="F6" t="s">
        <v>143</v>
      </c>
      <c r="G6" t="s">
        <v>668</v>
      </c>
      <c r="H6" t="s">
        <v>669</v>
      </c>
      <c r="J6" s="35" t="s">
        <v>85</v>
      </c>
      <c r="K6" t="s">
        <v>85</v>
      </c>
      <c r="L6" s="35" t="s">
        <v>315</v>
      </c>
      <c r="M6" t="s">
        <v>84</v>
      </c>
      <c r="N6" t="s">
        <v>56</v>
      </c>
      <c r="O6" t="s">
        <v>36</v>
      </c>
      <c r="Q6" t="s">
        <v>84</v>
      </c>
      <c r="V6" t="s">
        <v>49</v>
      </c>
      <c r="X6" t="s">
        <v>84</v>
      </c>
      <c r="Z6" t="s">
        <v>84</v>
      </c>
      <c r="AA6" t="s">
        <v>84</v>
      </c>
      <c r="AB6" t="s">
        <v>36</v>
      </c>
      <c r="AC6" t="s">
        <v>578</v>
      </c>
      <c r="AD6" t="s">
        <v>36</v>
      </c>
      <c r="AE6" t="s">
        <v>578</v>
      </c>
      <c r="AF6" t="s">
        <v>86</v>
      </c>
      <c r="AG6" t="s">
        <v>311</v>
      </c>
      <c r="AH6" t="s">
        <v>160</v>
      </c>
      <c r="AI6" s="4">
        <f ca="1">data[[#This Row],[Expiry Date]]-TODAY()</f>
        <v>29</v>
      </c>
      <c r="AJ6" s="4">
        <f ca="1">data[[#This Row],[Maturity ( Days)]]/365</f>
        <v>7.9452054794520555E-2</v>
      </c>
      <c r="AK6" s="4" t="str">
        <f ca="1">IF(data[[#This Row],[Option Type]]="put","p","c")</f>
        <v>c</v>
      </c>
      <c r="AL6" s="4">
        <f ca="1">(data[[#This Row],[Bid]]*data[[#This Row],[Asksize]]+data[[#This Row],[Ask]]*data[[#This Row],[Bidsize]])/(data[[#This Row],[Bidsize]]+data[[#This Row],[Asksize]])</f>
        <v>2258.75</v>
      </c>
      <c r="AM6" s="4">
        <f ca="1">VALUE(data[[#This Row],[Strike]])</f>
        <v>1800</v>
      </c>
      <c r="AN6" s="56">
        <f ca="1"/>
        <v>0</v>
      </c>
      <c r="AO6" s="57" t="str">
        <f ca="1"/>
        <v>c</v>
      </c>
      <c r="AP6" s="57" t="str">
        <f ca="1"/>
        <v>Calculation Error : Vega is Zero</v>
      </c>
      <c r="AQ6" s="58">
        <f ca="1"/>
        <v>0</v>
      </c>
      <c r="AR6" s="58">
        <f ca="1"/>
        <v>0</v>
      </c>
      <c r="AS6" s="58">
        <f ca="1"/>
        <v>0</v>
      </c>
      <c r="AT6" s="56">
        <f ca="1"/>
        <v>0</v>
      </c>
      <c r="AU6" s="56">
        <f ca="1"/>
        <v>0</v>
      </c>
    </row>
    <row r="7" spans="1:47" x14ac:dyDescent="0.3">
      <c r="A7" t="s">
        <v>336</v>
      </c>
      <c r="B7" t="s">
        <v>337</v>
      </c>
      <c r="C7" t="s">
        <v>57</v>
      </c>
      <c r="D7" t="s">
        <v>84</v>
      </c>
      <c r="E7" t="s">
        <v>84</v>
      </c>
      <c r="F7" t="s">
        <v>117</v>
      </c>
      <c r="G7" t="s">
        <v>670</v>
      </c>
      <c r="H7" t="s">
        <v>671</v>
      </c>
      <c r="J7" s="35" t="s">
        <v>85</v>
      </c>
      <c r="K7" t="s">
        <v>85</v>
      </c>
      <c r="L7" s="35" t="s">
        <v>315</v>
      </c>
      <c r="M7" t="s">
        <v>84</v>
      </c>
      <c r="N7" t="s">
        <v>56</v>
      </c>
      <c r="O7" t="s">
        <v>36</v>
      </c>
      <c r="Q7" t="s">
        <v>84</v>
      </c>
      <c r="V7" t="s">
        <v>49</v>
      </c>
      <c r="X7" t="s">
        <v>84</v>
      </c>
      <c r="Z7" t="s">
        <v>84</v>
      </c>
      <c r="AA7" t="s">
        <v>84</v>
      </c>
      <c r="AB7" t="s">
        <v>36</v>
      </c>
      <c r="AC7" t="s">
        <v>578</v>
      </c>
      <c r="AD7" t="s">
        <v>36</v>
      </c>
      <c r="AE7" t="s">
        <v>578</v>
      </c>
      <c r="AF7" t="s">
        <v>86</v>
      </c>
      <c r="AG7" t="s">
        <v>311</v>
      </c>
      <c r="AH7" t="s">
        <v>160</v>
      </c>
      <c r="AI7" s="4">
        <f ca="1">data[[#This Row],[Expiry Date]]-TODAY()</f>
        <v>29</v>
      </c>
      <c r="AJ7" s="4">
        <f ca="1">data[[#This Row],[Maturity ( Days)]]/365</f>
        <v>7.9452054794520555E-2</v>
      </c>
      <c r="AK7" s="4" t="str">
        <f ca="1">IF(data[[#This Row],[Option Type]]="put","p","c")</f>
        <v>c</v>
      </c>
      <c r="AL7" s="4">
        <f ca="1">(data[[#This Row],[Bid]]*data[[#This Row],[Asksize]]+data[[#This Row],[Ask]]*data[[#This Row],[Bidsize]])/(data[[#This Row],[Bidsize]]+data[[#This Row],[Asksize]])</f>
        <v>2058.9499999999998</v>
      </c>
      <c r="AM7" s="4">
        <f ca="1">VALUE(data[[#This Row],[Strike]])</f>
        <v>2000</v>
      </c>
      <c r="AN7" s="56">
        <f ca="1"/>
        <v>0</v>
      </c>
      <c r="AO7" s="57" t="str">
        <f ca="1"/>
        <v>c</v>
      </c>
      <c r="AP7" s="57" t="str">
        <f ca="1"/>
        <v>Calculation Error : Vega is Zero</v>
      </c>
      <c r="AQ7" s="58">
        <f ca="1"/>
        <v>0</v>
      </c>
      <c r="AR7" s="58">
        <f ca="1"/>
        <v>0</v>
      </c>
      <c r="AS7" s="58">
        <f ca="1"/>
        <v>0</v>
      </c>
      <c r="AT7" s="56">
        <f ca="1"/>
        <v>0</v>
      </c>
      <c r="AU7" s="56">
        <f ca="1"/>
        <v>0</v>
      </c>
    </row>
    <row r="8" spans="1:47" x14ac:dyDescent="0.3">
      <c r="A8" t="s">
        <v>340</v>
      </c>
      <c r="B8" t="s">
        <v>341</v>
      </c>
      <c r="C8" t="s">
        <v>57</v>
      </c>
      <c r="D8" t="s">
        <v>84</v>
      </c>
      <c r="E8" t="s">
        <v>84</v>
      </c>
      <c r="F8" t="s">
        <v>138</v>
      </c>
      <c r="G8" t="s">
        <v>672</v>
      </c>
      <c r="H8" t="s">
        <v>673</v>
      </c>
      <c r="J8" t="s">
        <v>85</v>
      </c>
      <c r="K8" t="s">
        <v>85</v>
      </c>
      <c r="L8" t="s">
        <v>315</v>
      </c>
      <c r="M8" t="s">
        <v>84</v>
      </c>
      <c r="N8" t="s">
        <v>56</v>
      </c>
      <c r="O8" t="s">
        <v>36</v>
      </c>
      <c r="Q8" t="s">
        <v>84</v>
      </c>
      <c r="V8" t="s">
        <v>49</v>
      </c>
      <c r="X8" t="s">
        <v>84</v>
      </c>
      <c r="Z8" t="s">
        <v>84</v>
      </c>
      <c r="AA8" t="s">
        <v>84</v>
      </c>
      <c r="AB8" t="s">
        <v>36</v>
      </c>
      <c r="AC8" t="s">
        <v>578</v>
      </c>
      <c r="AD8" t="s">
        <v>36</v>
      </c>
      <c r="AE8" t="s">
        <v>578</v>
      </c>
      <c r="AF8" t="s">
        <v>86</v>
      </c>
      <c r="AG8" t="s">
        <v>311</v>
      </c>
      <c r="AH8" t="s">
        <v>160</v>
      </c>
      <c r="AI8" s="4">
        <f ca="1">data[[#This Row],[Expiry Date]]-TODAY()</f>
        <v>29</v>
      </c>
      <c r="AJ8" s="4">
        <f ca="1">data[[#This Row],[Maturity ( Days)]]/365</f>
        <v>7.9452054794520555E-2</v>
      </c>
      <c r="AK8" s="4" t="str">
        <f ca="1">IF(data[[#This Row],[Option Type]]="put","p","c")</f>
        <v>c</v>
      </c>
      <c r="AL8" s="4">
        <f ca="1">(data[[#This Row],[Bid]]*data[[#This Row],[Asksize]]+data[[#This Row],[Ask]]*data[[#This Row],[Bidsize]])/(data[[#This Row],[Bidsize]]+data[[#This Row],[Asksize]])</f>
        <v>1859.2</v>
      </c>
      <c r="AM8" s="4">
        <f ca="1">VALUE(data[[#This Row],[Strike]])</f>
        <v>2200</v>
      </c>
      <c r="AN8" s="56">
        <f ca="1"/>
        <v>0</v>
      </c>
      <c r="AO8" s="57" t="str">
        <f ca="1"/>
        <v>c</v>
      </c>
      <c r="AP8" s="57" t="str">
        <f ca="1"/>
        <v>Calculation Error : Vega is Zero</v>
      </c>
      <c r="AQ8" s="58">
        <f ca="1"/>
        <v>0</v>
      </c>
      <c r="AR8" s="58">
        <f ca="1"/>
        <v>0</v>
      </c>
      <c r="AS8" s="58">
        <f ca="1"/>
        <v>0</v>
      </c>
      <c r="AT8" s="56">
        <f ca="1"/>
        <v>0</v>
      </c>
      <c r="AU8" s="56">
        <f ca="1"/>
        <v>0</v>
      </c>
    </row>
    <row r="9" spans="1:47" x14ac:dyDescent="0.3">
      <c r="A9" t="s">
        <v>342</v>
      </c>
      <c r="B9" t="s">
        <v>343</v>
      </c>
      <c r="C9" t="s">
        <v>29</v>
      </c>
      <c r="D9" t="s">
        <v>84</v>
      </c>
      <c r="E9" t="s">
        <v>84</v>
      </c>
      <c r="F9" t="s">
        <v>138</v>
      </c>
      <c r="G9" t="s">
        <v>185</v>
      </c>
      <c r="H9" t="s">
        <v>579</v>
      </c>
      <c r="J9" t="s">
        <v>647</v>
      </c>
      <c r="K9" t="s">
        <v>624</v>
      </c>
      <c r="L9" t="s">
        <v>315</v>
      </c>
      <c r="M9" t="s">
        <v>84</v>
      </c>
      <c r="N9" t="s">
        <v>56</v>
      </c>
      <c r="O9" t="s">
        <v>36</v>
      </c>
      <c r="Q9" t="s">
        <v>84</v>
      </c>
      <c r="V9" t="s">
        <v>49</v>
      </c>
      <c r="X9" t="s">
        <v>84</v>
      </c>
      <c r="Z9" t="s">
        <v>84</v>
      </c>
      <c r="AA9" t="s">
        <v>84</v>
      </c>
      <c r="AB9" t="s">
        <v>36</v>
      </c>
      <c r="AC9" t="s">
        <v>578</v>
      </c>
      <c r="AD9" t="s">
        <v>36</v>
      </c>
      <c r="AE9" t="s">
        <v>578</v>
      </c>
      <c r="AF9" t="s">
        <v>86</v>
      </c>
      <c r="AG9" t="s">
        <v>311</v>
      </c>
      <c r="AH9" t="s">
        <v>160</v>
      </c>
      <c r="AI9" s="4">
        <f ca="1">data[[#This Row],[Expiry Date]]-TODAY()</f>
        <v>29</v>
      </c>
      <c r="AJ9" s="4">
        <f ca="1">data[[#This Row],[Maturity ( Days)]]/365</f>
        <v>7.9452054794520555E-2</v>
      </c>
      <c r="AK9" s="4" t="str">
        <f ca="1">IF(data[[#This Row],[Option Type]]="put","p","c")</f>
        <v>p</v>
      </c>
      <c r="AL9" s="4">
        <f ca="1">(data[[#This Row],[Bid]]*data[[#This Row],[Asksize]]+data[[#This Row],[Ask]]*data[[#This Row],[Bidsize]])/(data[[#This Row],[Bidsize]]+data[[#This Row],[Asksize]])</f>
        <v>0.21210653753026637</v>
      </c>
      <c r="AM9" s="4">
        <f ca="1">VALUE(data[[#This Row],[Strike]])</f>
        <v>2200</v>
      </c>
      <c r="AN9" s="56">
        <f ca="1"/>
        <v>1299.9484240114739</v>
      </c>
      <c r="AO9" s="57" t="str">
        <f ca="1"/>
        <v>p</v>
      </c>
      <c r="AP9" s="57">
        <f ca="1"/>
        <v>7.2358647036364339</v>
      </c>
      <c r="AQ9" s="58">
        <f ca="1"/>
        <v>-9.3212208164743737E-2</v>
      </c>
      <c r="AR9" s="58">
        <f ca="1"/>
        <v>2.0085131787251605E-5</v>
      </c>
      <c r="AS9" s="58">
        <f ca="1"/>
        <v>1.9097803473690229</v>
      </c>
      <c r="AT9" s="56">
        <f ca="1"/>
        <v>-2377.9714084116954</v>
      </c>
      <c r="AU9" s="56">
        <f ca="1"/>
        <v>-133.28425303341984</v>
      </c>
    </row>
    <row r="10" spans="1:47" x14ac:dyDescent="0.3">
      <c r="A10" t="s">
        <v>344</v>
      </c>
      <c r="B10" t="s">
        <v>345</v>
      </c>
      <c r="C10" t="s">
        <v>57</v>
      </c>
      <c r="D10" t="s">
        <v>84</v>
      </c>
      <c r="E10" t="s">
        <v>84</v>
      </c>
      <c r="F10" t="s">
        <v>87</v>
      </c>
      <c r="G10" t="s">
        <v>674</v>
      </c>
      <c r="H10" t="s">
        <v>675</v>
      </c>
      <c r="J10" t="s">
        <v>85</v>
      </c>
      <c r="K10" t="s">
        <v>85</v>
      </c>
      <c r="L10" t="s">
        <v>315</v>
      </c>
      <c r="M10" t="s">
        <v>84</v>
      </c>
      <c r="N10" t="s">
        <v>56</v>
      </c>
      <c r="O10" t="s">
        <v>36</v>
      </c>
      <c r="Q10" t="s">
        <v>84</v>
      </c>
      <c r="V10" t="s">
        <v>49</v>
      </c>
      <c r="X10" t="s">
        <v>84</v>
      </c>
      <c r="Z10" t="s">
        <v>84</v>
      </c>
      <c r="AA10" t="s">
        <v>84</v>
      </c>
      <c r="AB10" t="s">
        <v>36</v>
      </c>
      <c r="AC10" t="s">
        <v>578</v>
      </c>
      <c r="AD10" t="s">
        <v>36</v>
      </c>
      <c r="AE10" t="s">
        <v>578</v>
      </c>
      <c r="AF10" t="s">
        <v>86</v>
      </c>
      <c r="AG10" t="s">
        <v>311</v>
      </c>
      <c r="AH10" t="s">
        <v>160</v>
      </c>
      <c r="AI10" s="4">
        <f ca="1">data[[#This Row],[Expiry Date]]-TODAY()</f>
        <v>29</v>
      </c>
      <c r="AJ10" s="4">
        <f ca="1">data[[#This Row],[Maturity ( Days)]]/365</f>
        <v>7.9452054794520555E-2</v>
      </c>
      <c r="AK10" s="4" t="str">
        <f ca="1">IF(data[[#This Row],[Option Type]]="put","p","c")</f>
        <v>c</v>
      </c>
      <c r="AL10" s="4">
        <f ca="1">(data[[#This Row],[Bid]]*data[[#This Row],[Asksize]]+data[[#This Row],[Ask]]*data[[#This Row],[Bidsize]])/(data[[#This Row],[Bidsize]]+data[[#This Row],[Asksize]])</f>
        <v>1659.5</v>
      </c>
      <c r="AM10" s="4">
        <f ca="1">VALUE(data[[#This Row],[Strike]])</f>
        <v>2400</v>
      </c>
      <c r="AN10" s="56">
        <f ca="1"/>
        <v>4065.22</v>
      </c>
      <c r="AO10" s="57" t="str">
        <f ca="1"/>
        <v>c</v>
      </c>
      <c r="AP10" s="57">
        <f ca="1"/>
        <v>111734.78167623309</v>
      </c>
      <c r="AQ10" s="58">
        <f ca="1"/>
        <v>1</v>
      </c>
      <c r="AR10" s="58">
        <f ca="1"/>
        <v>0</v>
      </c>
      <c r="AS10" s="58">
        <f ca="1"/>
        <v>0</v>
      </c>
      <c r="AT10" s="56">
        <f ca="1"/>
        <v>0</v>
      </c>
      <c r="AU10" s="56">
        <f ca="1"/>
        <v>0</v>
      </c>
    </row>
    <row r="11" spans="1:47" x14ac:dyDescent="0.3">
      <c r="A11" t="s">
        <v>346</v>
      </c>
      <c r="B11" t="s">
        <v>347</v>
      </c>
      <c r="C11" t="s">
        <v>29</v>
      </c>
      <c r="D11" t="s">
        <v>84</v>
      </c>
      <c r="E11" t="s">
        <v>84</v>
      </c>
      <c r="F11" t="s">
        <v>87</v>
      </c>
      <c r="G11" t="s">
        <v>271</v>
      </c>
      <c r="H11" t="s">
        <v>272</v>
      </c>
      <c r="J11" t="s">
        <v>648</v>
      </c>
      <c r="K11" t="s">
        <v>580</v>
      </c>
      <c r="L11" t="s">
        <v>315</v>
      </c>
      <c r="M11" t="s">
        <v>84</v>
      </c>
      <c r="N11" t="s">
        <v>56</v>
      </c>
      <c r="O11" t="s">
        <v>36</v>
      </c>
      <c r="Q11" t="s">
        <v>84</v>
      </c>
      <c r="V11" t="s">
        <v>49</v>
      </c>
      <c r="X11" t="s">
        <v>84</v>
      </c>
      <c r="Z11" t="s">
        <v>84</v>
      </c>
      <c r="AA11" t="s">
        <v>84</v>
      </c>
      <c r="AB11" t="s">
        <v>36</v>
      </c>
      <c r="AC11" t="s">
        <v>578</v>
      </c>
      <c r="AD11" t="s">
        <v>36</v>
      </c>
      <c r="AE11" t="s">
        <v>578</v>
      </c>
      <c r="AF11" t="s">
        <v>86</v>
      </c>
      <c r="AG11" t="s">
        <v>311</v>
      </c>
      <c r="AH11" t="s">
        <v>160</v>
      </c>
      <c r="AI11" s="4">
        <f ca="1">data[[#This Row],[Expiry Date]]-TODAY()</f>
        <v>29</v>
      </c>
      <c r="AJ11" s="4">
        <f ca="1">data[[#This Row],[Maturity ( Days)]]/365</f>
        <v>7.9452054794520555E-2</v>
      </c>
      <c r="AK11" s="4" t="str">
        <f ca="1">IF(data[[#This Row],[Option Type]]="put","p","c")</f>
        <v>p</v>
      </c>
      <c r="AL11" s="4">
        <f ca="1">(data[[#This Row],[Bid]]*data[[#This Row],[Asksize]]+data[[#This Row],[Ask]]*data[[#This Row],[Bidsize]])/(data[[#This Row],[Bidsize]]+data[[#This Row],[Asksize]])</f>
        <v>0.36262626262626269</v>
      </c>
      <c r="AM11" s="4">
        <f ca="1">VALUE(data[[#This Row],[Strike]])</f>
        <v>2400</v>
      </c>
      <c r="AN11" s="56">
        <f ca="1"/>
        <v>0.36811069094528648</v>
      </c>
      <c r="AO11" s="57" t="str">
        <f ca="1"/>
        <v>p</v>
      </c>
      <c r="AP11" s="57">
        <f ca="1"/>
        <v>0.65663688863133018</v>
      </c>
      <c r="AQ11" s="58">
        <f ca="1"/>
        <v>-1.6193256422061264E-3</v>
      </c>
      <c r="AR11" s="58">
        <f ca="1"/>
        <v>6.948542029557487E-6</v>
      </c>
      <c r="AS11" s="58">
        <f ca="1"/>
        <v>5.9956636596541248E-2</v>
      </c>
      <c r="AT11" s="56">
        <f ca="1"/>
        <v>-6.7688421815414497</v>
      </c>
      <c r="AU11" s="56">
        <f ca="1"/>
        <v>-0.55183465486396743</v>
      </c>
    </row>
    <row r="12" spans="1:47" x14ac:dyDescent="0.3">
      <c r="A12" t="s">
        <v>350</v>
      </c>
      <c r="B12" t="s">
        <v>351</v>
      </c>
      <c r="C12" t="s">
        <v>57</v>
      </c>
      <c r="D12" t="s">
        <v>84</v>
      </c>
      <c r="E12" t="s">
        <v>84</v>
      </c>
      <c r="F12" t="s">
        <v>118</v>
      </c>
      <c r="G12" t="s">
        <v>676</v>
      </c>
      <c r="H12" t="s">
        <v>677</v>
      </c>
      <c r="J12" t="s">
        <v>85</v>
      </c>
      <c r="K12" t="s">
        <v>85</v>
      </c>
      <c r="L12" t="s">
        <v>315</v>
      </c>
      <c r="M12" t="s">
        <v>84</v>
      </c>
      <c r="N12" t="s">
        <v>56</v>
      </c>
      <c r="O12" t="s">
        <v>36</v>
      </c>
      <c r="Q12" t="s">
        <v>84</v>
      </c>
      <c r="V12" t="s">
        <v>49</v>
      </c>
      <c r="X12" t="s">
        <v>84</v>
      </c>
      <c r="Z12" t="s">
        <v>84</v>
      </c>
      <c r="AA12" t="s">
        <v>84</v>
      </c>
      <c r="AB12" t="s">
        <v>36</v>
      </c>
      <c r="AC12" t="s">
        <v>578</v>
      </c>
      <c r="AD12" t="s">
        <v>36</v>
      </c>
      <c r="AE12" t="s">
        <v>578</v>
      </c>
      <c r="AF12" t="s">
        <v>86</v>
      </c>
      <c r="AG12" t="s">
        <v>311</v>
      </c>
      <c r="AH12" t="s">
        <v>160</v>
      </c>
      <c r="AI12" s="4">
        <f ca="1">data[[#This Row],[Expiry Date]]-TODAY()</f>
        <v>29</v>
      </c>
      <c r="AJ12" s="4">
        <f ca="1">data[[#This Row],[Maturity ( Days)]]/365</f>
        <v>7.9452054794520555E-2</v>
      </c>
      <c r="AK12" s="4" t="str">
        <f ca="1">IF(data[[#This Row],[Option Type]]="put","p","c")</f>
        <v>c</v>
      </c>
      <c r="AL12" s="4">
        <f ca="1">(data[[#This Row],[Bid]]*data[[#This Row],[Asksize]]+data[[#This Row],[Ask]]*data[[#This Row],[Bidsize]])/(data[[#This Row],[Bidsize]]+data[[#This Row],[Asksize]])</f>
        <v>1459.9</v>
      </c>
      <c r="AM12" s="4">
        <f ca="1">VALUE(data[[#This Row],[Strike]])</f>
        <v>2600</v>
      </c>
      <c r="AN12" s="56">
        <f ca="1"/>
        <v>2171.8555393611496</v>
      </c>
      <c r="AO12" s="57" t="str">
        <f ca="1"/>
        <v>c</v>
      </c>
      <c r="AP12" s="57">
        <f ca="1"/>
        <v>3.7165347724697311</v>
      </c>
      <c r="AQ12" s="58">
        <f ca="1"/>
        <v>0.82924992720602653</v>
      </c>
      <c r="AR12" s="58">
        <f ca="1"/>
        <v>5.9541145779079649E-5</v>
      </c>
      <c r="AS12" s="58">
        <f ca="1"/>
        <v>2.907861280317344</v>
      </c>
      <c r="AT12" s="56">
        <f ca="1"/>
        <v>-1866.5903077901889</v>
      </c>
      <c r="AU12" s="56">
        <f ca="1"/>
        <v>95.205444087301728</v>
      </c>
    </row>
    <row r="13" spans="1:47" x14ac:dyDescent="0.3">
      <c r="A13" t="s">
        <v>354</v>
      </c>
      <c r="B13" t="s">
        <v>355</v>
      </c>
      <c r="C13" t="s">
        <v>57</v>
      </c>
      <c r="D13" t="s">
        <v>84</v>
      </c>
      <c r="E13" t="s">
        <v>84</v>
      </c>
      <c r="F13" t="s">
        <v>144</v>
      </c>
      <c r="G13" t="s">
        <v>678</v>
      </c>
      <c r="H13" t="s">
        <v>679</v>
      </c>
      <c r="J13" t="s">
        <v>85</v>
      </c>
      <c r="K13" t="s">
        <v>85</v>
      </c>
      <c r="L13" t="s">
        <v>315</v>
      </c>
      <c r="M13" t="s">
        <v>84</v>
      </c>
      <c r="N13" t="s">
        <v>56</v>
      </c>
      <c r="O13" t="s">
        <v>36</v>
      </c>
      <c r="Q13" t="s">
        <v>84</v>
      </c>
      <c r="V13" t="s">
        <v>49</v>
      </c>
      <c r="X13" t="s">
        <v>84</v>
      </c>
      <c r="Z13" t="s">
        <v>84</v>
      </c>
      <c r="AA13" t="s">
        <v>84</v>
      </c>
      <c r="AB13" t="s">
        <v>36</v>
      </c>
      <c r="AC13" t="s">
        <v>578</v>
      </c>
      <c r="AD13" t="s">
        <v>36</v>
      </c>
      <c r="AE13" t="s">
        <v>578</v>
      </c>
      <c r="AF13" t="s">
        <v>86</v>
      </c>
      <c r="AG13" t="s">
        <v>311</v>
      </c>
      <c r="AH13" t="s">
        <v>160</v>
      </c>
      <c r="AI13" s="4">
        <f ca="1">data[[#This Row],[Expiry Date]]-TODAY()</f>
        <v>29</v>
      </c>
      <c r="AJ13" s="4">
        <f ca="1">data[[#This Row],[Maturity ( Days)]]/365</f>
        <v>7.9452054794520555E-2</v>
      </c>
      <c r="AK13" s="4" t="str">
        <f ca="1">IF(data[[#This Row],[Option Type]]="put","p","c")</f>
        <v>c</v>
      </c>
      <c r="AL13" s="4">
        <f ca="1">(data[[#This Row],[Bid]]*data[[#This Row],[Asksize]]+data[[#This Row],[Ask]]*data[[#This Row],[Bidsize]])/(data[[#This Row],[Bidsize]]+data[[#This Row],[Asksize]])</f>
        <v>1260.5</v>
      </c>
      <c r="AM13" s="4">
        <f ca="1">VALUE(data[[#This Row],[Strike]])</f>
        <v>2800</v>
      </c>
      <c r="AN13" s="56">
        <f ca="1"/>
        <v>4065.22</v>
      </c>
      <c r="AO13" s="57" t="str">
        <f ca="1"/>
        <v>c</v>
      </c>
      <c r="AP13" s="57">
        <f ca="1"/>
        <v>1565.522389149537</v>
      </c>
      <c r="AQ13" s="58">
        <f ca="1"/>
        <v>1</v>
      </c>
      <c r="AR13" s="58">
        <f ca="1"/>
        <v>0</v>
      </c>
      <c r="AS13" s="58">
        <f ca="1"/>
        <v>0</v>
      </c>
      <c r="AT13" s="56">
        <f ca="1"/>
        <v>0</v>
      </c>
      <c r="AU13" s="56">
        <f ca="1"/>
        <v>0</v>
      </c>
    </row>
    <row r="14" spans="1:47" x14ac:dyDescent="0.3">
      <c r="A14" t="s">
        <v>356</v>
      </c>
      <c r="B14" t="s">
        <v>357</v>
      </c>
      <c r="C14" t="s">
        <v>57</v>
      </c>
      <c r="D14" t="s">
        <v>84</v>
      </c>
      <c r="E14" t="s">
        <v>84</v>
      </c>
      <c r="F14" t="s">
        <v>88</v>
      </c>
      <c r="G14" t="s">
        <v>680</v>
      </c>
      <c r="H14" t="s">
        <v>681</v>
      </c>
      <c r="J14" t="s">
        <v>682</v>
      </c>
      <c r="K14" t="s">
        <v>284</v>
      </c>
      <c r="L14" t="s">
        <v>315</v>
      </c>
      <c r="M14" t="s">
        <v>84</v>
      </c>
      <c r="N14" t="s">
        <v>56</v>
      </c>
      <c r="O14" t="s">
        <v>36</v>
      </c>
      <c r="Q14" t="s">
        <v>84</v>
      </c>
      <c r="V14" t="s">
        <v>49</v>
      </c>
      <c r="X14" t="s">
        <v>84</v>
      </c>
      <c r="Z14" t="s">
        <v>84</v>
      </c>
      <c r="AA14" t="s">
        <v>84</v>
      </c>
      <c r="AB14" t="s">
        <v>36</v>
      </c>
      <c r="AC14" t="s">
        <v>578</v>
      </c>
      <c r="AD14" t="s">
        <v>36</v>
      </c>
      <c r="AE14" t="s">
        <v>578</v>
      </c>
      <c r="AF14" t="s">
        <v>86</v>
      </c>
      <c r="AG14" t="s">
        <v>311</v>
      </c>
      <c r="AH14" t="s">
        <v>160</v>
      </c>
      <c r="AI14" s="4">
        <f ca="1">data[[#This Row],[Expiry Date]]-TODAY()</f>
        <v>29</v>
      </c>
      <c r="AJ14" s="4">
        <f ca="1">data[[#This Row],[Maturity ( Days)]]/365</f>
        <v>7.9452054794520555E-2</v>
      </c>
      <c r="AK14" s="4" t="str">
        <f ca="1">IF(data[[#This Row],[Option Type]]="put","p","c")</f>
        <v>c</v>
      </c>
      <c r="AL14" s="4">
        <f ca="1">(data[[#This Row],[Bid]]*data[[#This Row],[Asksize]]+data[[#This Row],[Ask]]*data[[#This Row],[Bidsize]])/(data[[#This Row],[Bidsize]]+data[[#This Row],[Asksize]])</f>
        <v>1062.8535211267606</v>
      </c>
      <c r="AM14" s="4">
        <f ca="1">VALUE(data[[#This Row],[Strike]])</f>
        <v>3000</v>
      </c>
      <c r="AN14" s="56">
        <f ca="1"/>
        <v>0</v>
      </c>
      <c r="AO14" s="57" t="str">
        <f ca="1"/>
        <v>c</v>
      </c>
      <c r="AP14" s="57" t="str">
        <f ca="1"/>
        <v>Calculation Error : Vega is Zero</v>
      </c>
      <c r="AQ14" s="58">
        <f ca="1"/>
        <v>0</v>
      </c>
      <c r="AR14" s="58">
        <f ca="1"/>
        <v>0</v>
      </c>
      <c r="AS14" s="58">
        <f ca="1"/>
        <v>0</v>
      </c>
      <c r="AT14" s="56">
        <f ca="1"/>
        <v>0</v>
      </c>
      <c r="AU14" s="56">
        <f ca="1"/>
        <v>0</v>
      </c>
    </row>
    <row r="15" spans="1:47" x14ac:dyDescent="0.3">
      <c r="A15" t="s">
        <v>360</v>
      </c>
      <c r="B15" t="s">
        <v>361</v>
      </c>
      <c r="C15" t="s">
        <v>57</v>
      </c>
      <c r="D15" t="s">
        <v>84</v>
      </c>
      <c r="E15" t="s">
        <v>84</v>
      </c>
      <c r="F15" t="s">
        <v>362</v>
      </c>
      <c r="G15" t="s">
        <v>683</v>
      </c>
      <c r="H15" t="s">
        <v>684</v>
      </c>
      <c r="J15" t="s">
        <v>112</v>
      </c>
      <c r="K15" t="s">
        <v>112</v>
      </c>
      <c r="L15" t="s">
        <v>315</v>
      </c>
      <c r="M15" t="s">
        <v>84</v>
      </c>
      <c r="N15" t="s">
        <v>56</v>
      </c>
      <c r="O15" t="s">
        <v>36</v>
      </c>
      <c r="Q15" t="s">
        <v>84</v>
      </c>
      <c r="V15" t="s">
        <v>49</v>
      </c>
      <c r="X15" t="s">
        <v>84</v>
      </c>
      <c r="Z15" t="s">
        <v>84</v>
      </c>
      <c r="AA15" t="s">
        <v>84</v>
      </c>
      <c r="AB15" t="s">
        <v>36</v>
      </c>
      <c r="AC15" t="s">
        <v>578</v>
      </c>
      <c r="AD15" t="s">
        <v>36</v>
      </c>
      <c r="AE15" t="s">
        <v>578</v>
      </c>
      <c r="AF15" t="s">
        <v>86</v>
      </c>
      <c r="AG15" t="s">
        <v>311</v>
      </c>
      <c r="AH15" t="s">
        <v>160</v>
      </c>
      <c r="AI15" s="4">
        <f ca="1">data[[#This Row],[Expiry Date]]-TODAY()</f>
        <v>29</v>
      </c>
      <c r="AJ15" s="4">
        <f ca="1">data[[#This Row],[Maturity ( Days)]]/365</f>
        <v>7.9452054794520555E-2</v>
      </c>
      <c r="AK15" s="4" t="str">
        <f ca="1">IF(data[[#This Row],[Option Type]]="put","p","c")</f>
        <v>c</v>
      </c>
      <c r="AL15" s="4">
        <f ca="1">(data[[#This Row],[Bid]]*data[[#This Row],[Asksize]]+data[[#This Row],[Ask]]*data[[#This Row],[Bidsize]])/(data[[#This Row],[Bidsize]]+data[[#This Row],[Asksize]])</f>
        <v>962.64999999999986</v>
      </c>
      <c r="AM15" s="4">
        <f ca="1">VALUE(data[[#This Row],[Strike]])</f>
        <v>3100</v>
      </c>
      <c r="AN15" s="56">
        <f ca="1"/>
        <v>1398.8461049799264</v>
      </c>
      <c r="AO15" s="57" t="str">
        <f ca="1"/>
        <v>c</v>
      </c>
      <c r="AP15" s="57">
        <f ca="1"/>
        <v>2.0947491619004706</v>
      </c>
      <c r="AQ15" s="58">
        <f ca="1"/>
        <v>0.77507148138984916</v>
      </c>
      <c r="AR15" s="58">
        <f ca="1"/>
        <v>1.2482531609199696E-4</v>
      </c>
      <c r="AS15" s="58">
        <f ca="1"/>
        <v>3.4359987426833793</v>
      </c>
      <c r="AT15" s="56">
        <f ca="1"/>
        <v>-1245.7578150597253</v>
      </c>
      <c r="AU15" s="56">
        <f ca="1"/>
        <v>139.08865139274664</v>
      </c>
    </row>
    <row r="16" spans="1:47" x14ac:dyDescent="0.3">
      <c r="A16" t="s">
        <v>363</v>
      </c>
      <c r="B16" t="s">
        <v>364</v>
      </c>
      <c r="C16" t="s">
        <v>29</v>
      </c>
      <c r="D16" t="s">
        <v>84</v>
      </c>
      <c r="E16" t="s">
        <v>84</v>
      </c>
      <c r="F16" t="s">
        <v>362</v>
      </c>
      <c r="G16" t="s">
        <v>583</v>
      </c>
      <c r="H16" t="s">
        <v>649</v>
      </c>
      <c r="J16" t="s">
        <v>588</v>
      </c>
      <c r="K16" t="s">
        <v>280</v>
      </c>
      <c r="L16" t="s">
        <v>315</v>
      </c>
      <c r="M16" t="s">
        <v>84</v>
      </c>
      <c r="N16" t="s">
        <v>56</v>
      </c>
      <c r="O16" t="s">
        <v>36</v>
      </c>
      <c r="Q16" t="s">
        <v>84</v>
      </c>
      <c r="V16" t="s">
        <v>49</v>
      </c>
      <c r="X16" t="s">
        <v>84</v>
      </c>
      <c r="Z16" t="s">
        <v>84</v>
      </c>
      <c r="AA16" t="s">
        <v>84</v>
      </c>
      <c r="AB16" t="s">
        <v>36</v>
      </c>
      <c r="AC16" t="s">
        <v>578</v>
      </c>
      <c r="AD16" t="s">
        <v>36</v>
      </c>
      <c r="AE16" t="s">
        <v>578</v>
      </c>
      <c r="AF16" t="s">
        <v>86</v>
      </c>
      <c r="AG16" t="s">
        <v>311</v>
      </c>
      <c r="AH16" t="s">
        <v>160</v>
      </c>
      <c r="AI16" s="4">
        <f ca="1">data[[#This Row],[Expiry Date]]-TODAY()</f>
        <v>29</v>
      </c>
      <c r="AJ16" s="4">
        <f ca="1">data[[#This Row],[Maturity ( Days)]]/365</f>
        <v>7.9452054794520555E-2</v>
      </c>
      <c r="AK16" s="4" t="str">
        <f ca="1">IF(data[[#This Row],[Option Type]]="put","p","c")</f>
        <v>p</v>
      </c>
      <c r="AL16" s="4">
        <f ca="1">(data[[#This Row],[Bid]]*data[[#This Row],[Asksize]]+data[[#This Row],[Ask]]*data[[#This Row],[Bidsize]])/(data[[#This Row],[Bidsize]]+data[[#This Row],[Asksize]])</f>
        <v>2.3146408839779005</v>
      </c>
      <c r="AM16" s="4">
        <f ca="1">VALUE(data[[#This Row],[Strike]])</f>
        <v>3100</v>
      </c>
      <c r="AN16" s="56">
        <f ca="1"/>
        <v>2.3574038206797923</v>
      </c>
      <c r="AO16" s="57" t="str">
        <f ca="1"/>
        <v>p</v>
      </c>
      <c r="AP16" s="57">
        <f ca="1"/>
        <v>0.44435085710023925</v>
      </c>
      <c r="AQ16" s="58">
        <f ca="1"/>
        <v>-1.2769133592696047E-2</v>
      </c>
      <c r="AR16" s="58">
        <f ca="1"/>
        <v>6.4682443337090009E-5</v>
      </c>
      <c r="AS16" s="58">
        <f ca="1"/>
        <v>0.37768586833044643</v>
      </c>
      <c r="AT16" s="56">
        <f ca="1"/>
        <v>-28.786675601732878</v>
      </c>
      <c r="AU16" s="56">
        <f ca="1"/>
        <v>-4.3081797886326632</v>
      </c>
    </row>
    <row r="17" spans="1:47" x14ac:dyDescent="0.3">
      <c r="A17" t="s">
        <v>365</v>
      </c>
      <c r="B17" t="s">
        <v>366</v>
      </c>
      <c r="C17" t="s">
        <v>57</v>
      </c>
      <c r="D17" t="s">
        <v>84</v>
      </c>
      <c r="E17" t="s">
        <v>84</v>
      </c>
      <c r="F17" t="s">
        <v>89</v>
      </c>
      <c r="G17" t="s">
        <v>685</v>
      </c>
      <c r="H17" t="s">
        <v>686</v>
      </c>
      <c r="J17" t="s">
        <v>112</v>
      </c>
      <c r="K17" t="s">
        <v>112</v>
      </c>
      <c r="L17" t="s">
        <v>315</v>
      </c>
      <c r="M17" t="s">
        <v>84</v>
      </c>
      <c r="N17" t="s">
        <v>56</v>
      </c>
      <c r="O17" t="s">
        <v>36</v>
      </c>
      <c r="Q17" t="s">
        <v>84</v>
      </c>
      <c r="V17" t="s">
        <v>49</v>
      </c>
      <c r="X17" t="s">
        <v>84</v>
      </c>
      <c r="Z17" t="s">
        <v>84</v>
      </c>
      <c r="AA17" t="s">
        <v>84</v>
      </c>
      <c r="AB17" t="s">
        <v>36</v>
      </c>
      <c r="AC17" t="s">
        <v>578</v>
      </c>
      <c r="AD17" t="s">
        <v>36</v>
      </c>
      <c r="AE17" t="s">
        <v>578</v>
      </c>
      <c r="AF17" t="s">
        <v>86</v>
      </c>
      <c r="AG17" t="s">
        <v>311</v>
      </c>
      <c r="AH17" t="s">
        <v>160</v>
      </c>
      <c r="AI17" s="4">
        <f ca="1">data[[#This Row],[Expiry Date]]-TODAY()</f>
        <v>29</v>
      </c>
      <c r="AJ17" s="4">
        <f ca="1">data[[#This Row],[Maturity ( Days)]]/365</f>
        <v>7.9452054794520555E-2</v>
      </c>
      <c r="AK17" s="4" t="str">
        <f ca="1">IF(data[[#This Row],[Option Type]]="put","p","c")</f>
        <v>c</v>
      </c>
      <c r="AL17" s="4">
        <f ca="1">(data[[#This Row],[Bid]]*data[[#This Row],[Asksize]]+data[[#This Row],[Ask]]*data[[#This Row],[Bidsize]])/(data[[#This Row],[Bidsize]]+data[[#This Row],[Asksize]])</f>
        <v>863.55000000000007</v>
      </c>
      <c r="AM17" s="4">
        <f ca="1">VALUE(data[[#This Row],[Strike]])</f>
        <v>3200</v>
      </c>
      <c r="AN17" s="56">
        <f ca="1"/>
        <v>4065.22</v>
      </c>
      <c r="AO17" s="57" t="str">
        <f ca="1"/>
        <v>c</v>
      </c>
      <c r="AP17" s="57">
        <f ca="1"/>
        <v>823815.19363392831</v>
      </c>
      <c r="AQ17" s="58">
        <f ca="1"/>
        <v>1</v>
      </c>
      <c r="AR17" s="58">
        <f ca="1"/>
        <v>0</v>
      </c>
      <c r="AS17" s="58">
        <f ca="1"/>
        <v>0</v>
      </c>
      <c r="AT17" s="56">
        <f ca="1"/>
        <v>0</v>
      </c>
      <c r="AU17" s="56">
        <f ca="1"/>
        <v>0</v>
      </c>
    </row>
    <row r="18" spans="1:47" x14ac:dyDescent="0.3">
      <c r="A18" t="s">
        <v>369</v>
      </c>
      <c r="B18" t="s">
        <v>370</v>
      </c>
      <c r="C18" t="s">
        <v>29</v>
      </c>
      <c r="D18" t="s">
        <v>84</v>
      </c>
      <c r="E18" t="s">
        <v>84</v>
      </c>
      <c r="F18" t="s">
        <v>191</v>
      </c>
      <c r="G18" t="s">
        <v>687</v>
      </c>
      <c r="H18" t="s">
        <v>628</v>
      </c>
      <c r="J18" t="s">
        <v>307</v>
      </c>
      <c r="K18" t="s">
        <v>296</v>
      </c>
      <c r="L18" t="s">
        <v>315</v>
      </c>
      <c r="M18" t="s">
        <v>84</v>
      </c>
      <c r="N18" t="s">
        <v>56</v>
      </c>
      <c r="O18" t="s">
        <v>36</v>
      </c>
      <c r="Q18" t="s">
        <v>84</v>
      </c>
      <c r="V18" t="s">
        <v>49</v>
      </c>
      <c r="X18" t="s">
        <v>84</v>
      </c>
      <c r="Z18" t="s">
        <v>84</v>
      </c>
      <c r="AA18" t="s">
        <v>84</v>
      </c>
      <c r="AB18" t="s">
        <v>36</v>
      </c>
      <c r="AC18" t="s">
        <v>578</v>
      </c>
      <c r="AD18" t="s">
        <v>36</v>
      </c>
      <c r="AE18" t="s">
        <v>578</v>
      </c>
      <c r="AF18" t="s">
        <v>86</v>
      </c>
      <c r="AG18" t="s">
        <v>311</v>
      </c>
      <c r="AH18" t="s">
        <v>160</v>
      </c>
      <c r="AI18" s="4">
        <f ca="1">data[[#This Row],[Expiry Date]]-TODAY()</f>
        <v>29</v>
      </c>
      <c r="AJ18" s="4">
        <f ca="1">data[[#This Row],[Maturity ( Days)]]/365</f>
        <v>7.9452054794520555E-2</v>
      </c>
      <c r="AK18" s="4" t="str">
        <f ca="1">IF(data[[#This Row],[Option Type]]="put","p","c")</f>
        <v>p</v>
      </c>
      <c r="AL18" s="4">
        <f ca="1">(data[[#This Row],[Bid]]*data[[#This Row],[Asksize]]+data[[#This Row],[Ask]]*data[[#This Row],[Bidsize]])/(data[[#This Row],[Bidsize]]+data[[#This Row],[Asksize]])</f>
        <v>3.7432624113475175</v>
      </c>
      <c r="AM18" s="4">
        <f ca="1">VALUE(data[[#This Row],[Strike]])</f>
        <v>3250</v>
      </c>
      <c r="AN18" s="56">
        <f ca="1"/>
        <v>3.8147111019907243</v>
      </c>
      <c r="AO18" s="57" t="str">
        <f ca="1"/>
        <v>p</v>
      </c>
      <c r="AP18" s="57">
        <f ca="1"/>
        <v>0.40464504158218328</v>
      </c>
      <c r="AQ18" s="58">
        <f ca="1"/>
        <v>-2.1368932230261928E-2</v>
      </c>
      <c r="AR18" s="58">
        <f ca="1"/>
        <v>1.1035801460192895E-4</v>
      </c>
      <c r="AS18" s="58">
        <f ca="1"/>
        <v>0.58680850285761577</v>
      </c>
      <c r="AT18" s="56">
        <f ca="1"/>
        <v>-40.69105915120997</v>
      </c>
      <c r="AU18" s="56">
        <f ca="1"/>
        <v>-7.1993175342583893</v>
      </c>
    </row>
    <row r="19" spans="1:47" x14ac:dyDescent="0.3">
      <c r="A19" t="s">
        <v>371</v>
      </c>
      <c r="B19" t="s">
        <v>372</v>
      </c>
      <c r="C19" t="s">
        <v>57</v>
      </c>
      <c r="D19" t="s">
        <v>84</v>
      </c>
      <c r="E19" t="s">
        <v>84</v>
      </c>
      <c r="F19" t="s">
        <v>191</v>
      </c>
      <c r="G19" t="s">
        <v>688</v>
      </c>
      <c r="H19" t="s">
        <v>689</v>
      </c>
      <c r="J19" t="s">
        <v>112</v>
      </c>
      <c r="K19" t="s">
        <v>112</v>
      </c>
      <c r="L19" t="s">
        <v>315</v>
      </c>
      <c r="M19" t="s">
        <v>84</v>
      </c>
      <c r="N19" t="s">
        <v>56</v>
      </c>
      <c r="O19" t="s">
        <v>36</v>
      </c>
      <c r="Q19" t="s">
        <v>84</v>
      </c>
      <c r="V19" t="s">
        <v>49</v>
      </c>
      <c r="X19" t="s">
        <v>84</v>
      </c>
      <c r="Z19" t="s">
        <v>84</v>
      </c>
      <c r="AA19" t="s">
        <v>84</v>
      </c>
      <c r="AB19" t="s">
        <v>36</v>
      </c>
      <c r="AC19" t="s">
        <v>578</v>
      </c>
      <c r="AD19" t="s">
        <v>36</v>
      </c>
      <c r="AE19" t="s">
        <v>578</v>
      </c>
      <c r="AF19" t="s">
        <v>86</v>
      </c>
      <c r="AG19" t="s">
        <v>311</v>
      </c>
      <c r="AH19" t="s">
        <v>160</v>
      </c>
      <c r="AI19" s="4">
        <f ca="1">data[[#This Row],[Expiry Date]]-TODAY()</f>
        <v>29</v>
      </c>
      <c r="AJ19" s="4">
        <f ca="1">data[[#This Row],[Maturity ( Days)]]/365</f>
        <v>7.9452054794520555E-2</v>
      </c>
      <c r="AK19" s="4" t="str">
        <f ca="1">IF(data[[#This Row],[Option Type]]="put","p","c")</f>
        <v>c</v>
      </c>
      <c r="AL19" s="4">
        <f ca="1">(data[[#This Row],[Bid]]*data[[#This Row],[Asksize]]+data[[#This Row],[Ask]]*data[[#This Row],[Bidsize]])/(data[[#This Row],[Bidsize]]+data[[#This Row],[Asksize]])</f>
        <v>814.14999999999986</v>
      </c>
      <c r="AM19" s="4">
        <f ca="1">VALUE(data[[#This Row],[Strike]])</f>
        <v>3250</v>
      </c>
      <c r="AN19" s="56">
        <f ca="1"/>
        <v>0</v>
      </c>
      <c r="AO19" s="57" t="str">
        <f ca="1"/>
        <v>c</v>
      </c>
      <c r="AP19" s="57" t="str">
        <f ca="1"/>
        <v>Calculation Error : Vega is Zero</v>
      </c>
      <c r="AQ19" s="58">
        <f ca="1"/>
        <v>0</v>
      </c>
      <c r="AR19" s="58">
        <f ca="1"/>
        <v>0</v>
      </c>
      <c r="AS19" s="58">
        <f ca="1"/>
        <v>0</v>
      </c>
      <c r="AT19" s="56">
        <f ca="1"/>
        <v>0</v>
      </c>
      <c r="AU19" s="56">
        <f ca="1"/>
        <v>0</v>
      </c>
    </row>
    <row r="20" spans="1:47" x14ac:dyDescent="0.3">
      <c r="A20" t="s">
        <v>373</v>
      </c>
      <c r="B20" t="s">
        <v>374</v>
      </c>
      <c r="C20" t="s">
        <v>57</v>
      </c>
      <c r="D20" t="s">
        <v>84</v>
      </c>
      <c r="E20" t="s">
        <v>84</v>
      </c>
      <c r="F20" t="s">
        <v>119</v>
      </c>
      <c r="G20" t="s">
        <v>690</v>
      </c>
      <c r="H20" t="s">
        <v>691</v>
      </c>
      <c r="J20" t="s">
        <v>95</v>
      </c>
      <c r="K20" t="s">
        <v>95</v>
      </c>
      <c r="L20" t="s">
        <v>315</v>
      </c>
      <c r="M20" t="s">
        <v>84</v>
      </c>
      <c r="N20" t="s">
        <v>56</v>
      </c>
      <c r="O20" t="s">
        <v>36</v>
      </c>
      <c r="Q20" t="s">
        <v>84</v>
      </c>
      <c r="V20" t="s">
        <v>49</v>
      </c>
      <c r="X20" t="s">
        <v>84</v>
      </c>
      <c r="Z20" t="s">
        <v>84</v>
      </c>
      <c r="AA20" t="s">
        <v>84</v>
      </c>
      <c r="AB20" t="s">
        <v>36</v>
      </c>
      <c r="AC20" t="s">
        <v>578</v>
      </c>
      <c r="AD20" t="s">
        <v>36</v>
      </c>
      <c r="AE20" t="s">
        <v>578</v>
      </c>
      <c r="AF20" t="s">
        <v>86</v>
      </c>
      <c r="AG20" t="s">
        <v>311</v>
      </c>
      <c r="AH20" t="s">
        <v>160</v>
      </c>
      <c r="AI20" s="4">
        <f ca="1">data[[#This Row],[Expiry Date]]-TODAY()</f>
        <v>29</v>
      </c>
      <c r="AJ20" s="4">
        <f ca="1">data[[#This Row],[Maturity ( Days)]]/365</f>
        <v>7.9452054794520555E-2</v>
      </c>
      <c r="AK20" s="4" t="str">
        <f ca="1">IF(data[[#This Row],[Option Type]]="put","p","c")</f>
        <v>c</v>
      </c>
      <c r="AL20" s="4">
        <f ca="1">(data[[#This Row],[Bid]]*data[[#This Row],[Asksize]]+data[[#This Row],[Ask]]*data[[#This Row],[Bidsize]])/(data[[#This Row],[Bidsize]]+data[[#This Row],[Asksize]])</f>
        <v>764.85</v>
      </c>
      <c r="AM20" s="4">
        <f ca="1">VALUE(data[[#This Row],[Strike]])</f>
        <v>3300</v>
      </c>
      <c r="AN20" s="56">
        <f ca="1"/>
        <v>0</v>
      </c>
      <c r="AO20" s="57" t="str">
        <f ca="1"/>
        <v>c</v>
      </c>
      <c r="AP20" s="57" t="str">
        <f ca="1"/>
        <v>Calculation Error : Vega is Zero</v>
      </c>
      <c r="AQ20" s="58">
        <f ca="1"/>
        <v>0</v>
      </c>
      <c r="AR20" s="58">
        <f ca="1"/>
        <v>0</v>
      </c>
      <c r="AS20" s="58">
        <f ca="1"/>
        <v>0</v>
      </c>
      <c r="AT20" s="56">
        <f ca="1"/>
        <v>0</v>
      </c>
      <c r="AU20" s="56">
        <f ca="1"/>
        <v>0</v>
      </c>
    </row>
    <row r="21" spans="1:47" x14ac:dyDescent="0.3">
      <c r="A21" t="s">
        <v>375</v>
      </c>
      <c r="B21" t="s">
        <v>376</v>
      </c>
      <c r="C21" t="s">
        <v>29</v>
      </c>
      <c r="D21" t="s">
        <v>84</v>
      </c>
      <c r="E21" t="s">
        <v>84</v>
      </c>
      <c r="F21" t="s">
        <v>119</v>
      </c>
      <c r="G21" t="s">
        <v>301</v>
      </c>
      <c r="H21" t="s">
        <v>630</v>
      </c>
      <c r="J21" t="s">
        <v>190</v>
      </c>
      <c r="K21" t="s">
        <v>274</v>
      </c>
      <c r="L21" t="s">
        <v>315</v>
      </c>
      <c r="M21" t="s">
        <v>84</v>
      </c>
      <c r="N21" t="s">
        <v>56</v>
      </c>
      <c r="O21" t="s">
        <v>36</v>
      </c>
      <c r="Q21" t="s">
        <v>84</v>
      </c>
      <c r="V21" t="s">
        <v>49</v>
      </c>
      <c r="X21" t="s">
        <v>84</v>
      </c>
      <c r="Z21" t="s">
        <v>84</v>
      </c>
      <c r="AA21" t="s">
        <v>84</v>
      </c>
      <c r="AB21" t="s">
        <v>36</v>
      </c>
      <c r="AC21" t="s">
        <v>578</v>
      </c>
      <c r="AD21" t="s">
        <v>36</v>
      </c>
      <c r="AE21" t="s">
        <v>578</v>
      </c>
      <c r="AF21" t="s">
        <v>86</v>
      </c>
      <c r="AG21" t="s">
        <v>311</v>
      </c>
      <c r="AH21" t="s">
        <v>160</v>
      </c>
      <c r="AI21" s="4">
        <f ca="1">data[[#This Row],[Expiry Date]]-TODAY()</f>
        <v>29</v>
      </c>
      <c r="AJ21" s="4">
        <f ca="1">data[[#This Row],[Maturity ( Days)]]/365</f>
        <v>7.9452054794520555E-2</v>
      </c>
      <c r="AK21" s="4" t="str">
        <f ca="1">IF(data[[#This Row],[Option Type]]="put","p","c")</f>
        <v>p</v>
      </c>
      <c r="AL21" s="4">
        <f ca="1">(data[[#This Row],[Bid]]*data[[#This Row],[Asksize]]+data[[#This Row],[Ask]]*data[[#This Row],[Bidsize]])/(data[[#This Row],[Bidsize]]+data[[#This Row],[Asksize]])</f>
        <v>4.4226519337016574</v>
      </c>
      <c r="AM21" s="4">
        <f ca="1">VALUE(data[[#This Row],[Strike]])</f>
        <v>3300</v>
      </c>
      <c r="AN21" s="56">
        <f ca="1"/>
        <v>4.5079004729045664</v>
      </c>
      <c r="AO21" s="57" t="str">
        <f ca="1"/>
        <v>p</v>
      </c>
      <c r="AP21" s="57">
        <f ca="1"/>
        <v>0.39167690532301991</v>
      </c>
      <c r="AQ21" s="58">
        <f ca="1"/>
        <v>-2.5507932182583071E-2</v>
      </c>
      <c r="AR21" s="58">
        <f ca="1"/>
        <v>1.3232975166453147E-4</v>
      </c>
      <c r="AS21" s="58">
        <f ca="1"/>
        <v>0.68108883130058573</v>
      </c>
      <c r="AT21" s="56">
        <f ca="1"/>
        <v>-45.697822669029385</v>
      </c>
      <c r="AU21" s="56">
        <f ca="1"/>
        <v>-8.5901433101690365</v>
      </c>
    </row>
    <row r="22" spans="1:47" x14ac:dyDescent="0.3">
      <c r="A22" t="s">
        <v>377</v>
      </c>
      <c r="B22" t="s">
        <v>378</v>
      </c>
      <c r="C22" t="s">
        <v>29</v>
      </c>
      <c r="D22" t="s">
        <v>84</v>
      </c>
      <c r="E22" t="s">
        <v>84</v>
      </c>
      <c r="F22" t="s">
        <v>192</v>
      </c>
      <c r="G22" t="s">
        <v>692</v>
      </c>
      <c r="H22" t="s">
        <v>584</v>
      </c>
      <c r="J22" t="s">
        <v>282</v>
      </c>
      <c r="K22" t="s">
        <v>274</v>
      </c>
      <c r="L22" t="s">
        <v>315</v>
      </c>
      <c r="M22" t="s">
        <v>84</v>
      </c>
      <c r="N22" t="s">
        <v>56</v>
      </c>
      <c r="O22" t="s">
        <v>36</v>
      </c>
      <c r="Q22" t="s">
        <v>84</v>
      </c>
      <c r="V22" t="s">
        <v>49</v>
      </c>
      <c r="X22" t="s">
        <v>84</v>
      </c>
      <c r="Z22" t="s">
        <v>84</v>
      </c>
      <c r="AA22" t="s">
        <v>84</v>
      </c>
      <c r="AB22" t="s">
        <v>36</v>
      </c>
      <c r="AC22" t="s">
        <v>578</v>
      </c>
      <c r="AD22" t="s">
        <v>36</v>
      </c>
      <c r="AE22" t="s">
        <v>578</v>
      </c>
      <c r="AF22" t="s">
        <v>86</v>
      </c>
      <c r="AG22" t="s">
        <v>311</v>
      </c>
      <c r="AH22" t="s">
        <v>160</v>
      </c>
      <c r="AI22" s="4">
        <f ca="1">data[[#This Row],[Expiry Date]]-TODAY()</f>
        <v>29</v>
      </c>
      <c r="AJ22" s="4">
        <f ca="1">data[[#This Row],[Maturity ( Days)]]/365</f>
        <v>7.9452054794520555E-2</v>
      </c>
      <c r="AK22" s="4" t="str">
        <f ca="1">IF(data[[#This Row],[Option Type]]="put","p","c")</f>
        <v>p</v>
      </c>
      <c r="AL22" s="4">
        <f ca="1">(data[[#This Row],[Bid]]*data[[#This Row],[Asksize]]+data[[#This Row],[Ask]]*data[[#This Row],[Bidsize]])/(data[[#This Row],[Bidsize]]+data[[#This Row],[Asksize]])</f>
        <v>5.2437751004016055</v>
      </c>
      <c r="AM22" s="4">
        <f ca="1">VALUE(data[[#This Row],[Strike]])</f>
        <v>3350</v>
      </c>
      <c r="AN22" s="56">
        <f ca="1"/>
        <v>5.3457785872942623</v>
      </c>
      <c r="AO22" s="57" t="str">
        <f ca="1"/>
        <v>p</v>
      </c>
      <c r="AP22" s="57">
        <f ca="1"/>
        <v>0.37883225649754787</v>
      </c>
      <c r="AQ22" s="58">
        <f ca="1"/>
        <v>-3.0534249664828206E-2</v>
      </c>
      <c r="AR22" s="58">
        <f ca="1"/>
        <v>1.5892842484366428E-4</v>
      </c>
      <c r="AS22" s="58">
        <f ca="1"/>
        <v>0.79116456261024226</v>
      </c>
      <c r="AT22" s="56">
        <f ca="1"/>
        <v>-51.320906540362863</v>
      </c>
      <c r="AU22" s="56">
        <f ca="1"/>
        <v>-10.278822920945739</v>
      </c>
    </row>
    <row r="23" spans="1:47" x14ac:dyDescent="0.3">
      <c r="A23" t="s">
        <v>379</v>
      </c>
      <c r="B23" t="s">
        <v>380</v>
      </c>
      <c r="C23" t="s">
        <v>57</v>
      </c>
      <c r="D23" t="s">
        <v>84</v>
      </c>
      <c r="E23" t="s">
        <v>84</v>
      </c>
      <c r="F23" t="s">
        <v>192</v>
      </c>
      <c r="G23" t="s">
        <v>693</v>
      </c>
      <c r="H23" t="s">
        <v>694</v>
      </c>
      <c r="J23" t="s">
        <v>95</v>
      </c>
      <c r="K23" t="s">
        <v>95</v>
      </c>
      <c r="L23" t="s">
        <v>315</v>
      </c>
      <c r="M23" t="s">
        <v>84</v>
      </c>
      <c r="N23" t="s">
        <v>56</v>
      </c>
      <c r="O23" t="s">
        <v>36</v>
      </c>
      <c r="Q23" t="s">
        <v>84</v>
      </c>
      <c r="V23" t="s">
        <v>49</v>
      </c>
      <c r="X23" t="s">
        <v>84</v>
      </c>
      <c r="Z23" t="s">
        <v>84</v>
      </c>
      <c r="AA23" t="s">
        <v>84</v>
      </c>
      <c r="AB23" t="s">
        <v>36</v>
      </c>
      <c r="AC23" t="s">
        <v>578</v>
      </c>
      <c r="AD23" t="s">
        <v>36</v>
      </c>
      <c r="AE23" t="s">
        <v>578</v>
      </c>
      <c r="AF23" t="s">
        <v>86</v>
      </c>
      <c r="AG23" t="s">
        <v>311</v>
      </c>
      <c r="AH23" t="s">
        <v>160</v>
      </c>
      <c r="AI23" s="4">
        <f ca="1">data[[#This Row],[Expiry Date]]-TODAY()</f>
        <v>29</v>
      </c>
      <c r="AJ23" s="4">
        <f ca="1">data[[#This Row],[Maturity ( Days)]]/365</f>
        <v>7.9452054794520555E-2</v>
      </c>
      <c r="AK23" s="4" t="str">
        <f ca="1">IF(data[[#This Row],[Option Type]]="put","p","c")</f>
        <v>c</v>
      </c>
      <c r="AL23" s="4">
        <f ca="1">(data[[#This Row],[Bid]]*data[[#This Row],[Asksize]]+data[[#This Row],[Ask]]*data[[#This Row],[Bidsize]])/(data[[#This Row],[Bidsize]]+data[[#This Row],[Asksize]])</f>
        <v>715.65</v>
      </c>
      <c r="AM23" s="4">
        <f ca="1">VALUE(data[[#This Row],[Strike]])</f>
        <v>3350</v>
      </c>
      <c r="AN23" s="56">
        <f ca="1"/>
        <v>1059.7758477188788</v>
      </c>
      <c r="AO23" s="57" t="str">
        <f ca="1"/>
        <v>c</v>
      </c>
      <c r="AP23" s="57">
        <f ca="1"/>
        <v>1.5467498919542919</v>
      </c>
      <c r="AQ23" s="58">
        <f ca="1"/>
        <v>0.74654414553890924</v>
      </c>
      <c r="AR23" s="58">
        <f ca="1"/>
        <v>1.8045489231627743E-4</v>
      </c>
      <c r="AS23" s="58">
        <f ca="1"/>
        <v>3.6678118686114853</v>
      </c>
      <c r="AT23" s="56">
        <f ca="1"/>
        <v>-983.54700150420513</v>
      </c>
      <c r="AU23" s="56">
        <f ca="1"/>
        <v>156.80035559585571</v>
      </c>
    </row>
    <row r="24" spans="1:47" x14ac:dyDescent="0.3">
      <c r="A24" t="s">
        <v>383</v>
      </c>
      <c r="B24" t="s">
        <v>384</v>
      </c>
      <c r="C24" t="s">
        <v>57</v>
      </c>
      <c r="D24" t="s">
        <v>84</v>
      </c>
      <c r="E24" t="s">
        <v>84</v>
      </c>
      <c r="F24" t="s">
        <v>90</v>
      </c>
      <c r="G24" t="s">
        <v>695</v>
      </c>
      <c r="H24" t="s">
        <v>696</v>
      </c>
      <c r="J24" t="s">
        <v>95</v>
      </c>
      <c r="K24" t="s">
        <v>95</v>
      </c>
      <c r="L24" t="s">
        <v>315</v>
      </c>
      <c r="M24" t="s">
        <v>84</v>
      </c>
      <c r="N24" t="s">
        <v>56</v>
      </c>
      <c r="O24" t="s">
        <v>36</v>
      </c>
      <c r="Q24" t="s">
        <v>84</v>
      </c>
      <c r="V24" t="s">
        <v>49</v>
      </c>
      <c r="X24" t="s">
        <v>84</v>
      </c>
      <c r="Z24" t="s">
        <v>84</v>
      </c>
      <c r="AA24" t="s">
        <v>84</v>
      </c>
      <c r="AB24" t="s">
        <v>36</v>
      </c>
      <c r="AC24" t="s">
        <v>578</v>
      </c>
      <c r="AD24" t="s">
        <v>36</v>
      </c>
      <c r="AE24" t="s">
        <v>578</v>
      </c>
      <c r="AF24" t="s">
        <v>86</v>
      </c>
      <c r="AG24" t="s">
        <v>311</v>
      </c>
      <c r="AH24" t="s">
        <v>160</v>
      </c>
      <c r="AI24" s="4">
        <f ca="1">data[[#This Row],[Expiry Date]]-TODAY()</f>
        <v>29</v>
      </c>
      <c r="AJ24" s="4">
        <f ca="1">data[[#This Row],[Maturity ( Days)]]/365</f>
        <v>7.9452054794520555E-2</v>
      </c>
      <c r="AK24" s="4" t="str">
        <f ca="1">IF(data[[#This Row],[Option Type]]="put","p","c")</f>
        <v>c</v>
      </c>
      <c r="AL24" s="4">
        <f ca="1">(data[[#This Row],[Bid]]*data[[#This Row],[Asksize]]+data[[#This Row],[Ask]]*data[[#This Row],[Bidsize]])/(data[[#This Row],[Bidsize]]+data[[#This Row],[Asksize]])</f>
        <v>666.90000000000009</v>
      </c>
      <c r="AM24" s="4">
        <f ca="1">VALUE(data[[#This Row],[Strike]])</f>
        <v>3400</v>
      </c>
      <c r="AN24" s="56">
        <f ca="1"/>
        <v>4065.22</v>
      </c>
      <c r="AO24" s="57" t="str">
        <f ca="1"/>
        <v>c</v>
      </c>
      <c r="AP24" s="57">
        <f ca="1"/>
        <v>9488.3232318056216</v>
      </c>
      <c r="AQ24" s="58">
        <f ca="1"/>
        <v>1</v>
      </c>
      <c r="AR24" s="58">
        <f ca="1"/>
        <v>0</v>
      </c>
      <c r="AS24" s="58">
        <f ca="1"/>
        <v>0</v>
      </c>
      <c r="AT24" s="56">
        <f ca="1"/>
        <v>0</v>
      </c>
      <c r="AU24" s="56">
        <f ca="1"/>
        <v>0</v>
      </c>
    </row>
    <row r="25" spans="1:47" x14ac:dyDescent="0.3">
      <c r="A25" t="s">
        <v>385</v>
      </c>
      <c r="B25" t="s">
        <v>386</v>
      </c>
      <c r="C25" t="s">
        <v>57</v>
      </c>
      <c r="D25" t="s">
        <v>84</v>
      </c>
      <c r="E25" t="s">
        <v>84</v>
      </c>
      <c r="F25" t="s">
        <v>199</v>
      </c>
      <c r="G25" t="s">
        <v>697</v>
      </c>
      <c r="H25" t="s">
        <v>698</v>
      </c>
      <c r="J25" t="s">
        <v>95</v>
      </c>
      <c r="K25" t="s">
        <v>95</v>
      </c>
      <c r="L25" t="s">
        <v>315</v>
      </c>
      <c r="M25" t="s">
        <v>84</v>
      </c>
      <c r="N25" t="s">
        <v>56</v>
      </c>
      <c r="O25" t="s">
        <v>36</v>
      </c>
      <c r="Q25" t="s">
        <v>84</v>
      </c>
      <c r="V25" t="s">
        <v>49</v>
      </c>
      <c r="X25" t="s">
        <v>84</v>
      </c>
      <c r="Z25" t="s">
        <v>84</v>
      </c>
      <c r="AA25" t="s">
        <v>84</v>
      </c>
      <c r="AB25" t="s">
        <v>36</v>
      </c>
      <c r="AC25" t="s">
        <v>578</v>
      </c>
      <c r="AD25" t="s">
        <v>36</v>
      </c>
      <c r="AE25" t="s">
        <v>578</v>
      </c>
      <c r="AF25" t="s">
        <v>86</v>
      </c>
      <c r="AG25" t="s">
        <v>311</v>
      </c>
      <c r="AH25" t="s">
        <v>160</v>
      </c>
      <c r="AI25" s="4">
        <f ca="1">data[[#This Row],[Expiry Date]]-TODAY()</f>
        <v>29</v>
      </c>
      <c r="AJ25" s="4">
        <f ca="1">data[[#This Row],[Maturity ( Days)]]/365</f>
        <v>7.9452054794520555E-2</v>
      </c>
      <c r="AK25" s="4" t="str">
        <f ca="1">IF(data[[#This Row],[Option Type]]="put","p","c")</f>
        <v>c</v>
      </c>
      <c r="AL25" s="4">
        <f ca="1">(data[[#This Row],[Bid]]*data[[#This Row],[Asksize]]+data[[#This Row],[Ask]]*data[[#This Row],[Bidsize]])/(data[[#This Row],[Bidsize]]+data[[#This Row],[Asksize]])</f>
        <v>618.40000000000009</v>
      </c>
      <c r="AM25" s="4">
        <f ca="1">VALUE(data[[#This Row],[Strike]])</f>
        <v>3450</v>
      </c>
      <c r="AN25" s="56">
        <f ca="1"/>
        <v>4065.22</v>
      </c>
      <c r="AO25" s="57" t="str">
        <f ca="1"/>
        <v>c</v>
      </c>
      <c r="AP25" s="57">
        <f ca="1"/>
        <v>12720419360202.137</v>
      </c>
      <c r="AQ25" s="58">
        <f ca="1"/>
        <v>1</v>
      </c>
      <c r="AR25" s="58">
        <f ca="1"/>
        <v>0</v>
      </c>
      <c r="AS25" s="58">
        <f ca="1"/>
        <v>0</v>
      </c>
      <c r="AT25" s="56">
        <f ca="1"/>
        <v>0</v>
      </c>
      <c r="AU25" s="56">
        <f ca="1"/>
        <v>0</v>
      </c>
    </row>
    <row r="26" spans="1:47" x14ac:dyDescent="0.3">
      <c r="A26" t="s">
        <v>387</v>
      </c>
      <c r="B26" t="s">
        <v>388</v>
      </c>
      <c r="C26" t="s">
        <v>29</v>
      </c>
      <c r="D26" t="s">
        <v>84</v>
      </c>
      <c r="E26" t="s">
        <v>84</v>
      </c>
      <c r="F26" t="s">
        <v>199</v>
      </c>
      <c r="G26" t="s">
        <v>273</v>
      </c>
      <c r="H26" t="s">
        <v>586</v>
      </c>
      <c r="J26" t="s">
        <v>598</v>
      </c>
      <c r="K26" t="s">
        <v>279</v>
      </c>
      <c r="L26" t="s">
        <v>315</v>
      </c>
      <c r="M26" t="s">
        <v>84</v>
      </c>
      <c r="N26" t="s">
        <v>56</v>
      </c>
      <c r="O26" t="s">
        <v>36</v>
      </c>
      <c r="Q26" t="s">
        <v>84</v>
      </c>
      <c r="V26" t="s">
        <v>49</v>
      </c>
      <c r="X26" t="s">
        <v>84</v>
      </c>
      <c r="Z26" t="s">
        <v>84</v>
      </c>
      <c r="AA26" t="s">
        <v>84</v>
      </c>
      <c r="AB26" t="s">
        <v>36</v>
      </c>
      <c r="AC26" t="s">
        <v>578</v>
      </c>
      <c r="AD26" t="s">
        <v>36</v>
      </c>
      <c r="AE26" t="s">
        <v>578</v>
      </c>
      <c r="AF26" t="s">
        <v>86</v>
      </c>
      <c r="AG26" t="s">
        <v>311</v>
      </c>
      <c r="AH26" t="s">
        <v>160</v>
      </c>
      <c r="AI26" s="4">
        <f ca="1">data[[#This Row],[Expiry Date]]-TODAY()</f>
        <v>29</v>
      </c>
      <c r="AJ26" s="4">
        <f ca="1">data[[#This Row],[Maturity ( Days)]]/365</f>
        <v>7.9452054794520555E-2</v>
      </c>
      <c r="AK26" s="4" t="str">
        <f ca="1">IF(data[[#This Row],[Option Type]]="put","p","c")</f>
        <v>p</v>
      </c>
      <c r="AL26" s="4">
        <f ca="1">(data[[#This Row],[Bid]]*data[[#This Row],[Asksize]]+data[[#This Row],[Ask]]*data[[#This Row],[Bidsize]])/(data[[#This Row],[Bidsize]]+data[[#This Row],[Asksize]])</f>
        <v>7.7183673469387752</v>
      </c>
      <c r="AM26" s="4">
        <f ca="1">VALUE(data[[#This Row],[Strike]])</f>
        <v>3450</v>
      </c>
      <c r="AN26" s="56">
        <f ca="1"/>
        <v>7.8692800128551426</v>
      </c>
      <c r="AO26" s="57" t="str">
        <f ca="1"/>
        <v>p</v>
      </c>
      <c r="AP26" s="57">
        <f ca="1"/>
        <v>0.3559713412810786</v>
      </c>
      <c r="AQ26" s="58">
        <f ca="1"/>
        <v>-4.518129514922109E-2</v>
      </c>
      <c r="AR26" s="58">
        <f ca="1"/>
        <v>2.3294657527757903E-4</v>
      </c>
      <c r="AS26" s="58">
        <f ca="1"/>
        <v>1.0896566191944685</v>
      </c>
      <c r="AT26" s="56">
        <f ca="1"/>
        <v>-66.352217263853419</v>
      </c>
      <c r="AU26" s="56">
        <f ca="1"/>
        <v>-15.206254218275669</v>
      </c>
    </row>
    <row r="27" spans="1:47" x14ac:dyDescent="0.3">
      <c r="A27" t="s">
        <v>389</v>
      </c>
      <c r="B27" t="s">
        <v>390</v>
      </c>
      <c r="C27" t="s">
        <v>29</v>
      </c>
      <c r="D27" t="s">
        <v>84</v>
      </c>
      <c r="E27" t="s">
        <v>84</v>
      </c>
      <c r="F27" t="s">
        <v>120</v>
      </c>
      <c r="G27" t="s">
        <v>699</v>
      </c>
      <c r="H27" t="s">
        <v>288</v>
      </c>
      <c r="J27" t="s">
        <v>700</v>
      </c>
      <c r="K27" t="s">
        <v>279</v>
      </c>
      <c r="L27" t="s">
        <v>315</v>
      </c>
      <c r="M27" t="s">
        <v>84</v>
      </c>
      <c r="N27" t="s">
        <v>56</v>
      </c>
      <c r="O27" t="s">
        <v>36</v>
      </c>
      <c r="Q27" t="s">
        <v>84</v>
      </c>
      <c r="V27" t="s">
        <v>49</v>
      </c>
      <c r="X27" t="s">
        <v>84</v>
      </c>
      <c r="Z27" t="s">
        <v>84</v>
      </c>
      <c r="AA27" t="s">
        <v>84</v>
      </c>
      <c r="AB27" t="s">
        <v>36</v>
      </c>
      <c r="AC27" t="s">
        <v>578</v>
      </c>
      <c r="AD27" t="s">
        <v>36</v>
      </c>
      <c r="AE27" t="s">
        <v>578</v>
      </c>
      <c r="AF27" t="s">
        <v>86</v>
      </c>
      <c r="AG27" t="s">
        <v>311</v>
      </c>
      <c r="AH27" t="s">
        <v>160</v>
      </c>
      <c r="AI27" s="4">
        <f ca="1">data[[#This Row],[Expiry Date]]-TODAY()</f>
        <v>29</v>
      </c>
      <c r="AJ27" s="4">
        <f ca="1">data[[#This Row],[Maturity ( Days)]]/365</f>
        <v>7.9452054794520555E-2</v>
      </c>
      <c r="AK27" s="4" t="str">
        <f ca="1">IF(data[[#This Row],[Option Type]]="put","p","c")</f>
        <v>p</v>
      </c>
      <c r="AL27" s="4">
        <f ca="1">(data[[#This Row],[Bid]]*data[[#This Row],[Asksize]]+data[[#This Row],[Ask]]*data[[#This Row],[Bidsize]])/(data[[#This Row],[Bidsize]]+data[[#This Row],[Asksize]])</f>
        <v>9.486792452830187</v>
      </c>
      <c r="AM27" s="4">
        <f ca="1">VALUE(data[[#This Row],[Strike]])</f>
        <v>3500</v>
      </c>
      <c r="AN27" s="56">
        <f ca="1"/>
        <v>9.6718717123881106</v>
      </c>
      <c r="AO27" s="57" t="str">
        <f ca="1"/>
        <v>p</v>
      </c>
      <c r="AP27" s="57">
        <f ca="1"/>
        <v>0.34537568726114082</v>
      </c>
      <c r="AQ27" s="58">
        <f ca="1"/>
        <v>-5.5399930909818318E-2</v>
      </c>
      <c r="AR27" s="58">
        <f ca="1"/>
        <v>2.824749464180397E-4</v>
      </c>
      <c r="AS27" s="58">
        <f ca="1"/>
        <v>1.2820058102731156</v>
      </c>
      <c r="AT27" s="56">
        <f ca="1"/>
        <v>-75.696762436552604</v>
      </c>
      <c r="AU27" s="56">
        <f ca="1"/>
        <v>-18.647256803326606</v>
      </c>
    </row>
    <row r="28" spans="1:47" x14ac:dyDescent="0.3">
      <c r="A28" t="s">
        <v>391</v>
      </c>
      <c r="B28" t="s">
        <v>392</v>
      </c>
      <c r="C28" t="s">
        <v>57</v>
      </c>
      <c r="D28" t="s">
        <v>84</v>
      </c>
      <c r="E28" t="s">
        <v>84</v>
      </c>
      <c r="F28" t="s">
        <v>120</v>
      </c>
      <c r="G28" t="s">
        <v>701</v>
      </c>
      <c r="H28" t="s">
        <v>702</v>
      </c>
      <c r="J28" t="s">
        <v>95</v>
      </c>
      <c r="K28" t="s">
        <v>95</v>
      </c>
      <c r="L28" t="s">
        <v>315</v>
      </c>
      <c r="M28" t="s">
        <v>84</v>
      </c>
      <c r="N28" t="s">
        <v>56</v>
      </c>
      <c r="O28" t="s">
        <v>36</v>
      </c>
      <c r="Q28" t="s">
        <v>84</v>
      </c>
      <c r="V28" t="s">
        <v>49</v>
      </c>
      <c r="X28" t="s">
        <v>84</v>
      </c>
      <c r="Z28" t="s">
        <v>84</v>
      </c>
      <c r="AA28" t="s">
        <v>84</v>
      </c>
      <c r="AB28" t="s">
        <v>36</v>
      </c>
      <c r="AC28" t="s">
        <v>578</v>
      </c>
      <c r="AD28" t="s">
        <v>36</v>
      </c>
      <c r="AE28" t="s">
        <v>578</v>
      </c>
      <c r="AF28" t="s">
        <v>86</v>
      </c>
      <c r="AG28" t="s">
        <v>311</v>
      </c>
      <c r="AH28" t="s">
        <v>160</v>
      </c>
      <c r="AI28" s="4">
        <f ca="1">data[[#This Row],[Expiry Date]]-TODAY()</f>
        <v>29</v>
      </c>
      <c r="AJ28" s="4">
        <f ca="1">data[[#This Row],[Maturity ( Days)]]/365</f>
        <v>7.9452054794520555E-2</v>
      </c>
      <c r="AK28" s="4" t="str">
        <f ca="1">IF(data[[#This Row],[Option Type]]="put","p","c")</f>
        <v>c</v>
      </c>
      <c r="AL28" s="4">
        <f ca="1">(data[[#This Row],[Bid]]*data[[#This Row],[Asksize]]+data[[#This Row],[Ask]]*data[[#This Row],[Bidsize]])/(data[[#This Row],[Bidsize]]+data[[#This Row],[Asksize]])</f>
        <v>570.04999999999995</v>
      </c>
      <c r="AM28" s="4">
        <f ca="1">VALUE(data[[#This Row],[Strike]])</f>
        <v>3500</v>
      </c>
      <c r="AN28" s="56">
        <f ca="1"/>
        <v>1844.6163860196398</v>
      </c>
      <c r="AO28" s="57" t="str">
        <f ca="1"/>
        <v>c</v>
      </c>
      <c r="AP28" s="57">
        <f ca="1"/>
        <v>3.8140687227247474</v>
      </c>
      <c r="AQ28" s="58">
        <f ca="1"/>
        <v>0.75096490998946441</v>
      </c>
      <c r="AR28" s="58">
        <f ca="1"/>
        <v>7.2503556540457972E-5</v>
      </c>
      <c r="AS28" s="58">
        <f ca="1"/>
        <v>3.6338426769710512</v>
      </c>
      <c r="AT28" s="56">
        <f ca="1"/>
        <v>-2392.9180739142066</v>
      </c>
      <c r="AU28" s="56">
        <f ca="1"/>
        <v>95.919415593897284</v>
      </c>
    </row>
    <row r="29" spans="1:47" x14ac:dyDescent="0.3">
      <c r="A29" t="s">
        <v>393</v>
      </c>
      <c r="B29" t="s">
        <v>394</v>
      </c>
      <c r="C29" t="s">
        <v>57</v>
      </c>
      <c r="D29" t="s">
        <v>84</v>
      </c>
      <c r="E29" t="s">
        <v>84</v>
      </c>
      <c r="F29" t="s">
        <v>193</v>
      </c>
      <c r="G29" t="s">
        <v>703</v>
      </c>
      <c r="H29" t="s">
        <v>704</v>
      </c>
      <c r="J29" t="s">
        <v>86</v>
      </c>
      <c r="K29" t="s">
        <v>700</v>
      </c>
      <c r="L29" t="s">
        <v>315</v>
      </c>
      <c r="M29" t="s">
        <v>84</v>
      </c>
      <c r="N29" t="s">
        <v>56</v>
      </c>
      <c r="O29" t="s">
        <v>36</v>
      </c>
      <c r="Q29" t="s">
        <v>84</v>
      </c>
      <c r="V29" t="s">
        <v>49</v>
      </c>
      <c r="X29" t="s">
        <v>84</v>
      </c>
      <c r="Z29" t="s">
        <v>84</v>
      </c>
      <c r="AA29" t="s">
        <v>84</v>
      </c>
      <c r="AB29" t="s">
        <v>36</v>
      </c>
      <c r="AC29" t="s">
        <v>578</v>
      </c>
      <c r="AD29" t="s">
        <v>36</v>
      </c>
      <c r="AE29" t="s">
        <v>578</v>
      </c>
      <c r="AF29" t="s">
        <v>86</v>
      </c>
      <c r="AG29" t="s">
        <v>311</v>
      </c>
      <c r="AH29" t="s">
        <v>160</v>
      </c>
      <c r="AI29" s="4">
        <f ca="1">data[[#This Row],[Expiry Date]]-TODAY()</f>
        <v>29</v>
      </c>
      <c r="AJ29" s="4">
        <f ca="1">data[[#This Row],[Maturity ( Days)]]/365</f>
        <v>7.9452054794520555E-2</v>
      </c>
      <c r="AK29" s="4" t="str">
        <f ca="1">IF(data[[#This Row],[Option Type]]="put","p","c")</f>
        <v>c</v>
      </c>
      <c r="AL29" s="4">
        <f ca="1">(data[[#This Row],[Bid]]*data[[#This Row],[Asksize]]+data[[#This Row],[Ask]]*data[[#This Row],[Bidsize]])/(data[[#This Row],[Bidsize]]+data[[#This Row],[Asksize]])</f>
        <v>523.30958904109593</v>
      </c>
      <c r="AM29" s="4">
        <f ca="1">VALUE(data[[#This Row],[Strike]])</f>
        <v>3550</v>
      </c>
      <c r="AN29" s="56">
        <f ca="1"/>
        <v>520.56855747702002</v>
      </c>
      <c r="AO29" s="57" t="str">
        <f ca="1"/>
        <v>c</v>
      </c>
      <c r="AP29" s="57">
        <f ca="1"/>
        <v>0.24730798571470022</v>
      </c>
      <c r="AQ29" s="58">
        <f ca="1"/>
        <v>0.97672267537724822</v>
      </c>
      <c r="AR29" s="58">
        <f ca="1"/>
        <v>1.9407994428566761E-4</v>
      </c>
      <c r="AS29" s="58">
        <f ca="1"/>
        <v>0.6307207158004261</v>
      </c>
      <c r="AT29" s="56">
        <f ca="1"/>
        <v>-36.345615327978997</v>
      </c>
      <c r="AU29" s="56">
        <f ca="1"/>
        <v>273.89379492528627</v>
      </c>
    </row>
    <row r="30" spans="1:47" x14ac:dyDescent="0.3">
      <c r="A30" t="s">
        <v>395</v>
      </c>
      <c r="B30" t="s">
        <v>396</v>
      </c>
      <c r="C30" t="s">
        <v>29</v>
      </c>
      <c r="D30" t="s">
        <v>84</v>
      </c>
      <c r="E30" t="s">
        <v>84</v>
      </c>
      <c r="F30" t="s">
        <v>193</v>
      </c>
      <c r="G30" t="s">
        <v>304</v>
      </c>
      <c r="H30" t="s">
        <v>83</v>
      </c>
      <c r="J30" t="s">
        <v>295</v>
      </c>
      <c r="K30" t="s">
        <v>287</v>
      </c>
      <c r="L30" t="s">
        <v>315</v>
      </c>
      <c r="M30" t="s">
        <v>84</v>
      </c>
      <c r="N30" t="s">
        <v>56</v>
      </c>
      <c r="O30" t="s">
        <v>36</v>
      </c>
      <c r="Q30" t="s">
        <v>84</v>
      </c>
      <c r="V30" t="s">
        <v>49</v>
      </c>
      <c r="X30" t="s">
        <v>84</v>
      </c>
      <c r="Z30" t="s">
        <v>84</v>
      </c>
      <c r="AA30" t="s">
        <v>84</v>
      </c>
      <c r="AB30" t="s">
        <v>36</v>
      </c>
      <c r="AC30" t="s">
        <v>578</v>
      </c>
      <c r="AD30" t="s">
        <v>36</v>
      </c>
      <c r="AE30" t="s">
        <v>578</v>
      </c>
      <c r="AF30" t="s">
        <v>86</v>
      </c>
      <c r="AG30" t="s">
        <v>311</v>
      </c>
      <c r="AH30" t="s">
        <v>160</v>
      </c>
      <c r="AI30" s="4">
        <f ca="1">data[[#This Row],[Expiry Date]]-TODAY()</f>
        <v>29</v>
      </c>
      <c r="AJ30" s="4">
        <f ca="1">data[[#This Row],[Maturity ( Days)]]/365</f>
        <v>7.9452054794520555E-2</v>
      </c>
      <c r="AK30" s="4" t="str">
        <f ca="1">IF(data[[#This Row],[Option Type]]="put","p","c")</f>
        <v>p</v>
      </c>
      <c r="AL30" s="4">
        <f ca="1">(data[[#This Row],[Bid]]*data[[#This Row],[Asksize]]+data[[#This Row],[Ask]]*data[[#This Row],[Bidsize]])/(data[[#This Row],[Bidsize]]+data[[#This Row],[Asksize]])</f>
        <v>11.885496183206106</v>
      </c>
      <c r="AM30" s="4">
        <f ca="1">VALUE(data[[#This Row],[Strike]])</f>
        <v>3550</v>
      </c>
      <c r="AN30" s="56">
        <f ca="1"/>
        <v>12.115107389603054</v>
      </c>
      <c r="AO30" s="57" t="str">
        <f ca="1"/>
        <v>p</v>
      </c>
      <c r="AP30" s="57">
        <f ca="1"/>
        <v>0.33624944325275247</v>
      </c>
      <c r="AQ30" s="58">
        <f ca="1"/>
        <v>-6.8689666302222174E-2</v>
      </c>
      <c r="AR30" s="58">
        <f ca="1"/>
        <v>3.4316860574401357E-4</v>
      </c>
      <c r="AS30" s="58">
        <f ca="1"/>
        <v>1.5163079799979755</v>
      </c>
      <c r="AT30" s="56">
        <f ca="1"/>
        <v>-87.108273076871839</v>
      </c>
      <c r="AU30" s="56">
        <f ca="1"/>
        <v>-23.130266366360047</v>
      </c>
    </row>
    <row r="31" spans="1:47" x14ac:dyDescent="0.3">
      <c r="A31" t="s">
        <v>399</v>
      </c>
      <c r="B31" t="s">
        <v>400</v>
      </c>
      <c r="C31" t="s">
        <v>57</v>
      </c>
      <c r="D31" t="s">
        <v>84</v>
      </c>
      <c r="E31" t="s">
        <v>84</v>
      </c>
      <c r="F31" t="s">
        <v>98</v>
      </c>
      <c r="G31" t="s">
        <v>705</v>
      </c>
      <c r="H31" t="s">
        <v>706</v>
      </c>
      <c r="J31" t="s">
        <v>187</v>
      </c>
      <c r="K31" t="s">
        <v>700</v>
      </c>
      <c r="L31" t="s">
        <v>315</v>
      </c>
      <c r="M31" t="s">
        <v>84</v>
      </c>
      <c r="N31" t="s">
        <v>56</v>
      </c>
      <c r="O31" t="s">
        <v>36</v>
      </c>
      <c r="Q31" t="s">
        <v>84</v>
      </c>
      <c r="V31" t="s">
        <v>49</v>
      </c>
      <c r="X31" t="s">
        <v>84</v>
      </c>
      <c r="Z31" t="s">
        <v>84</v>
      </c>
      <c r="AA31" t="s">
        <v>84</v>
      </c>
      <c r="AB31" t="s">
        <v>36</v>
      </c>
      <c r="AC31" t="s">
        <v>578</v>
      </c>
      <c r="AD31" t="s">
        <v>36</v>
      </c>
      <c r="AE31" t="s">
        <v>578</v>
      </c>
      <c r="AF31" t="s">
        <v>86</v>
      </c>
      <c r="AG31" t="s">
        <v>311</v>
      </c>
      <c r="AH31" t="s">
        <v>160</v>
      </c>
      <c r="AI31" s="4">
        <f ca="1">data[[#This Row],[Expiry Date]]-TODAY()</f>
        <v>29</v>
      </c>
      <c r="AJ31" s="4">
        <f ca="1">data[[#This Row],[Maturity ( Days)]]/365</f>
        <v>7.9452054794520555E-2</v>
      </c>
      <c r="AK31" s="4" t="str">
        <f ca="1">IF(data[[#This Row],[Option Type]]="put","p","c")</f>
        <v>c</v>
      </c>
      <c r="AL31" s="4">
        <f ca="1">(data[[#This Row],[Bid]]*data[[#This Row],[Asksize]]+data[[#This Row],[Ask]]*data[[#This Row],[Bidsize]])/(data[[#This Row],[Bidsize]]+data[[#This Row],[Asksize]])</f>
        <v>475.14823529411763</v>
      </c>
      <c r="AM31" s="4">
        <f ca="1">VALUE(data[[#This Row],[Strike]])</f>
        <v>3600</v>
      </c>
      <c r="AN31" s="56">
        <f ca="1"/>
        <v>472.41347643476547</v>
      </c>
      <c r="AO31" s="57" t="str">
        <f ca="1"/>
        <v>c</v>
      </c>
      <c r="AP31" s="57">
        <f ca="1"/>
        <v>0.24813111988963729</v>
      </c>
      <c r="AQ31" s="58">
        <f ca="1"/>
        <v>0.96278714807687726</v>
      </c>
      <c r="AR31" s="58">
        <f ca="1"/>
        <v>2.8553010511107104E-4</v>
      </c>
      <c r="AS31" s="58">
        <f ca="1"/>
        <v>0.93100376500011284</v>
      </c>
      <c r="AT31" s="56">
        <f ca="1"/>
        <v>-49.258328028617548</v>
      </c>
      <c r="AU31" s="56">
        <f ca="1"/>
        <v>273.21931405661059</v>
      </c>
    </row>
    <row r="32" spans="1:47" x14ac:dyDescent="0.3">
      <c r="A32" t="s">
        <v>401</v>
      </c>
      <c r="B32" t="s">
        <v>402</v>
      </c>
      <c r="C32" t="s">
        <v>57</v>
      </c>
      <c r="D32" t="s">
        <v>84</v>
      </c>
      <c r="E32" t="s">
        <v>84</v>
      </c>
      <c r="F32" t="s">
        <v>121</v>
      </c>
      <c r="G32" t="s">
        <v>707</v>
      </c>
      <c r="H32" t="s">
        <v>708</v>
      </c>
      <c r="J32" t="s">
        <v>587</v>
      </c>
      <c r="K32" t="s">
        <v>285</v>
      </c>
      <c r="L32" t="s">
        <v>315</v>
      </c>
      <c r="M32" t="s">
        <v>84</v>
      </c>
      <c r="N32" t="s">
        <v>56</v>
      </c>
      <c r="O32" t="s">
        <v>36</v>
      </c>
      <c r="Q32" t="s">
        <v>84</v>
      </c>
      <c r="V32" t="s">
        <v>49</v>
      </c>
      <c r="X32" t="s">
        <v>84</v>
      </c>
      <c r="Z32" t="s">
        <v>84</v>
      </c>
      <c r="AA32" t="s">
        <v>84</v>
      </c>
      <c r="AB32" t="s">
        <v>36</v>
      </c>
      <c r="AC32" t="s">
        <v>578</v>
      </c>
      <c r="AD32" t="s">
        <v>36</v>
      </c>
      <c r="AE32" t="s">
        <v>578</v>
      </c>
      <c r="AF32" t="s">
        <v>86</v>
      </c>
      <c r="AG32" t="s">
        <v>311</v>
      </c>
      <c r="AH32" t="s">
        <v>160</v>
      </c>
      <c r="AI32" s="4">
        <f ca="1">data[[#This Row],[Expiry Date]]-TODAY()</f>
        <v>29</v>
      </c>
      <c r="AJ32" s="4">
        <f ca="1">data[[#This Row],[Maturity ( Days)]]/365</f>
        <v>7.9452054794520555E-2</v>
      </c>
      <c r="AK32" s="4" t="str">
        <f ca="1">IF(data[[#This Row],[Option Type]]="put","p","c")</f>
        <v>c</v>
      </c>
      <c r="AL32" s="4">
        <f ca="1">(data[[#This Row],[Bid]]*data[[#This Row],[Asksize]]+data[[#This Row],[Ask]]*data[[#This Row],[Bidsize]])/(data[[#This Row],[Bidsize]]+data[[#This Row],[Asksize]])</f>
        <v>429.24285714285719</v>
      </c>
      <c r="AM32" s="4">
        <f ca="1">VALUE(data[[#This Row],[Strike]])</f>
        <v>3650</v>
      </c>
      <c r="AN32" s="56">
        <f ca="1"/>
        <v>426.55620481434062</v>
      </c>
      <c r="AO32" s="57" t="str">
        <f ca="1"/>
        <v>c</v>
      </c>
      <c r="AP32" s="57">
        <f ca="1"/>
        <v>0.25864924109079396</v>
      </c>
      <c r="AQ32" s="58">
        <f ca="1"/>
        <v>0.936389410066781</v>
      </c>
      <c r="AR32" s="58">
        <f ca="1"/>
        <v>4.2035230027010715E-4</v>
      </c>
      <c r="AS32" s="58">
        <f ca="1"/>
        <v>1.4287062125929773</v>
      </c>
      <c r="AT32" s="56">
        <f ca="1"/>
        <v>-72.973193576121076</v>
      </c>
      <c r="AU32" s="56">
        <f ca="1"/>
        <v>268.3404388515014</v>
      </c>
    </row>
    <row r="33" spans="1:47" x14ac:dyDescent="0.3">
      <c r="A33" t="s">
        <v>403</v>
      </c>
      <c r="B33" t="s">
        <v>404</v>
      </c>
      <c r="C33" t="s">
        <v>29</v>
      </c>
      <c r="D33" t="s">
        <v>84</v>
      </c>
      <c r="E33" t="s">
        <v>84</v>
      </c>
      <c r="F33" t="s">
        <v>121</v>
      </c>
      <c r="G33" t="s">
        <v>709</v>
      </c>
      <c r="H33" t="s">
        <v>306</v>
      </c>
      <c r="J33" t="s">
        <v>131</v>
      </c>
      <c r="K33" t="s">
        <v>632</v>
      </c>
      <c r="L33" t="s">
        <v>315</v>
      </c>
      <c r="M33" t="s">
        <v>84</v>
      </c>
      <c r="N33" t="s">
        <v>56</v>
      </c>
      <c r="O33" t="s">
        <v>36</v>
      </c>
      <c r="Q33" t="s">
        <v>84</v>
      </c>
      <c r="V33" t="s">
        <v>49</v>
      </c>
      <c r="X33" t="s">
        <v>84</v>
      </c>
      <c r="Z33" t="s">
        <v>84</v>
      </c>
      <c r="AA33" t="s">
        <v>84</v>
      </c>
      <c r="AB33" t="s">
        <v>36</v>
      </c>
      <c r="AC33" t="s">
        <v>578</v>
      </c>
      <c r="AD33" t="s">
        <v>36</v>
      </c>
      <c r="AE33" t="s">
        <v>578</v>
      </c>
      <c r="AF33" t="s">
        <v>86</v>
      </c>
      <c r="AG33" t="s">
        <v>311</v>
      </c>
      <c r="AH33" t="s">
        <v>160</v>
      </c>
      <c r="AI33" s="4">
        <f ca="1">data[[#This Row],[Expiry Date]]-TODAY()</f>
        <v>29</v>
      </c>
      <c r="AJ33" s="4">
        <f ca="1">data[[#This Row],[Maturity ( Days)]]/365</f>
        <v>7.9452054794520555E-2</v>
      </c>
      <c r="AK33" s="4" t="str">
        <f ca="1">IF(data[[#This Row],[Option Type]]="put","p","c")</f>
        <v>p</v>
      </c>
      <c r="AL33" s="4">
        <f ca="1">(data[[#This Row],[Bid]]*data[[#This Row],[Asksize]]+data[[#This Row],[Ask]]*data[[#This Row],[Bidsize]])/(data[[#This Row],[Bidsize]]+data[[#This Row],[Asksize]])</f>
        <v>18.599186991869917</v>
      </c>
      <c r="AM33" s="4">
        <f ca="1">VALUE(data[[#This Row],[Strike]])</f>
        <v>3650</v>
      </c>
      <c r="AN33" s="56">
        <f ca="1"/>
        <v>18.949694375902254</v>
      </c>
      <c r="AO33" s="57" t="str">
        <f ca="1"/>
        <v>p</v>
      </c>
      <c r="AP33" s="57">
        <f ca="1"/>
        <v>0.31812689233639724</v>
      </c>
      <c r="AQ33" s="58">
        <f ca="1"/>
        <v>-0.10470228441742246</v>
      </c>
      <c r="AR33" s="58">
        <f ca="1"/>
        <v>4.9739825638095935E-4</v>
      </c>
      <c r="AS33" s="58">
        <f ca="1"/>
        <v>2.0793276946176444</v>
      </c>
      <c r="AT33" s="56">
        <f ca="1"/>
        <v>-112.83196195113922</v>
      </c>
      <c r="AU33" s="56">
        <f ca="1"/>
        <v>-35.295337591311551</v>
      </c>
    </row>
    <row r="34" spans="1:47" x14ac:dyDescent="0.3">
      <c r="A34" t="s">
        <v>405</v>
      </c>
      <c r="B34" t="s">
        <v>406</v>
      </c>
      <c r="C34" t="s">
        <v>57</v>
      </c>
      <c r="D34" t="s">
        <v>84</v>
      </c>
      <c r="E34" t="s">
        <v>84</v>
      </c>
      <c r="F34" t="s">
        <v>139</v>
      </c>
      <c r="G34" t="s">
        <v>710</v>
      </c>
      <c r="H34" t="s">
        <v>711</v>
      </c>
      <c r="J34" t="s">
        <v>94</v>
      </c>
      <c r="K34" t="s">
        <v>94</v>
      </c>
      <c r="L34" t="s">
        <v>315</v>
      </c>
      <c r="M34" t="s">
        <v>84</v>
      </c>
      <c r="N34" t="s">
        <v>56</v>
      </c>
      <c r="O34" t="s">
        <v>36</v>
      </c>
      <c r="Q34" t="s">
        <v>84</v>
      </c>
      <c r="V34" t="s">
        <v>49</v>
      </c>
      <c r="X34" t="s">
        <v>84</v>
      </c>
      <c r="Z34" t="s">
        <v>84</v>
      </c>
      <c r="AA34" t="s">
        <v>84</v>
      </c>
      <c r="AB34" t="s">
        <v>36</v>
      </c>
      <c r="AC34" t="s">
        <v>578</v>
      </c>
      <c r="AD34" t="s">
        <v>36</v>
      </c>
      <c r="AE34" t="s">
        <v>578</v>
      </c>
      <c r="AF34" t="s">
        <v>86</v>
      </c>
      <c r="AG34" t="s">
        <v>311</v>
      </c>
      <c r="AH34" t="s">
        <v>160</v>
      </c>
      <c r="AI34" s="4">
        <f ca="1">data[[#This Row],[Expiry Date]]-TODAY()</f>
        <v>29</v>
      </c>
      <c r="AJ34" s="4">
        <f ca="1">data[[#This Row],[Maturity ( Days)]]/365</f>
        <v>7.9452054794520555E-2</v>
      </c>
      <c r="AK34" s="4" t="str">
        <f ca="1">IF(data[[#This Row],[Option Type]]="put","p","c")</f>
        <v>c</v>
      </c>
      <c r="AL34" s="4">
        <f ca="1">(data[[#This Row],[Bid]]*data[[#This Row],[Asksize]]+data[[#This Row],[Ask]]*data[[#This Row],[Bidsize]])/(data[[#This Row],[Bidsize]]+data[[#This Row],[Asksize]])</f>
        <v>384.29999999999995</v>
      </c>
      <c r="AM34" s="4">
        <f ca="1">VALUE(data[[#This Row],[Strike]])</f>
        <v>3700</v>
      </c>
      <c r="AN34" s="56">
        <f ca="1"/>
        <v>381.67300296109897</v>
      </c>
      <c r="AO34" s="57" t="str">
        <f ca="1"/>
        <v>c</v>
      </c>
      <c r="AP34" s="57">
        <f ca="1"/>
        <v>0.26240280675948785</v>
      </c>
      <c r="AQ34" s="58">
        <f ca="1"/>
        <v>0.9066553284140737</v>
      </c>
      <c r="AR34" s="58">
        <f ca="1"/>
        <v>5.5443714794354735E-4</v>
      </c>
      <c r="AS34" s="58">
        <f ca="1"/>
        <v>1.9117851918146622</v>
      </c>
      <c r="AT34" s="56">
        <f ca="1"/>
        <v>-95.544999171247881</v>
      </c>
      <c r="AU34" s="56">
        <f ca="1"/>
        <v>262.30748319951886</v>
      </c>
    </row>
    <row r="35" spans="1:47" x14ac:dyDescent="0.3">
      <c r="A35" t="s">
        <v>407</v>
      </c>
      <c r="B35" t="s">
        <v>408</v>
      </c>
      <c r="C35" t="s">
        <v>29</v>
      </c>
      <c r="D35" t="s">
        <v>84</v>
      </c>
      <c r="E35" t="s">
        <v>84</v>
      </c>
      <c r="F35" t="s">
        <v>139</v>
      </c>
      <c r="G35" t="s">
        <v>712</v>
      </c>
      <c r="H35" t="s">
        <v>93</v>
      </c>
      <c r="J35" t="s">
        <v>651</v>
      </c>
      <c r="K35" t="s">
        <v>713</v>
      </c>
      <c r="L35" t="s">
        <v>315</v>
      </c>
      <c r="M35" t="s">
        <v>84</v>
      </c>
      <c r="N35" t="s">
        <v>56</v>
      </c>
      <c r="O35" t="s">
        <v>36</v>
      </c>
      <c r="Q35" t="s">
        <v>84</v>
      </c>
      <c r="V35" t="s">
        <v>49</v>
      </c>
      <c r="X35" t="s">
        <v>84</v>
      </c>
      <c r="Z35" t="s">
        <v>84</v>
      </c>
      <c r="AA35" t="s">
        <v>84</v>
      </c>
      <c r="AB35" t="s">
        <v>36</v>
      </c>
      <c r="AC35" t="s">
        <v>578</v>
      </c>
      <c r="AD35" t="s">
        <v>36</v>
      </c>
      <c r="AE35" t="s">
        <v>578</v>
      </c>
      <c r="AF35" t="s">
        <v>86</v>
      </c>
      <c r="AG35" t="s">
        <v>311</v>
      </c>
      <c r="AH35" t="s">
        <v>160</v>
      </c>
      <c r="AI35" s="4">
        <f ca="1">data[[#This Row],[Expiry Date]]-TODAY()</f>
        <v>29</v>
      </c>
      <c r="AJ35" s="4">
        <f ca="1">data[[#This Row],[Maturity ( Days)]]/365</f>
        <v>7.9452054794520555E-2</v>
      </c>
      <c r="AK35" s="4" t="str">
        <f ca="1">IF(data[[#This Row],[Option Type]]="put","p","c")</f>
        <v>p</v>
      </c>
      <c r="AL35" s="4">
        <f ca="1">(data[[#This Row],[Bid]]*data[[#This Row],[Asksize]]+data[[#This Row],[Ask]]*data[[#This Row],[Bidsize]])/(data[[#This Row],[Bidsize]]+data[[#This Row],[Asksize]])</f>
        <v>23.538728323699424</v>
      </c>
      <c r="AM35" s="4">
        <f ca="1">VALUE(data[[#This Row],[Strike]])</f>
        <v>3700</v>
      </c>
      <c r="AN35" s="56">
        <f ca="1"/>
        <v>23.972933665847449</v>
      </c>
      <c r="AO35" s="57" t="str">
        <f ca="1"/>
        <v>p</v>
      </c>
      <c r="AP35" s="57">
        <f ca="1"/>
        <v>0.31045723778131479</v>
      </c>
      <c r="AQ35" s="58">
        <f ca="1"/>
        <v>-0.12954421680767847</v>
      </c>
      <c r="AR35" s="58">
        <f ca="1"/>
        <v>5.9273866832712074E-4</v>
      </c>
      <c r="AS35" s="58">
        <f ca="1"/>
        <v>2.4181506048946448</v>
      </c>
      <c r="AT35" s="56">
        <f ca="1"/>
        <v>-127.92812381381542</v>
      </c>
      <c r="AU35" s="56">
        <f ca="1"/>
        <v>-43.711452625730708</v>
      </c>
    </row>
    <row r="36" spans="1:47" x14ac:dyDescent="0.3">
      <c r="A36" t="s">
        <v>409</v>
      </c>
      <c r="B36" t="s">
        <v>410</v>
      </c>
      <c r="C36" t="s">
        <v>57</v>
      </c>
      <c r="D36" t="s">
        <v>84</v>
      </c>
      <c r="E36" t="s">
        <v>84</v>
      </c>
      <c r="F36" t="s">
        <v>122</v>
      </c>
      <c r="G36" t="s">
        <v>714</v>
      </c>
      <c r="H36" t="s">
        <v>715</v>
      </c>
      <c r="J36" t="s">
        <v>111</v>
      </c>
      <c r="K36" t="s">
        <v>111</v>
      </c>
      <c r="L36" t="s">
        <v>315</v>
      </c>
      <c r="M36" t="s">
        <v>84</v>
      </c>
      <c r="N36" t="s">
        <v>56</v>
      </c>
      <c r="O36" t="s">
        <v>36</v>
      </c>
      <c r="Q36" t="s">
        <v>84</v>
      </c>
      <c r="V36" t="s">
        <v>49</v>
      </c>
      <c r="X36" t="s">
        <v>84</v>
      </c>
      <c r="Z36" t="s">
        <v>84</v>
      </c>
      <c r="AA36" t="s">
        <v>84</v>
      </c>
      <c r="AB36" t="s">
        <v>36</v>
      </c>
      <c r="AC36" t="s">
        <v>578</v>
      </c>
      <c r="AD36" t="s">
        <v>36</v>
      </c>
      <c r="AE36" t="s">
        <v>578</v>
      </c>
      <c r="AF36" t="s">
        <v>86</v>
      </c>
      <c r="AG36" t="s">
        <v>311</v>
      </c>
      <c r="AH36" t="s">
        <v>160</v>
      </c>
      <c r="AI36" s="4">
        <f ca="1">data[[#This Row],[Expiry Date]]-TODAY()</f>
        <v>29</v>
      </c>
      <c r="AJ36" s="4">
        <f ca="1">data[[#This Row],[Maturity ( Days)]]/365</f>
        <v>7.9452054794520555E-2</v>
      </c>
      <c r="AK36" s="4" t="str">
        <f ca="1">IF(data[[#This Row],[Option Type]]="put","p","c")</f>
        <v>c</v>
      </c>
      <c r="AL36" s="4">
        <f ca="1">(data[[#This Row],[Bid]]*data[[#This Row],[Asksize]]+data[[#This Row],[Ask]]*data[[#This Row],[Bidsize]])/(data[[#This Row],[Bidsize]]+data[[#This Row],[Asksize]])</f>
        <v>340.55</v>
      </c>
      <c r="AM36" s="4">
        <f ca="1">VALUE(data[[#This Row],[Strike]])</f>
        <v>3750</v>
      </c>
      <c r="AN36" s="56">
        <f ca="1"/>
        <v>337.99830247881891</v>
      </c>
      <c r="AO36" s="57" t="str">
        <f ca="1"/>
        <v>c</v>
      </c>
      <c r="AP36" s="57">
        <f ca="1"/>
        <v>0.26272672353410631</v>
      </c>
      <c r="AQ36" s="58">
        <f ca="1"/>
        <v>0.87236526756150645</v>
      </c>
      <c r="AR36" s="58">
        <f ca="1"/>
        <v>6.9324249942205617E-4</v>
      </c>
      <c r="AS36" s="58">
        <f ca="1"/>
        <v>2.3933583310878852</v>
      </c>
      <c r="AT36" s="56">
        <f ca="1"/>
        <v>-117.20367698864924</v>
      </c>
      <c r="AU36" s="56">
        <f ca="1"/>
        <v>254.70821849340001</v>
      </c>
    </row>
    <row r="37" spans="1:47" x14ac:dyDescent="0.3">
      <c r="A37" t="s">
        <v>411</v>
      </c>
      <c r="B37" t="s">
        <v>412</v>
      </c>
      <c r="C37" t="s">
        <v>29</v>
      </c>
      <c r="D37" t="s">
        <v>84</v>
      </c>
      <c r="E37" t="s">
        <v>84</v>
      </c>
      <c r="F37" t="s">
        <v>122</v>
      </c>
      <c r="G37" t="s">
        <v>716</v>
      </c>
      <c r="H37" t="s">
        <v>717</v>
      </c>
      <c r="J37" t="s">
        <v>718</v>
      </c>
      <c r="K37" t="s">
        <v>116</v>
      </c>
      <c r="L37" t="s">
        <v>315</v>
      </c>
      <c r="M37" t="s">
        <v>84</v>
      </c>
      <c r="N37" t="s">
        <v>56</v>
      </c>
      <c r="O37" t="s">
        <v>36</v>
      </c>
      <c r="Q37" t="s">
        <v>84</v>
      </c>
      <c r="V37" t="s">
        <v>49</v>
      </c>
      <c r="X37" t="s">
        <v>84</v>
      </c>
      <c r="Z37" t="s">
        <v>84</v>
      </c>
      <c r="AA37" t="s">
        <v>84</v>
      </c>
      <c r="AB37" t="s">
        <v>36</v>
      </c>
      <c r="AC37" t="s">
        <v>578</v>
      </c>
      <c r="AD37" t="s">
        <v>36</v>
      </c>
      <c r="AE37" t="s">
        <v>578</v>
      </c>
      <c r="AF37" t="s">
        <v>86</v>
      </c>
      <c r="AG37" t="s">
        <v>311</v>
      </c>
      <c r="AH37" t="s">
        <v>160</v>
      </c>
      <c r="AI37" s="4">
        <f ca="1">data[[#This Row],[Expiry Date]]-TODAY()</f>
        <v>29</v>
      </c>
      <c r="AJ37" s="4">
        <f ca="1">data[[#This Row],[Maturity ( Days)]]/365</f>
        <v>7.9452054794520555E-2</v>
      </c>
      <c r="AK37" s="4" t="str">
        <f ca="1">IF(data[[#This Row],[Option Type]]="put","p","c")</f>
        <v>p</v>
      </c>
      <c r="AL37" s="4">
        <f ca="1">(data[[#This Row],[Bid]]*data[[#This Row],[Asksize]]+data[[#This Row],[Ask]]*data[[#This Row],[Bidsize]])/(data[[#This Row],[Bidsize]]+data[[#This Row],[Asksize]])</f>
        <v>29.873170731707322</v>
      </c>
      <c r="AM37" s="4">
        <f ca="1">VALUE(data[[#This Row],[Strike]])</f>
        <v>3750</v>
      </c>
      <c r="AN37" s="56">
        <f ca="1"/>
        <v>30.409552622405499</v>
      </c>
      <c r="AO37" s="57" t="str">
        <f ca="1"/>
        <v>p</v>
      </c>
      <c r="AP37" s="57">
        <f ca="1"/>
        <v>0.30355348892643719</v>
      </c>
      <c r="AQ37" s="58">
        <f ca="1"/>
        <v>-0.15977847999539874</v>
      </c>
      <c r="AR37" s="58">
        <f ca="1"/>
        <v>6.9831697015255512E-4</v>
      </c>
      <c r="AS37" s="58">
        <f ca="1"/>
        <v>2.7855189764588952</v>
      </c>
      <c r="AT37" s="56">
        <f ca="1"/>
        <v>-143.92231217403636</v>
      </c>
      <c r="AU37" s="56">
        <f ca="1"/>
        <v>-53.980060517845139</v>
      </c>
    </row>
    <row r="38" spans="1:47" x14ac:dyDescent="0.3">
      <c r="A38" t="s">
        <v>413</v>
      </c>
      <c r="B38" t="s">
        <v>414</v>
      </c>
      <c r="C38" t="s">
        <v>29</v>
      </c>
      <c r="D38" t="s">
        <v>84</v>
      </c>
      <c r="E38" t="s">
        <v>84</v>
      </c>
      <c r="F38" t="s">
        <v>194</v>
      </c>
      <c r="G38" t="s">
        <v>719</v>
      </c>
      <c r="H38" t="s">
        <v>720</v>
      </c>
      <c r="J38" t="s">
        <v>590</v>
      </c>
      <c r="K38" t="s">
        <v>276</v>
      </c>
      <c r="L38" t="s">
        <v>315</v>
      </c>
      <c r="M38" t="s">
        <v>84</v>
      </c>
      <c r="N38" t="s">
        <v>56</v>
      </c>
      <c r="O38" t="s">
        <v>36</v>
      </c>
      <c r="Q38" t="s">
        <v>84</v>
      </c>
      <c r="V38" t="s">
        <v>49</v>
      </c>
      <c r="X38" t="s">
        <v>84</v>
      </c>
      <c r="Z38" t="s">
        <v>84</v>
      </c>
      <c r="AA38" t="s">
        <v>84</v>
      </c>
      <c r="AB38" t="s">
        <v>36</v>
      </c>
      <c r="AC38" t="s">
        <v>578</v>
      </c>
      <c r="AD38" t="s">
        <v>36</v>
      </c>
      <c r="AE38" t="s">
        <v>578</v>
      </c>
      <c r="AF38" t="s">
        <v>86</v>
      </c>
      <c r="AG38" t="s">
        <v>311</v>
      </c>
      <c r="AH38" t="s">
        <v>160</v>
      </c>
      <c r="AI38" s="4">
        <f ca="1">data[[#This Row],[Expiry Date]]-TODAY()</f>
        <v>29</v>
      </c>
      <c r="AJ38" s="4">
        <f ca="1">data[[#This Row],[Maturity ( Days)]]/365</f>
        <v>7.9452054794520555E-2</v>
      </c>
      <c r="AK38" s="4" t="str">
        <f ca="1">IF(data[[#This Row],[Option Type]]="put","p","c")</f>
        <v>p</v>
      </c>
      <c r="AL38" s="4">
        <f ca="1">(data[[#This Row],[Bid]]*data[[#This Row],[Asksize]]+data[[#This Row],[Ask]]*data[[#This Row],[Bidsize]])/(data[[#This Row],[Bidsize]]+data[[#This Row],[Asksize]])</f>
        <v>33.478947368421053</v>
      </c>
      <c r="AM38" s="4">
        <f ca="1">VALUE(data[[#This Row],[Strike]])</f>
        <v>3775</v>
      </c>
      <c r="AN38" s="56">
        <f ca="1"/>
        <v>34.072385950549233</v>
      </c>
      <c r="AO38" s="57" t="str">
        <f ca="1"/>
        <v>p</v>
      </c>
      <c r="AP38" s="57">
        <f ca="1"/>
        <v>0.2997615382059366</v>
      </c>
      <c r="AQ38" s="58">
        <f ca="1"/>
        <v>-0.17664007253909986</v>
      </c>
      <c r="AR38" s="58">
        <f ca="1"/>
        <v>7.5430975450946434E-4</v>
      </c>
      <c r="AS38" s="58">
        <f ca="1"/>
        <v>2.9712823898289078</v>
      </c>
      <c r="AT38" s="56">
        <f ca="1"/>
        <v>-151.50416501632188</v>
      </c>
      <c r="AU38" s="56">
        <f ca="1"/>
        <v>-59.712650843038986</v>
      </c>
    </row>
    <row r="39" spans="1:47" x14ac:dyDescent="0.3">
      <c r="A39" t="s">
        <v>415</v>
      </c>
      <c r="B39" t="s">
        <v>416</v>
      </c>
      <c r="C39" t="s">
        <v>57</v>
      </c>
      <c r="D39" t="s">
        <v>84</v>
      </c>
      <c r="E39" t="s">
        <v>84</v>
      </c>
      <c r="F39" t="s">
        <v>194</v>
      </c>
      <c r="G39" t="s">
        <v>721</v>
      </c>
      <c r="H39" t="s">
        <v>722</v>
      </c>
      <c r="J39" t="s">
        <v>111</v>
      </c>
      <c r="K39" t="s">
        <v>111</v>
      </c>
      <c r="L39" t="s">
        <v>315</v>
      </c>
      <c r="M39" t="s">
        <v>84</v>
      </c>
      <c r="N39" t="s">
        <v>56</v>
      </c>
      <c r="O39" t="s">
        <v>36</v>
      </c>
      <c r="Q39" t="s">
        <v>84</v>
      </c>
      <c r="V39" t="s">
        <v>49</v>
      </c>
      <c r="X39" t="s">
        <v>84</v>
      </c>
      <c r="Z39" t="s">
        <v>84</v>
      </c>
      <c r="AA39" t="s">
        <v>84</v>
      </c>
      <c r="AB39" t="s">
        <v>36</v>
      </c>
      <c r="AC39" t="s">
        <v>578</v>
      </c>
      <c r="AD39" t="s">
        <v>36</v>
      </c>
      <c r="AE39" t="s">
        <v>578</v>
      </c>
      <c r="AF39" t="s">
        <v>86</v>
      </c>
      <c r="AG39" t="s">
        <v>311</v>
      </c>
      <c r="AH39" t="s">
        <v>160</v>
      </c>
      <c r="AI39" s="4">
        <f ca="1">data[[#This Row],[Expiry Date]]-TODAY()</f>
        <v>29</v>
      </c>
      <c r="AJ39" s="4">
        <f ca="1">data[[#This Row],[Maturity ( Days)]]/365</f>
        <v>7.9452054794520555E-2</v>
      </c>
      <c r="AK39" s="4" t="str">
        <f ca="1">IF(data[[#This Row],[Option Type]]="put","p","c")</f>
        <v>c</v>
      </c>
      <c r="AL39" s="4">
        <f ca="1">(data[[#This Row],[Bid]]*data[[#This Row],[Asksize]]+data[[#This Row],[Ask]]*data[[#This Row],[Bidsize]])/(data[[#This Row],[Bidsize]]+data[[#This Row],[Asksize]])</f>
        <v>319.3</v>
      </c>
      <c r="AM39" s="4">
        <f ca="1">VALUE(data[[#This Row],[Strike]])</f>
        <v>3775</v>
      </c>
      <c r="AN39" s="56">
        <f ca="1"/>
        <v>316.79389104670327</v>
      </c>
      <c r="AO39" s="57" t="str">
        <f ca="1"/>
        <v>c</v>
      </c>
      <c r="AP39" s="57">
        <f ca="1"/>
        <v>0.26243226308321721</v>
      </c>
      <c r="AQ39" s="58">
        <f ca="1"/>
        <v>0.85291372984478353</v>
      </c>
      <c r="AR39" s="58">
        <f ca="1"/>
        <v>7.6463927507084838E-4</v>
      </c>
      <c r="AS39" s="58">
        <f ca="1"/>
        <v>2.6368906692455818</v>
      </c>
      <c r="AT39" s="56">
        <f ca="1"/>
        <v>-127.94271307864612</v>
      </c>
      <c r="AU39" s="56">
        <f ca="1"/>
        <v>250.11395047733032</v>
      </c>
    </row>
    <row r="40" spans="1:47" x14ac:dyDescent="0.3">
      <c r="A40" t="s">
        <v>417</v>
      </c>
      <c r="B40" t="s">
        <v>418</v>
      </c>
      <c r="C40" t="s">
        <v>57</v>
      </c>
      <c r="D40" t="s">
        <v>84</v>
      </c>
      <c r="E40" t="s">
        <v>84</v>
      </c>
      <c r="F40" t="s">
        <v>103</v>
      </c>
      <c r="G40" t="s">
        <v>723</v>
      </c>
      <c r="H40" t="s">
        <v>724</v>
      </c>
      <c r="J40" t="s">
        <v>111</v>
      </c>
      <c r="K40" t="s">
        <v>111</v>
      </c>
      <c r="L40" t="s">
        <v>315</v>
      </c>
      <c r="M40" t="s">
        <v>84</v>
      </c>
      <c r="N40" t="s">
        <v>56</v>
      </c>
      <c r="O40" t="s">
        <v>36</v>
      </c>
      <c r="Q40" t="s">
        <v>84</v>
      </c>
      <c r="V40" t="s">
        <v>49</v>
      </c>
      <c r="X40" t="s">
        <v>84</v>
      </c>
      <c r="Z40" t="s">
        <v>84</v>
      </c>
      <c r="AA40" t="s">
        <v>84</v>
      </c>
      <c r="AB40" t="s">
        <v>36</v>
      </c>
      <c r="AC40" t="s">
        <v>578</v>
      </c>
      <c r="AD40" t="s">
        <v>36</v>
      </c>
      <c r="AE40" t="s">
        <v>578</v>
      </c>
      <c r="AF40" t="s">
        <v>86</v>
      </c>
      <c r="AG40" t="s">
        <v>311</v>
      </c>
      <c r="AH40" t="s">
        <v>160</v>
      </c>
      <c r="AI40" s="4">
        <f ca="1">data[[#This Row],[Expiry Date]]-TODAY()</f>
        <v>29</v>
      </c>
      <c r="AJ40" s="4">
        <f ca="1">data[[#This Row],[Maturity ( Days)]]/365</f>
        <v>7.9452054794520555E-2</v>
      </c>
      <c r="AK40" s="4" t="str">
        <f ca="1">IF(data[[#This Row],[Option Type]]="put","p","c")</f>
        <v>c</v>
      </c>
      <c r="AL40" s="4">
        <f ca="1">(data[[#This Row],[Bid]]*data[[#This Row],[Asksize]]+data[[#This Row],[Ask]]*data[[#This Row],[Bidsize]])/(data[[#This Row],[Bidsize]]+data[[#This Row],[Asksize]])</f>
        <v>298.55</v>
      </c>
      <c r="AM40" s="4">
        <f ca="1">VALUE(data[[#This Row],[Strike]])</f>
        <v>3800</v>
      </c>
      <c r="AN40" s="56">
        <f ca="1"/>
        <v>296.09534666916716</v>
      </c>
      <c r="AO40" s="57" t="str">
        <f ca="1"/>
        <v>c</v>
      </c>
      <c r="AP40" s="57">
        <f ca="1"/>
        <v>0.26201899674234352</v>
      </c>
      <c r="AQ40" s="58">
        <f ca="1"/>
        <v>0.83176857272131421</v>
      </c>
      <c r="AR40" s="58">
        <f ca="1"/>
        <v>8.3652981595298598E-4</v>
      </c>
      <c r="AS40" s="58">
        <f ca="1"/>
        <v>2.8802653560093523</v>
      </c>
      <c r="AT40" s="56">
        <f ca="1"/>
        <v>-138.57064864228732</v>
      </c>
      <c r="AU40" s="56">
        <f ca="1"/>
        <v>244.93293438158574</v>
      </c>
    </row>
    <row r="41" spans="1:47" x14ac:dyDescent="0.3">
      <c r="A41" t="s">
        <v>419</v>
      </c>
      <c r="B41" t="s">
        <v>420</v>
      </c>
      <c r="C41" t="s">
        <v>29</v>
      </c>
      <c r="D41" t="s">
        <v>84</v>
      </c>
      <c r="E41" t="s">
        <v>84</v>
      </c>
      <c r="F41" t="s">
        <v>103</v>
      </c>
      <c r="G41" t="s">
        <v>725</v>
      </c>
      <c r="H41" t="s">
        <v>142</v>
      </c>
      <c r="J41" t="s">
        <v>100</v>
      </c>
      <c r="K41" t="s">
        <v>92</v>
      </c>
      <c r="L41" t="s">
        <v>315</v>
      </c>
      <c r="M41" t="s">
        <v>84</v>
      </c>
      <c r="N41" t="s">
        <v>56</v>
      </c>
      <c r="O41" t="s">
        <v>36</v>
      </c>
      <c r="Q41" t="s">
        <v>84</v>
      </c>
      <c r="V41" t="s">
        <v>49</v>
      </c>
      <c r="X41" t="s">
        <v>84</v>
      </c>
      <c r="Z41" t="s">
        <v>84</v>
      </c>
      <c r="AA41" t="s">
        <v>84</v>
      </c>
      <c r="AB41" t="s">
        <v>36</v>
      </c>
      <c r="AC41" t="s">
        <v>578</v>
      </c>
      <c r="AD41" t="s">
        <v>36</v>
      </c>
      <c r="AE41" t="s">
        <v>578</v>
      </c>
      <c r="AF41" t="s">
        <v>86</v>
      </c>
      <c r="AG41" t="s">
        <v>311</v>
      </c>
      <c r="AH41" t="s">
        <v>160</v>
      </c>
      <c r="AI41" s="4">
        <f ca="1">data[[#This Row],[Expiry Date]]-TODAY()</f>
        <v>29</v>
      </c>
      <c r="AJ41" s="4">
        <f ca="1">data[[#This Row],[Maturity ( Days)]]/365</f>
        <v>7.9452054794520555E-2</v>
      </c>
      <c r="AK41" s="4" t="str">
        <f ca="1">IF(data[[#This Row],[Option Type]]="put","p","c")</f>
        <v>p</v>
      </c>
      <c r="AL41" s="4">
        <f ca="1">(data[[#This Row],[Bid]]*data[[#This Row],[Asksize]]+data[[#This Row],[Ask]]*data[[#This Row],[Bidsize]])/(data[[#This Row],[Bidsize]]+data[[#This Row],[Asksize]])</f>
        <v>37.666666666666664</v>
      </c>
      <c r="AM41" s="4">
        <f ca="1">VALUE(data[[#This Row],[Strike]])</f>
        <v>3800</v>
      </c>
      <c r="AN41" s="56">
        <f ca="1"/>
        <v>38.323601181292815</v>
      </c>
      <c r="AO41" s="57" t="str">
        <f ca="1"/>
        <v>p</v>
      </c>
      <c r="AP41" s="57">
        <f ca="1"/>
        <v>0.296582946621402</v>
      </c>
      <c r="AQ41" s="58">
        <f ca="1"/>
        <v>-0.19535337903326533</v>
      </c>
      <c r="AR41" s="58">
        <f ca="1"/>
        <v>8.115230733571876E-4</v>
      </c>
      <c r="AS41" s="58">
        <f ca="1"/>
        <v>3.1627534953996888</v>
      </c>
      <c r="AT41" s="56">
        <f ca="1"/>
        <v>-159.44660905870742</v>
      </c>
      <c r="AU41" s="56">
        <f ca="1"/>
        <v>-66.089562430550004</v>
      </c>
    </row>
    <row r="42" spans="1:47" x14ac:dyDescent="0.3">
      <c r="A42" t="s">
        <v>421</v>
      </c>
      <c r="B42" t="s">
        <v>422</v>
      </c>
      <c r="C42" t="s">
        <v>57</v>
      </c>
      <c r="D42" t="s">
        <v>84</v>
      </c>
      <c r="E42" t="s">
        <v>84</v>
      </c>
      <c r="F42" t="s">
        <v>423</v>
      </c>
      <c r="G42" t="s">
        <v>726</v>
      </c>
      <c r="H42" t="s">
        <v>727</v>
      </c>
      <c r="J42" t="s">
        <v>102</v>
      </c>
      <c r="K42" t="s">
        <v>106</v>
      </c>
      <c r="L42" t="s">
        <v>315</v>
      </c>
      <c r="M42" t="s">
        <v>84</v>
      </c>
      <c r="N42" t="s">
        <v>56</v>
      </c>
      <c r="O42" t="s">
        <v>36</v>
      </c>
      <c r="Q42" t="s">
        <v>84</v>
      </c>
      <c r="V42" t="s">
        <v>49</v>
      </c>
      <c r="X42" t="s">
        <v>84</v>
      </c>
      <c r="Z42" t="s">
        <v>84</v>
      </c>
      <c r="AA42" t="s">
        <v>84</v>
      </c>
      <c r="AB42" t="s">
        <v>36</v>
      </c>
      <c r="AC42" t="s">
        <v>578</v>
      </c>
      <c r="AD42" t="s">
        <v>36</v>
      </c>
      <c r="AE42" t="s">
        <v>578</v>
      </c>
      <c r="AF42" t="s">
        <v>86</v>
      </c>
      <c r="AG42" t="s">
        <v>311</v>
      </c>
      <c r="AH42" t="s">
        <v>160</v>
      </c>
      <c r="AI42" s="4">
        <f ca="1">data[[#This Row],[Expiry Date]]-TODAY()</f>
        <v>29</v>
      </c>
      <c r="AJ42" s="4">
        <f ca="1">data[[#This Row],[Maturity ( Days)]]/365</f>
        <v>7.9452054794520555E-2</v>
      </c>
      <c r="AK42" s="4" t="str">
        <f ca="1">IF(data[[#This Row],[Option Type]]="put","p","c")</f>
        <v>c</v>
      </c>
      <c r="AL42" s="4">
        <f ca="1">(data[[#This Row],[Bid]]*data[[#This Row],[Asksize]]+data[[#This Row],[Ask]]*data[[#This Row],[Bidsize]])/(data[[#This Row],[Bidsize]]+data[[#This Row],[Asksize]])</f>
        <v>278.34516129032261</v>
      </c>
      <c r="AM42" s="4">
        <f ca="1">VALUE(data[[#This Row],[Strike]])</f>
        <v>3825</v>
      </c>
      <c r="AN42" s="56">
        <f ca="1"/>
        <v>275.94790461443563</v>
      </c>
      <c r="AO42" s="57" t="str">
        <f ca="1"/>
        <v>c</v>
      </c>
      <c r="AP42" s="57">
        <f ca="1"/>
        <v>0.26151790938849706</v>
      </c>
      <c r="AQ42" s="58">
        <f ca="1"/>
        <v>0.80891948343111009</v>
      </c>
      <c r="AR42" s="58">
        <f ca="1"/>
        <v>9.0799446827935677E-4</v>
      </c>
      <c r="AS42" s="58">
        <f ca="1"/>
        <v>3.1203473034019868</v>
      </c>
      <c r="AT42" s="56">
        <f ca="1"/>
        <v>-148.94765031588608</v>
      </c>
      <c r="AU42" s="56">
        <f ca="1"/>
        <v>239.1582507517937</v>
      </c>
    </row>
    <row r="43" spans="1:47" x14ac:dyDescent="0.3">
      <c r="A43" t="s">
        <v>424</v>
      </c>
      <c r="B43" t="s">
        <v>425</v>
      </c>
      <c r="C43" t="s">
        <v>29</v>
      </c>
      <c r="D43" t="s">
        <v>84</v>
      </c>
      <c r="E43" t="s">
        <v>84</v>
      </c>
      <c r="F43" t="s">
        <v>423</v>
      </c>
      <c r="G43" t="s">
        <v>728</v>
      </c>
      <c r="H43" t="s">
        <v>729</v>
      </c>
      <c r="J43" t="s">
        <v>275</v>
      </c>
      <c r="K43" t="s">
        <v>293</v>
      </c>
      <c r="L43" t="s">
        <v>315</v>
      </c>
      <c r="M43" t="s">
        <v>84</v>
      </c>
      <c r="N43" t="s">
        <v>56</v>
      </c>
      <c r="O43" t="s">
        <v>36</v>
      </c>
      <c r="Q43" t="s">
        <v>84</v>
      </c>
      <c r="V43" t="s">
        <v>49</v>
      </c>
      <c r="X43" t="s">
        <v>84</v>
      </c>
      <c r="Z43" t="s">
        <v>84</v>
      </c>
      <c r="AA43" t="s">
        <v>84</v>
      </c>
      <c r="AB43" t="s">
        <v>36</v>
      </c>
      <c r="AC43" t="s">
        <v>578</v>
      </c>
      <c r="AD43" t="s">
        <v>36</v>
      </c>
      <c r="AE43" t="s">
        <v>578</v>
      </c>
      <c r="AF43" t="s">
        <v>86</v>
      </c>
      <c r="AG43" t="s">
        <v>311</v>
      </c>
      <c r="AH43" t="s">
        <v>160</v>
      </c>
      <c r="AI43" s="4">
        <f ca="1">data[[#This Row],[Expiry Date]]-TODAY()</f>
        <v>29</v>
      </c>
      <c r="AJ43" s="4">
        <f ca="1">data[[#This Row],[Maturity ( Days)]]/365</f>
        <v>7.9452054794520555E-2</v>
      </c>
      <c r="AK43" s="4" t="str">
        <f ca="1">IF(data[[#This Row],[Option Type]]="put","p","c")</f>
        <v>p</v>
      </c>
      <c r="AL43" s="4">
        <f ca="1">(data[[#This Row],[Bid]]*data[[#This Row],[Asksize]]+data[[#This Row],[Ask]]*data[[#This Row],[Bidsize]])/(data[[#This Row],[Bidsize]]+data[[#This Row],[Asksize]])</f>
        <v>42.190909090909088</v>
      </c>
      <c r="AM43" s="4">
        <f ca="1">VALUE(data[[#This Row],[Strike]])</f>
        <v>3825</v>
      </c>
      <c r="AN43" s="56">
        <f ca="1"/>
        <v>42.915508286730528</v>
      </c>
      <c r="AO43" s="57" t="str">
        <f ca="1"/>
        <v>p</v>
      </c>
      <c r="AP43" s="57">
        <f ca="1"/>
        <v>0.29307112035643046</v>
      </c>
      <c r="AQ43" s="58">
        <f ca="1"/>
        <v>-0.21527619040023993</v>
      </c>
      <c r="AR43" s="58">
        <f ca="1"/>
        <v>8.7003079971293773E-4</v>
      </c>
      <c r="AS43" s="58">
        <f ca="1"/>
        <v>3.3506259538573588</v>
      </c>
      <c r="AT43" s="56">
        <f ca="1"/>
        <v>-166.79023142118302</v>
      </c>
      <c r="AU43" s="56">
        <f ca="1"/>
        <v>-72.883869005165593</v>
      </c>
    </row>
    <row r="44" spans="1:47" x14ac:dyDescent="0.3">
      <c r="A44" t="s">
        <v>426</v>
      </c>
      <c r="B44" t="s">
        <v>427</v>
      </c>
      <c r="C44" t="s">
        <v>57</v>
      </c>
      <c r="D44" t="s">
        <v>84</v>
      </c>
      <c r="E44" t="s">
        <v>84</v>
      </c>
      <c r="F44" t="s">
        <v>123</v>
      </c>
      <c r="G44" t="s">
        <v>730</v>
      </c>
      <c r="H44" t="s">
        <v>731</v>
      </c>
      <c r="J44" t="s">
        <v>99</v>
      </c>
      <c r="K44" t="s">
        <v>109</v>
      </c>
      <c r="L44" t="s">
        <v>315</v>
      </c>
      <c r="M44" t="s">
        <v>84</v>
      </c>
      <c r="N44" t="s">
        <v>56</v>
      </c>
      <c r="O44" t="s">
        <v>36</v>
      </c>
      <c r="Q44" t="s">
        <v>84</v>
      </c>
      <c r="V44" t="s">
        <v>49</v>
      </c>
      <c r="X44" t="s">
        <v>84</v>
      </c>
      <c r="Z44" t="s">
        <v>84</v>
      </c>
      <c r="AA44" t="s">
        <v>84</v>
      </c>
      <c r="AB44" t="s">
        <v>36</v>
      </c>
      <c r="AC44" t="s">
        <v>578</v>
      </c>
      <c r="AD44" t="s">
        <v>36</v>
      </c>
      <c r="AE44" t="s">
        <v>578</v>
      </c>
      <c r="AF44" t="s">
        <v>86</v>
      </c>
      <c r="AG44" t="s">
        <v>311</v>
      </c>
      <c r="AH44" t="s">
        <v>160</v>
      </c>
      <c r="AI44" s="4">
        <f ca="1">data[[#This Row],[Expiry Date]]-TODAY()</f>
        <v>29</v>
      </c>
      <c r="AJ44" s="4">
        <f ca="1">data[[#This Row],[Maturity ( Days)]]/365</f>
        <v>7.9452054794520555E-2</v>
      </c>
      <c r="AK44" s="4" t="str">
        <f ca="1">IF(data[[#This Row],[Option Type]]="put","p","c")</f>
        <v>c</v>
      </c>
      <c r="AL44" s="4">
        <f ca="1">(data[[#This Row],[Bid]]*data[[#This Row],[Asksize]]+data[[#This Row],[Ask]]*data[[#This Row],[Bidsize]])/(data[[#This Row],[Bidsize]]+data[[#This Row],[Asksize]])</f>
        <v>258.63750000000005</v>
      </c>
      <c r="AM44" s="4">
        <f ca="1">VALUE(data[[#This Row],[Strike]])</f>
        <v>3850</v>
      </c>
      <c r="AN44" s="56">
        <f ca="1"/>
        <v>256.30276596125896</v>
      </c>
      <c r="AO44" s="57" t="str">
        <f ca="1"/>
        <v>c</v>
      </c>
      <c r="AP44" s="57">
        <f ca="1"/>
        <v>0.26067369821947545</v>
      </c>
      <c r="AQ44" s="58">
        <f ca="1"/>
        <v>0.78460782398449624</v>
      </c>
      <c r="AR44" s="58">
        <f ca="1"/>
        <v>9.7846697265057585E-4</v>
      </c>
      <c r="AS44" s="58">
        <f ca="1"/>
        <v>3.351673308285088</v>
      </c>
      <c r="AT44" s="56">
        <f ca="1"/>
        <v>-158.6731774697522</v>
      </c>
      <c r="AU44" s="56">
        <f ca="1"/>
        <v>232.87166930453606</v>
      </c>
    </row>
    <row r="45" spans="1:47" x14ac:dyDescent="0.3">
      <c r="A45" t="s">
        <v>428</v>
      </c>
      <c r="B45" t="s">
        <v>429</v>
      </c>
      <c r="C45" t="s">
        <v>29</v>
      </c>
      <c r="D45" t="s">
        <v>84</v>
      </c>
      <c r="E45" t="s">
        <v>84</v>
      </c>
      <c r="F45" t="s">
        <v>123</v>
      </c>
      <c r="G45" t="s">
        <v>732</v>
      </c>
      <c r="H45" t="s">
        <v>659</v>
      </c>
      <c r="J45" t="s">
        <v>100</v>
      </c>
      <c r="K45" t="s">
        <v>99</v>
      </c>
      <c r="L45" t="s">
        <v>315</v>
      </c>
      <c r="M45" t="s">
        <v>84</v>
      </c>
      <c r="N45" t="s">
        <v>56</v>
      </c>
      <c r="O45" t="s">
        <v>36</v>
      </c>
      <c r="Q45" t="s">
        <v>84</v>
      </c>
      <c r="V45" t="s">
        <v>49</v>
      </c>
      <c r="X45" t="s">
        <v>84</v>
      </c>
      <c r="Z45" t="s">
        <v>84</v>
      </c>
      <c r="AA45" t="s">
        <v>84</v>
      </c>
      <c r="AB45" t="s">
        <v>36</v>
      </c>
      <c r="AC45" t="s">
        <v>578</v>
      </c>
      <c r="AD45" t="s">
        <v>36</v>
      </c>
      <c r="AE45" t="s">
        <v>578</v>
      </c>
      <c r="AF45" t="s">
        <v>86</v>
      </c>
      <c r="AG45" t="s">
        <v>311</v>
      </c>
      <c r="AH45" t="s">
        <v>160</v>
      </c>
      <c r="AI45" s="4">
        <f ca="1">data[[#This Row],[Expiry Date]]-TODAY()</f>
        <v>29</v>
      </c>
      <c r="AJ45" s="4">
        <f ca="1">data[[#This Row],[Maturity ( Days)]]/365</f>
        <v>7.9452054794520555E-2</v>
      </c>
      <c r="AK45" s="4" t="str">
        <f ca="1">IF(data[[#This Row],[Option Type]]="put","p","c")</f>
        <v>p</v>
      </c>
      <c r="AL45" s="4">
        <f ca="1">(data[[#This Row],[Bid]]*data[[#This Row],[Asksize]]+data[[#This Row],[Ask]]*data[[#This Row],[Bidsize]])/(data[[#This Row],[Bidsize]]+data[[#This Row],[Asksize]])</f>
        <v>47.34390243902439</v>
      </c>
      <c r="AM45" s="4">
        <f ca="1">VALUE(data[[#This Row],[Strike]])</f>
        <v>3850</v>
      </c>
      <c r="AN45" s="56">
        <f ca="1"/>
        <v>48.142465998176249</v>
      </c>
      <c r="AO45" s="57" t="str">
        <f ca="1"/>
        <v>p</v>
      </c>
      <c r="AP45" s="57">
        <f ca="1"/>
        <v>0.2900093806438736</v>
      </c>
      <c r="AQ45" s="58">
        <f ca="1"/>
        <v>-0.23699367570677166</v>
      </c>
      <c r="AR45" s="58">
        <f ca="1"/>
        <v>9.2830885846735892E-4</v>
      </c>
      <c r="AS45" s="58">
        <f ca="1"/>
        <v>3.5377149510732964</v>
      </c>
      <c r="AT45" s="56">
        <f ca="1"/>
        <v>-174.12003395292405</v>
      </c>
      <c r="AU45" s="56">
        <f ca="1"/>
        <v>-80.307793095738518</v>
      </c>
    </row>
    <row r="46" spans="1:47" x14ac:dyDescent="0.3">
      <c r="A46" t="s">
        <v>430</v>
      </c>
      <c r="B46" t="s">
        <v>431</v>
      </c>
      <c r="C46" t="s">
        <v>57</v>
      </c>
      <c r="D46" t="s">
        <v>84</v>
      </c>
      <c r="E46" t="s">
        <v>84</v>
      </c>
      <c r="F46" t="s">
        <v>197</v>
      </c>
      <c r="G46" t="s">
        <v>582</v>
      </c>
      <c r="H46" t="s">
        <v>733</v>
      </c>
      <c r="J46" t="s">
        <v>99</v>
      </c>
      <c r="K46" t="s">
        <v>109</v>
      </c>
      <c r="L46" t="s">
        <v>315</v>
      </c>
      <c r="M46" t="s">
        <v>84</v>
      </c>
      <c r="N46" t="s">
        <v>56</v>
      </c>
      <c r="O46" t="s">
        <v>36</v>
      </c>
      <c r="Q46" t="s">
        <v>84</v>
      </c>
      <c r="V46" t="s">
        <v>49</v>
      </c>
      <c r="X46" t="s">
        <v>84</v>
      </c>
      <c r="Z46" t="s">
        <v>84</v>
      </c>
      <c r="AA46" t="s">
        <v>84</v>
      </c>
      <c r="AB46" t="s">
        <v>36</v>
      </c>
      <c r="AC46" t="s">
        <v>578</v>
      </c>
      <c r="AD46" t="s">
        <v>36</v>
      </c>
      <c r="AE46" t="s">
        <v>578</v>
      </c>
      <c r="AF46" t="s">
        <v>86</v>
      </c>
      <c r="AG46" t="s">
        <v>311</v>
      </c>
      <c r="AH46" t="s">
        <v>160</v>
      </c>
      <c r="AI46" s="4">
        <f ca="1">data[[#This Row],[Expiry Date]]-TODAY()</f>
        <v>29</v>
      </c>
      <c r="AJ46" s="4">
        <f ca="1">data[[#This Row],[Maturity ( Days)]]/365</f>
        <v>7.9452054794520555E-2</v>
      </c>
      <c r="AK46" s="4" t="str">
        <f ca="1">IF(data[[#This Row],[Option Type]]="put","p","c")</f>
        <v>c</v>
      </c>
      <c r="AL46" s="4">
        <f ca="1">(data[[#This Row],[Bid]]*data[[#This Row],[Asksize]]+data[[#This Row],[Ask]]*data[[#This Row],[Bidsize]])/(data[[#This Row],[Bidsize]]+data[[#This Row],[Asksize]])</f>
        <v>250.83750000000001</v>
      </c>
      <c r="AM46" s="4">
        <f ca="1">VALUE(data[[#This Row],[Strike]])</f>
        <v>3860</v>
      </c>
      <c r="AN46" s="56">
        <f ca="1"/>
        <v>248.52869994985804</v>
      </c>
      <c r="AO46" s="57" t="str">
        <f ca="1"/>
        <v>c</v>
      </c>
      <c r="AP46" s="57">
        <f ca="1"/>
        <v>0.260063292925519</v>
      </c>
      <c r="AQ46" s="58">
        <f ca="1"/>
        <v>0.7746174392553653</v>
      </c>
      <c r="AR46" s="58">
        <f ca="1"/>
        <v>1.006588076397768E-3</v>
      </c>
      <c r="AS46" s="58">
        <f ca="1"/>
        <v>3.4399262792445557</v>
      </c>
      <c r="AT46" s="56">
        <f ca="1"/>
        <v>-162.18760043078228</v>
      </c>
      <c r="AU46" s="56">
        <f ca="1"/>
        <v>230.26461182228724</v>
      </c>
    </row>
    <row r="47" spans="1:47" x14ac:dyDescent="0.3">
      <c r="A47" t="s">
        <v>432</v>
      </c>
      <c r="B47" t="s">
        <v>433</v>
      </c>
      <c r="C47" t="s">
        <v>29</v>
      </c>
      <c r="D47" t="s">
        <v>84</v>
      </c>
      <c r="E47" t="s">
        <v>84</v>
      </c>
      <c r="F47" t="s">
        <v>197</v>
      </c>
      <c r="G47" t="s">
        <v>734</v>
      </c>
      <c r="H47" t="s">
        <v>735</v>
      </c>
      <c r="J47" t="s">
        <v>293</v>
      </c>
      <c r="K47" t="s">
        <v>100</v>
      </c>
      <c r="L47" t="s">
        <v>315</v>
      </c>
      <c r="M47" t="s">
        <v>84</v>
      </c>
      <c r="N47" t="s">
        <v>56</v>
      </c>
      <c r="O47" t="s">
        <v>36</v>
      </c>
      <c r="Q47" t="s">
        <v>84</v>
      </c>
      <c r="V47" t="s">
        <v>49</v>
      </c>
      <c r="X47" t="s">
        <v>84</v>
      </c>
      <c r="Z47" t="s">
        <v>84</v>
      </c>
      <c r="AA47" t="s">
        <v>84</v>
      </c>
      <c r="AB47" t="s">
        <v>36</v>
      </c>
      <c r="AC47" t="s">
        <v>578</v>
      </c>
      <c r="AD47" t="s">
        <v>36</v>
      </c>
      <c r="AE47" t="s">
        <v>578</v>
      </c>
      <c r="AF47" t="s">
        <v>86</v>
      </c>
      <c r="AG47" t="s">
        <v>311</v>
      </c>
      <c r="AH47" t="s">
        <v>160</v>
      </c>
      <c r="AI47" s="4">
        <f ca="1">data[[#This Row],[Expiry Date]]-TODAY()</f>
        <v>29</v>
      </c>
      <c r="AJ47" s="4">
        <f ca="1">data[[#This Row],[Maturity ( Days)]]/365</f>
        <v>7.9452054794520555E-2</v>
      </c>
      <c r="AK47" s="4" t="str">
        <f ca="1">IF(data[[#This Row],[Option Type]]="put","p","c")</f>
        <v>p</v>
      </c>
      <c r="AL47" s="4">
        <f ca="1">(data[[#This Row],[Bid]]*data[[#This Row],[Asksize]]+data[[#This Row],[Ask]]*data[[#This Row],[Bidsize]])/(data[[#This Row],[Bidsize]]+data[[#This Row],[Asksize]])</f>
        <v>49.274418604651167</v>
      </c>
      <c r="AM47" s="4">
        <f ca="1">VALUE(data[[#This Row],[Strike]])</f>
        <v>3860</v>
      </c>
      <c r="AN47" s="56">
        <f ca="1"/>
        <v>50.102152238290273</v>
      </c>
      <c r="AO47" s="57" t="str">
        <f ca="1"/>
        <v>p</v>
      </c>
      <c r="AP47" s="57">
        <f ca="1"/>
        <v>0.28801640865070743</v>
      </c>
      <c r="AQ47" s="58">
        <f ca="1"/>
        <v>-0.24558639495617807</v>
      </c>
      <c r="AR47" s="58">
        <f ca="1"/>
        <v>9.5300000218450948E-4</v>
      </c>
      <c r="AS47" s="58">
        <f ca="1"/>
        <v>3.6068528848479815</v>
      </c>
      <c r="AT47" s="56">
        <f ca="1"/>
        <v>-176.2365994237847</v>
      </c>
      <c r="AU47" s="56">
        <f ca="1"/>
        <v>-83.236529425045532</v>
      </c>
    </row>
    <row r="48" spans="1:47" x14ac:dyDescent="0.3">
      <c r="A48" t="s">
        <v>434</v>
      </c>
      <c r="B48" t="s">
        <v>435</v>
      </c>
      <c r="C48" t="s">
        <v>29</v>
      </c>
      <c r="D48" t="s">
        <v>84</v>
      </c>
      <c r="E48" t="s">
        <v>84</v>
      </c>
      <c r="F48" t="s">
        <v>195</v>
      </c>
      <c r="G48" t="s">
        <v>591</v>
      </c>
      <c r="H48" t="s">
        <v>736</v>
      </c>
      <c r="J48" t="s">
        <v>104</v>
      </c>
      <c r="K48" t="s">
        <v>101</v>
      </c>
      <c r="L48" t="s">
        <v>315</v>
      </c>
      <c r="M48" t="s">
        <v>84</v>
      </c>
      <c r="N48" t="s">
        <v>56</v>
      </c>
      <c r="O48" t="s">
        <v>36</v>
      </c>
      <c r="Q48" t="s">
        <v>84</v>
      </c>
      <c r="V48" t="s">
        <v>49</v>
      </c>
      <c r="X48" t="s">
        <v>84</v>
      </c>
      <c r="Z48" t="s">
        <v>84</v>
      </c>
      <c r="AA48" t="s">
        <v>84</v>
      </c>
      <c r="AB48" t="s">
        <v>36</v>
      </c>
      <c r="AC48" t="s">
        <v>578</v>
      </c>
      <c r="AD48" t="s">
        <v>36</v>
      </c>
      <c r="AE48" t="s">
        <v>578</v>
      </c>
      <c r="AF48" t="s">
        <v>86</v>
      </c>
      <c r="AG48" t="s">
        <v>311</v>
      </c>
      <c r="AH48" t="s">
        <v>160</v>
      </c>
      <c r="AI48" s="4">
        <f ca="1">data[[#This Row],[Expiry Date]]-TODAY()</f>
        <v>29</v>
      </c>
      <c r="AJ48" s="4">
        <f ca="1">data[[#This Row],[Maturity ( Days)]]/365</f>
        <v>7.9452054794520555E-2</v>
      </c>
      <c r="AK48" s="4" t="str">
        <f ca="1">IF(data[[#This Row],[Option Type]]="put","p","c")</f>
        <v>p</v>
      </c>
      <c r="AL48" s="4">
        <f ca="1">(data[[#This Row],[Bid]]*data[[#This Row],[Asksize]]+data[[#This Row],[Ask]]*data[[#This Row],[Bidsize]])/(data[[#This Row],[Bidsize]]+data[[#This Row],[Asksize]])</f>
        <v>51.49545454545455</v>
      </c>
      <c r="AM48" s="4">
        <f ca="1">VALUE(data[[#This Row],[Strike]])</f>
        <v>3870</v>
      </c>
      <c r="AN48" s="56">
        <f ca="1"/>
        <v>52.354669719782123</v>
      </c>
      <c r="AO48" s="57" t="str">
        <f ca="1"/>
        <v>p</v>
      </c>
      <c r="AP48" s="57">
        <f ca="1"/>
        <v>0.28661239721441878</v>
      </c>
      <c r="AQ48" s="58">
        <f ca="1"/>
        <v>-0.25482127689203105</v>
      </c>
      <c r="AR48" s="58">
        <f ca="1"/>
        <v>9.7660196424973443E-4</v>
      </c>
      <c r="AS48" s="58">
        <f ca="1"/>
        <v>3.6781620691514627</v>
      </c>
      <c r="AT48" s="56">
        <f ca="1"/>
        <v>-178.77826926408068</v>
      </c>
      <c r="AU48" s="56">
        <f ca="1"/>
        <v>-86.395760771265969</v>
      </c>
    </row>
    <row r="49" spans="1:47" x14ac:dyDescent="0.3">
      <c r="A49" t="s">
        <v>436</v>
      </c>
      <c r="B49" t="s">
        <v>437</v>
      </c>
      <c r="C49" t="s">
        <v>57</v>
      </c>
      <c r="D49" t="s">
        <v>84</v>
      </c>
      <c r="E49" t="s">
        <v>84</v>
      </c>
      <c r="F49" t="s">
        <v>195</v>
      </c>
      <c r="G49" t="s">
        <v>737</v>
      </c>
      <c r="H49" t="s">
        <v>738</v>
      </c>
      <c r="J49" t="s">
        <v>83</v>
      </c>
      <c r="K49" t="s">
        <v>111</v>
      </c>
      <c r="L49" t="s">
        <v>315</v>
      </c>
      <c r="M49" t="s">
        <v>84</v>
      </c>
      <c r="N49" t="s">
        <v>56</v>
      </c>
      <c r="O49" t="s">
        <v>36</v>
      </c>
      <c r="Q49" t="s">
        <v>84</v>
      </c>
      <c r="V49" t="s">
        <v>49</v>
      </c>
      <c r="X49" t="s">
        <v>84</v>
      </c>
      <c r="Z49" t="s">
        <v>84</v>
      </c>
      <c r="AA49" t="s">
        <v>84</v>
      </c>
      <c r="AB49" t="s">
        <v>36</v>
      </c>
      <c r="AC49" t="s">
        <v>578</v>
      </c>
      <c r="AD49" t="s">
        <v>36</v>
      </c>
      <c r="AE49" t="s">
        <v>578</v>
      </c>
      <c r="AF49" t="s">
        <v>86</v>
      </c>
      <c r="AG49" t="s">
        <v>311</v>
      </c>
      <c r="AH49" t="s">
        <v>160</v>
      </c>
      <c r="AI49" s="4">
        <f ca="1">data[[#This Row],[Expiry Date]]-TODAY()</f>
        <v>29</v>
      </c>
      <c r="AJ49" s="4">
        <f ca="1">data[[#This Row],[Maturity ( Days)]]/365</f>
        <v>7.9452054794520555E-2</v>
      </c>
      <c r="AK49" s="4" t="str">
        <f ca="1">IF(data[[#This Row],[Option Type]]="put","p","c")</f>
        <v>c</v>
      </c>
      <c r="AL49" s="4">
        <f ca="1">(data[[#This Row],[Bid]]*data[[#This Row],[Asksize]]+data[[#This Row],[Ask]]*data[[#This Row],[Bidsize]])/(data[[#This Row],[Bidsize]]+data[[#This Row],[Asksize]])</f>
        <v>242.81818181818181</v>
      </c>
      <c r="AM49" s="4">
        <f ca="1">VALUE(data[[#This Row],[Strike]])</f>
        <v>3870</v>
      </c>
      <c r="AN49" s="56">
        <f ca="1"/>
        <v>240.53375898746117</v>
      </c>
      <c r="AO49" s="57" t="str">
        <f ca="1"/>
        <v>c</v>
      </c>
      <c r="AP49" s="57">
        <f ca="1"/>
        <v>0.25854003322820002</v>
      </c>
      <c r="AQ49" s="58">
        <f ca="1"/>
        <v>0.76505229096981631</v>
      </c>
      <c r="AR49" s="58">
        <f ca="1"/>
        <v>1.0363382896049244E-3</v>
      </c>
      <c r="AS49" s="58">
        <f ca="1"/>
        <v>3.5208509565009281</v>
      </c>
      <c r="AT49" s="56">
        <f ca="1"/>
        <v>-164.80682818513085</v>
      </c>
      <c r="AU49" s="56">
        <f ca="1"/>
        <v>227.8123274433361</v>
      </c>
    </row>
    <row r="50" spans="1:47" x14ac:dyDescent="0.3">
      <c r="A50" t="s">
        <v>438</v>
      </c>
      <c r="B50" t="s">
        <v>439</v>
      </c>
      <c r="C50" t="s">
        <v>29</v>
      </c>
      <c r="D50" t="s">
        <v>84</v>
      </c>
      <c r="E50" t="s">
        <v>84</v>
      </c>
      <c r="F50" t="s">
        <v>198</v>
      </c>
      <c r="G50" t="s">
        <v>592</v>
      </c>
      <c r="H50" t="s">
        <v>305</v>
      </c>
      <c r="J50" t="s">
        <v>114</v>
      </c>
      <c r="K50" t="s">
        <v>114</v>
      </c>
      <c r="L50" t="s">
        <v>315</v>
      </c>
      <c r="M50" t="s">
        <v>84</v>
      </c>
      <c r="N50" t="s">
        <v>56</v>
      </c>
      <c r="O50" t="s">
        <v>36</v>
      </c>
      <c r="Q50" t="s">
        <v>84</v>
      </c>
      <c r="V50" t="s">
        <v>49</v>
      </c>
      <c r="X50" t="s">
        <v>84</v>
      </c>
      <c r="Z50" t="s">
        <v>84</v>
      </c>
      <c r="AA50" t="s">
        <v>84</v>
      </c>
      <c r="AB50" t="s">
        <v>36</v>
      </c>
      <c r="AC50" t="s">
        <v>578</v>
      </c>
      <c r="AD50" t="s">
        <v>36</v>
      </c>
      <c r="AE50" t="s">
        <v>578</v>
      </c>
      <c r="AF50" t="s">
        <v>86</v>
      </c>
      <c r="AG50" t="s">
        <v>311</v>
      </c>
      <c r="AH50" t="s">
        <v>160</v>
      </c>
      <c r="AI50" s="4">
        <f ca="1">data[[#This Row],[Expiry Date]]-TODAY()</f>
        <v>29</v>
      </c>
      <c r="AJ50" s="4">
        <f ca="1">data[[#This Row],[Maturity ( Days)]]/365</f>
        <v>7.9452054794520555E-2</v>
      </c>
      <c r="AK50" s="4" t="str">
        <f ca="1">IF(data[[#This Row],[Option Type]]="put","p","c")</f>
        <v>p</v>
      </c>
      <c r="AL50" s="4">
        <f ca="1">(data[[#This Row],[Bid]]*data[[#This Row],[Asksize]]+data[[#This Row],[Ask]]*data[[#This Row],[Bidsize]])/(data[[#This Row],[Bidsize]]+data[[#This Row],[Asksize]])</f>
        <v>54.05</v>
      </c>
      <c r="AM50" s="4">
        <f ca="1">VALUE(data[[#This Row],[Strike]])</f>
        <v>3880</v>
      </c>
      <c r="AN50" s="56">
        <f ca="1"/>
        <v>54.943109166836166</v>
      </c>
      <c r="AO50" s="57" t="str">
        <f ca="1"/>
        <v>p</v>
      </c>
      <c r="AP50" s="57">
        <f ca="1"/>
        <v>0.28587214874345779</v>
      </c>
      <c r="AQ50" s="58">
        <f ca="1"/>
        <v>-0.2647181298327278</v>
      </c>
      <c r="AR50" s="58">
        <f ca="1"/>
        <v>9.9857473385976171E-4</v>
      </c>
      <c r="AS50" s="58">
        <f ca="1"/>
        <v>3.7512042839893183</v>
      </c>
      <c r="AT50" s="56">
        <f ca="1"/>
        <v>-181.7916369574489</v>
      </c>
      <c r="AU50" s="56">
        <f ca="1"/>
        <v>-89.795300871052376</v>
      </c>
    </row>
    <row r="51" spans="1:47" x14ac:dyDescent="0.3">
      <c r="A51" t="s">
        <v>440</v>
      </c>
      <c r="B51" t="s">
        <v>441</v>
      </c>
      <c r="C51" t="s">
        <v>57</v>
      </c>
      <c r="D51" t="s">
        <v>84</v>
      </c>
      <c r="E51" t="s">
        <v>84</v>
      </c>
      <c r="F51" t="s">
        <v>198</v>
      </c>
      <c r="G51" t="s">
        <v>739</v>
      </c>
      <c r="H51" t="s">
        <v>740</v>
      </c>
      <c r="J51" t="s">
        <v>97</v>
      </c>
      <c r="K51" t="s">
        <v>83</v>
      </c>
      <c r="L51" t="s">
        <v>315</v>
      </c>
      <c r="M51" t="s">
        <v>84</v>
      </c>
      <c r="N51" t="s">
        <v>56</v>
      </c>
      <c r="O51" t="s">
        <v>36</v>
      </c>
      <c r="Q51" t="s">
        <v>84</v>
      </c>
      <c r="V51" t="s">
        <v>49</v>
      </c>
      <c r="X51" t="s">
        <v>84</v>
      </c>
      <c r="Z51" t="s">
        <v>84</v>
      </c>
      <c r="AA51" t="s">
        <v>84</v>
      </c>
      <c r="AB51" t="s">
        <v>36</v>
      </c>
      <c r="AC51" t="s">
        <v>578</v>
      </c>
      <c r="AD51" t="s">
        <v>36</v>
      </c>
      <c r="AE51" t="s">
        <v>578</v>
      </c>
      <c r="AF51" t="s">
        <v>86</v>
      </c>
      <c r="AG51" t="s">
        <v>311</v>
      </c>
      <c r="AH51" t="s">
        <v>160</v>
      </c>
      <c r="AI51" s="4">
        <f ca="1">data[[#This Row],[Expiry Date]]-TODAY()</f>
        <v>29</v>
      </c>
      <c r="AJ51" s="4">
        <f ca="1">data[[#This Row],[Maturity ( Days)]]/365</f>
        <v>7.9452054794520555E-2</v>
      </c>
      <c r="AK51" s="4" t="str">
        <f ca="1">IF(data[[#This Row],[Option Type]]="put","p","c")</f>
        <v>c</v>
      </c>
      <c r="AL51" s="4">
        <f ca="1">(data[[#This Row],[Bid]]*data[[#This Row],[Asksize]]+data[[#This Row],[Ask]]*data[[#This Row],[Bidsize]])/(data[[#This Row],[Bidsize]]+data[[#This Row],[Asksize]])</f>
        <v>235.41176470588235</v>
      </c>
      <c r="AM51" s="4">
        <f ca="1">VALUE(data[[#This Row],[Strike]])</f>
        <v>3880</v>
      </c>
      <c r="AN51" s="56">
        <f ca="1"/>
        <v>233.15678932004994</v>
      </c>
      <c r="AO51" s="57" t="str">
        <f ca="1"/>
        <v>c</v>
      </c>
      <c r="AP51" s="57">
        <f ca="1"/>
        <v>0.2584855618736408</v>
      </c>
      <c r="AQ51" s="58">
        <f ca="1"/>
        <v>0.75407421799915086</v>
      </c>
      <c r="AR51" s="58">
        <f ca="1"/>
        <v>1.0626636921140149E-3</v>
      </c>
      <c r="AS51" s="58">
        <f ca="1"/>
        <v>3.6095281128358803</v>
      </c>
      <c r="AT51" s="56">
        <f ca="1"/>
        <v>-168.62373170258275</v>
      </c>
      <c r="AU51" s="56">
        <f ca="1"/>
        <v>224.854984753678</v>
      </c>
    </row>
    <row r="52" spans="1:47" x14ac:dyDescent="0.3">
      <c r="A52" t="s">
        <v>442</v>
      </c>
      <c r="B52" t="s">
        <v>443</v>
      </c>
      <c r="C52" t="s">
        <v>57</v>
      </c>
      <c r="D52" t="s">
        <v>84</v>
      </c>
      <c r="E52" t="s">
        <v>84</v>
      </c>
      <c r="F52" t="s">
        <v>196</v>
      </c>
      <c r="G52" t="s">
        <v>741</v>
      </c>
      <c r="H52" t="s">
        <v>742</v>
      </c>
      <c r="J52" t="s">
        <v>159</v>
      </c>
      <c r="K52" t="s">
        <v>106</v>
      </c>
      <c r="L52" t="s">
        <v>315</v>
      </c>
      <c r="M52" t="s">
        <v>84</v>
      </c>
      <c r="N52" t="s">
        <v>56</v>
      </c>
      <c r="O52" t="s">
        <v>36</v>
      </c>
      <c r="Q52" t="s">
        <v>84</v>
      </c>
      <c r="V52" t="s">
        <v>49</v>
      </c>
      <c r="X52" t="s">
        <v>84</v>
      </c>
      <c r="Z52" t="s">
        <v>84</v>
      </c>
      <c r="AA52" t="s">
        <v>84</v>
      </c>
      <c r="AB52" t="s">
        <v>36</v>
      </c>
      <c r="AC52" t="s">
        <v>578</v>
      </c>
      <c r="AD52" t="s">
        <v>36</v>
      </c>
      <c r="AE52" t="s">
        <v>578</v>
      </c>
      <c r="AF52" t="s">
        <v>86</v>
      </c>
      <c r="AG52" t="s">
        <v>311</v>
      </c>
      <c r="AH52" t="s">
        <v>160</v>
      </c>
      <c r="AI52" s="4">
        <f ca="1">data[[#This Row],[Expiry Date]]-TODAY()</f>
        <v>29</v>
      </c>
      <c r="AJ52" s="4">
        <f ca="1">data[[#This Row],[Maturity ( Days)]]/365</f>
        <v>7.9452054794520555E-2</v>
      </c>
      <c r="AK52" s="4" t="str">
        <f ca="1">IF(data[[#This Row],[Option Type]]="put","p","c")</f>
        <v>c</v>
      </c>
      <c r="AL52" s="4">
        <f ca="1">(data[[#This Row],[Bid]]*data[[#This Row],[Asksize]]+data[[#This Row],[Ask]]*data[[#This Row],[Bidsize]])/(data[[#This Row],[Bidsize]]+data[[#This Row],[Asksize]])</f>
        <v>227.58125000000001</v>
      </c>
      <c r="AM52" s="4">
        <f ca="1">VALUE(data[[#This Row],[Strike]])</f>
        <v>3890</v>
      </c>
      <c r="AN52" s="56">
        <f ca="1"/>
        <v>225.35270740900432</v>
      </c>
      <c r="AO52" s="57" t="str">
        <f ca="1"/>
        <v>c</v>
      </c>
      <c r="AP52" s="57">
        <f ca="1"/>
        <v>0.25696048808980093</v>
      </c>
      <c r="AQ52" s="58">
        <f ca="1"/>
        <v>0.74391981724971701</v>
      </c>
      <c r="AR52" s="58">
        <f ca="1"/>
        <v>1.0921054247611016E-3</v>
      </c>
      <c r="AS52" s="58">
        <f ca="1"/>
        <v>3.6876458773230616</v>
      </c>
      <c r="AT52" s="56">
        <f ca="1"/>
        <v>-171.04380723988984</v>
      </c>
      <c r="AU52" s="56">
        <f ca="1"/>
        <v>222.19737672785914</v>
      </c>
    </row>
    <row r="53" spans="1:47" x14ac:dyDescent="0.3">
      <c r="A53" t="s">
        <v>444</v>
      </c>
      <c r="B53" t="s">
        <v>445</v>
      </c>
      <c r="C53" t="s">
        <v>29</v>
      </c>
      <c r="D53" t="s">
        <v>84</v>
      </c>
      <c r="E53" t="s">
        <v>84</v>
      </c>
      <c r="F53" t="s">
        <v>196</v>
      </c>
      <c r="G53" t="s">
        <v>285</v>
      </c>
      <c r="H53" t="s">
        <v>743</v>
      </c>
      <c r="J53" t="s">
        <v>104</v>
      </c>
      <c r="K53" t="s">
        <v>114</v>
      </c>
      <c r="L53" t="s">
        <v>315</v>
      </c>
      <c r="M53" t="s">
        <v>84</v>
      </c>
      <c r="N53" t="s">
        <v>56</v>
      </c>
      <c r="O53" t="s">
        <v>36</v>
      </c>
      <c r="Q53" t="s">
        <v>84</v>
      </c>
      <c r="V53" t="s">
        <v>49</v>
      </c>
      <c r="X53" t="s">
        <v>84</v>
      </c>
      <c r="Z53" t="s">
        <v>84</v>
      </c>
      <c r="AA53" t="s">
        <v>84</v>
      </c>
      <c r="AB53" t="s">
        <v>36</v>
      </c>
      <c r="AC53" t="s">
        <v>578</v>
      </c>
      <c r="AD53" t="s">
        <v>36</v>
      </c>
      <c r="AE53" t="s">
        <v>578</v>
      </c>
      <c r="AF53" t="s">
        <v>86</v>
      </c>
      <c r="AG53" t="s">
        <v>311</v>
      </c>
      <c r="AH53" t="s">
        <v>160</v>
      </c>
      <c r="AI53" s="4">
        <f ca="1">data[[#This Row],[Expiry Date]]-TODAY()</f>
        <v>29</v>
      </c>
      <c r="AJ53" s="4">
        <f ca="1">data[[#This Row],[Maturity ( Days)]]/365</f>
        <v>7.9452054794520555E-2</v>
      </c>
      <c r="AK53" s="4" t="str">
        <f ca="1">IF(data[[#This Row],[Option Type]]="put","p","c")</f>
        <v>p</v>
      </c>
      <c r="AL53" s="4">
        <f ca="1">(data[[#This Row],[Bid]]*data[[#This Row],[Asksize]]+data[[#This Row],[Ask]]*data[[#This Row],[Bidsize]])/(data[[#This Row],[Bidsize]]+data[[#This Row],[Asksize]])</f>
        <v>56.085714285714282</v>
      </c>
      <c r="AM53" s="4">
        <f ca="1">VALUE(data[[#This Row],[Strike]])</f>
        <v>3890</v>
      </c>
      <c r="AN53" s="56">
        <f ca="1"/>
        <v>57.009789389418529</v>
      </c>
      <c r="AO53" s="57" t="str">
        <f ca="1"/>
        <v>p</v>
      </c>
      <c r="AP53" s="57">
        <f ca="1"/>
        <v>0.28350698959622966</v>
      </c>
      <c r="AQ53" s="58">
        <f ca="1"/>
        <v>-0.27384223163625032</v>
      </c>
      <c r="AR53" s="58">
        <f ca="1"/>
        <v>1.0241648257488445E-3</v>
      </c>
      <c r="AS53" s="58">
        <f ca="1"/>
        <v>3.8155040871779993</v>
      </c>
      <c r="AT53" s="56">
        <f ca="1"/>
        <v>-183.29767303191574</v>
      </c>
      <c r="AU53" s="56">
        <f ca="1"/>
        <v>-92.904026325063043</v>
      </c>
    </row>
    <row r="54" spans="1:47" x14ac:dyDescent="0.3">
      <c r="A54" t="s">
        <v>446</v>
      </c>
      <c r="B54" t="s">
        <v>447</v>
      </c>
      <c r="C54" t="s">
        <v>57</v>
      </c>
      <c r="D54" t="s">
        <v>84</v>
      </c>
      <c r="E54" t="s">
        <v>84</v>
      </c>
      <c r="F54" t="s">
        <v>107</v>
      </c>
      <c r="G54" t="s">
        <v>744</v>
      </c>
      <c r="H54" t="s">
        <v>745</v>
      </c>
      <c r="J54" t="s">
        <v>83</v>
      </c>
      <c r="K54" t="s">
        <v>111</v>
      </c>
      <c r="L54" t="s">
        <v>315</v>
      </c>
      <c r="M54" t="s">
        <v>84</v>
      </c>
      <c r="N54" t="s">
        <v>56</v>
      </c>
      <c r="O54" t="s">
        <v>36</v>
      </c>
      <c r="Q54" t="s">
        <v>84</v>
      </c>
      <c r="V54" t="s">
        <v>49</v>
      </c>
      <c r="X54" t="s">
        <v>84</v>
      </c>
      <c r="Z54" t="s">
        <v>84</v>
      </c>
      <c r="AA54" t="s">
        <v>84</v>
      </c>
      <c r="AB54" t="s">
        <v>36</v>
      </c>
      <c r="AC54" t="s">
        <v>578</v>
      </c>
      <c r="AD54" t="s">
        <v>36</v>
      </c>
      <c r="AE54" t="s">
        <v>578</v>
      </c>
      <c r="AF54" t="s">
        <v>86</v>
      </c>
      <c r="AG54" t="s">
        <v>311</v>
      </c>
      <c r="AH54" t="s">
        <v>160</v>
      </c>
      <c r="AI54" s="4">
        <f ca="1">data[[#This Row],[Expiry Date]]-TODAY()</f>
        <v>29</v>
      </c>
      <c r="AJ54" s="4">
        <f ca="1">data[[#This Row],[Maturity ( Days)]]/365</f>
        <v>7.9452054794520555E-2</v>
      </c>
      <c r="AK54" s="4" t="str">
        <f ca="1">IF(data[[#This Row],[Option Type]]="put","p","c")</f>
        <v>c</v>
      </c>
      <c r="AL54" s="4">
        <f ca="1">(data[[#This Row],[Bid]]*data[[#This Row],[Asksize]]+data[[#This Row],[Ask]]*data[[#This Row],[Bidsize]])/(data[[#This Row],[Bidsize]]+data[[#This Row],[Asksize]])</f>
        <v>220.16363636363639</v>
      </c>
      <c r="AM54" s="4">
        <f ca="1">VALUE(data[[#This Row],[Strike]])</f>
        <v>3900</v>
      </c>
      <c r="AN54" s="56">
        <f ca="1"/>
        <v>217.96481590068879</v>
      </c>
      <c r="AO54" s="57" t="str">
        <f ca="1"/>
        <v>c</v>
      </c>
      <c r="AP54" s="57">
        <f ca="1"/>
        <v>0.25628956892097821</v>
      </c>
      <c r="AQ54" s="58">
        <f ca="1"/>
        <v>0.732853052979898</v>
      </c>
      <c r="AR54" s="58">
        <f ca="1"/>
        <v>1.119002860975542E-3</v>
      </c>
      <c r="AS54" s="58">
        <f ca="1"/>
        <v>3.7686032986402695</v>
      </c>
      <c r="AT54" s="56">
        <f ca="1"/>
        <v>-174.09155481150719</v>
      </c>
      <c r="AU54" s="56">
        <f ca="1"/>
        <v>219.21227745284037</v>
      </c>
    </row>
    <row r="55" spans="1:47" x14ac:dyDescent="0.3">
      <c r="A55" t="s">
        <v>450</v>
      </c>
      <c r="B55" t="s">
        <v>451</v>
      </c>
      <c r="C55" t="s">
        <v>29</v>
      </c>
      <c r="D55" t="s">
        <v>84</v>
      </c>
      <c r="E55" t="s">
        <v>84</v>
      </c>
      <c r="F55" t="s">
        <v>162</v>
      </c>
      <c r="G55" t="s">
        <v>602</v>
      </c>
      <c r="H55" t="s">
        <v>746</v>
      </c>
      <c r="J55" t="s">
        <v>159</v>
      </c>
      <c r="K55" t="s">
        <v>159</v>
      </c>
      <c r="L55" t="s">
        <v>315</v>
      </c>
      <c r="M55" t="s">
        <v>84</v>
      </c>
      <c r="N55" t="s">
        <v>56</v>
      </c>
      <c r="O55" t="s">
        <v>36</v>
      </c>
      <c r="Q55" t="s">
        <v>84</v>
      </c>
      <c r="V55" t="s">
        <v>49</v>
      </c>
      <c r="X55" t="s">
        <v>84</v>
      </c>
      <c r="Z55" t="s">
        <v>84</v>
      </c>
      <c r="AA55" t="s">
        <v>84</v>
      </c>
      <c r="AB55" t="s">
        <v>36</v>
      </c>
      <c r="AC55" t="s">
        <v>578</v>
      </c>
      <c r="AD55" t="s">
        <v>36</v>
      </c>
      <c r="AE55" t="s">
        <v>578</v>
      </c>
      <c r="AF55" t="s">
        <v>86</v>
      </c>
      <c r="AG55" t="s">
        <v>311</v>
      </c>
      <c r="AH55" t="s">
        <v>160</v>
      </c>
      <c r="AI55" s="4">
        <f ca="1">data[[#This Row],[Expiry Date]]-TODAY()</f>
        <v>29</v>
      </c>
      <c r="AJ55" s="4">
        <f ca="1">data[[#This Row],[Maturity ( Days)]]/365</f>
        <v>7.9452054794520555E-2</v>
      </c>
      <c r="AK55" s="4" t="str">
        <f ca="1">IF(data[[#This Row],[Option Type]]="put","p","c")</f>
        <v>p</v>
      </c>
      <c r="AL55" s="4">
        <f ca="1">(data[[#This Row],[Bid]]*data[[#This Row],[Asksize]]+data[[#This Row],[Ask]]*data[[#This Row],[Bidsize]])/(data[[#This Row],[Bidsize]]+data[[#This Row],[Asksize]])</f>
        <v>61.55</v>
      </c>
      <c r="AM55" s="4">
        <f ca="1">VALUE(data[[#This Row],[Strike]])</f>
        <v>3910</v>
      </c>
      <c r="AN55" s="56">
        <f ca="1"/>
        <v>62.545299766459266</v>
      </c>
      <c r="AO55" s="57" t="str">
        <f ca="1"/>
        <v>p</v>
      </c>
      <c r="AP55" s="57">
        <f ca="1"/>
        <v>0.28171890076388134</v>
      </c>
      <c r="AQ55" s="58">
        <f ca="1"/>
        <v>-0.29461092567151792</v>
      </c>
      <c r="AR55" s="58">
        <f ca="1"/>
        <v>1.0673348958690813E-3</v>
      </c>
      <c r="AS55" s="58">
        <f ca="1"/>
        <v>3.9512543796935033</v>
      </c>
      <c r="AT55" s="56">
        <f ca="1"/>
        <v>-188.46860147404144</v>
      </c>
      <c r="AU55" s="56">
        <f ca="1"/>
        <v>-100.04623930244993</v>
      </c>
    </row>
    <row r="56" spans="1:47" x14ac:dyDescent="0.3">
      <c r="A56" t="s">
        <v>452</v>
      </c>
      <c r="B56" t="s">
        <v>453</v>
      </c>
      <c r="C56" t="s">
        <v>57</v>
      </c>
      <c r="D56" t="s">
        <v>84</v>
      </c>
      <c r="E56" t="s">
        <v>84</v>
      </c>
      <c r="F56" t="s">
        <v>162</v>
      </c>
      <c r="G56" t="s">
        <v>747</v>
      </c>
      <c r="H56" t="s">
        <v>748</v>
      </c>
      <c r="J56" t="s">
        <v>108</v>
      </c>
      <c r="K56" t="s">
        <v>293</v>
      </c>
      <c r="L56" t="s">
        <v>315</v>
      </c>
      <c r="M56" t="s">
        <v>84</v>
      </c>
      <c r="N56" t="s">
        <v>56</v>
      </c>
      <c r="O56" t="s">
        <v>36</v>
      </c>
      <c r="Q56" t="s">
        <v>84</v>
      </c>
      <c r="V56" t="s">
        <v>49</v>
      </c>
      <c r="X56" t="s">
        <v>84</v>
      </c>
      <c r="Z56" t="s">
        <v>84</v>
      </c>
      <c r="AA56" t="s">
        <v>84</v>
      </c>
      <c r="AB56" t="s">
        <v>36</v>
      </c>
      <c r="AC56" t="s">
        <v>578</v>
      </c>
      <c r="AD56" t="s">
        <v>36</v>
      </c>
      <c r="AE56" t="s">
        <v>578</v>
      </c>
      <c r="AF56" t="s">
        <v>86</v>
      </c>
      <c r="AG56" t="s">
        <v>311</v>
      </c>
      <c r="AH56" t="s">
        <v>160</v>
      </c>
      <c r="AI56" s="4">
        <f ca="1">data[[#This Row],[Expiry Date]]-TODAY()</f>
        <v>29</v>
      </c>
      <c r="AJ56" s="4">
        <f ca="1">data[[#This Row],[Maturity ( Days)]]/365</f>
        <v>7.9452054794520555E-2</v>
      </c>
      <c r="AK56" s="4" t="str">
        <f ca="1">IF(data[[#This Row],[Option Type]]="put","p","c")</f>
        <v>c</v>
      </c>
      <c r="AL56" s="4">
        <f ca="1">(data[[#This Row],[Bid]]*data[[#This Row],[Asksize]]+data[[#This Row],[Ask]]*data[[#This Row],[Bidsize]])/(data[[#This Row],[Bidsize]]+data[[#This Row],[Asksize]])</f>
        <v>212.375</v>
      </c>
      <c r="AM56" s="4">
        <f ca="1">VALUE(data[[#This Row],[Strike]])</f>
        <v>3910</v>
      </c>
      <c r="AN56" s="56">
        <f ca="1"/>
        <v>210.20368153061236</v>
      </c>
      <c r="AO56" s="57" t="str">
        <f ca="1"/>
        <v>c</v>
      </c>
      <c r="AP56" s="57">
        <f ca="1"/>
        <v>0.25435964012101614</v>
      </c>
      <c r="AQ56" s="58">
        <f ca="1"/>
        <v>0.72237674811831232</v>
      </c>
      <c r="AR56" s="58">
        <f ca="1"/>
        <v>1.1492448821951214E-3</v>
      </c>
      <c r="AS56" s="58">
        <f ca="1"/>
        <v>3.8413075221366633</v>
      </c>
      <c r="AT56" s="56">
        <f ca="1"/>
        <v>-175.93060018790874</v>
      </c>
      <c r="AU56" s="56">
        <f ca="1"/>
        <v>216.44737060599533</v>
      </c>
    </row>
    <row r="57" spans="1:47" x14ac:dyDescent="0.3">
      <c r="A57" t="s">
        <v>454</v>
      </c>
      <c r="B57" t="s">
        <v>455</v>
      </c>
      <c r="C57" t="s">
        <v>29</v>
      </c>
      <c r="D57" t="s">
        <v>84</v>
      </c>
      <c r="E57" t="s">
        <v>84</v>
      </c>
      <c r="F57" t="s">
        <v>163</v>
      </c>
      <c r="G57" t="s">
        <v>749</v>
      </c>
      <c r="H57" t="s">
        <v>750</v>
      </c>
      <c r="J57" t="s">
        <v>102</v>
      </c>
      <c r="K57" t="s">
        <v>751</v>
      </c>
      <c r="L57" t="s">
        <v>315</v>
      </c>
      <c r="M57" t="s">
        <v>84</v>
      </c>
      <c r="N57" t="s">
        <v>56</v>
      </c>
      <c r="O57" t="s">
        <v>36</v>
      </c>
      <c r="Q57" t="s">
        <v>84</v>
      </c>
      <c r="V57" t="s">
        <v>49</v>
      </c>
      <c r="X57" t="s">
        <v>84</v>
      </c>
      <c r="Z57" t="s">
        <v>84</v>
      </c>
      <c r="AA57" t="s">
        <v>84</v>
      </c>
      <c r="AB57" t="s">
        <v>36</v>
      </c>
      <c r="AC57" t="s">
        <v>578</v>
      </c>
      <c r="AD57" t="s">
        <v>36</v>
      </c>
      <c r="AE57" t="s">
        <v>578</v>
      </c>
      <c r="AF57" t="s">
        <v>86</v>
      </c>
      <c r="AG57" t="s">
        <v>311</v>
      </c>
      <c r="AH57" t="s">
        <v>160</v>
      </c>
      <c r="AI57" s="4">
        <f ca="1">data[[#This Row],[Expiry Date]]-TODAY()</f>
        <v>29</v>
      </c>
      <c r="AJ57" s="4">
        <f ca="1">data[[#This Row],[Maturity ( Days)]]/365</f>
        <v>7.9452054794520555E-2</v>
      </c>
      <c r="AK57" s="4" t="str">
        <f ca="1">IF(data[[#This Row],[Option Type]]="put","p","c")</f>
        <v>p</v>
      </c>
      <c r="AL57" s="4">
        <f ca="1">(data[[#This Row],[Bid]]*data[[#This Row],[Asksize]]+data[[#This Row],[Ask]]*data[[#This Row],[Bidsize]])/(data[[#This Row],[Bidsize]]+data[[#This Row],[Asksize]])</f>
        <v>63.976923076923079</v>
      </c>
      <c r="AM57" s="4">
        <f ca="1">VALUE(data[[#This Row],[Strike]])</f>
        <v>3920</v>
      </c>
      <c r="AN57" s="56">
        <f ca="1"/>
        <v>65.006627985352225</v>
      </c>
      <c r="AO57" s="57" t="str">
        <f ca="1"/>
        <v>p</v>
      </c>
      <c r="AP57" s="57">
        <f ca="1"/>
        <v>0.27967750409494857</v>
      </c>
      <c r="AQ57" s="58">
        <f ca="1"/>
        <v>-0.30470117173624589</v>
      </c>
      <c r="AR57" s="58">
        <f ca="1"/>
        <v>1.091654985965579E-3</v>
      </c>
      <c r="AS57" s="58">
        <f ca="1"/>
        <v>4.0120028636939882</v>
      </c>
      <c r="AT57" s="56">
        <f ca="1"/>
        <v>-189.88808172506484</v>
      </c>
      <c r="AU57" s="56">
        <f ca="1"/>
        <v>-103.49810262660141</v>
      </c>
    </row>
    <row r="58" spans="1:47" x14ac:dyDescent="0.3">
      <c r="A58" t="s">
        <v>456</v>
      </c>
      <c r="B58" t="s">
        <v>457</v>
      </c>
      <c r="C58" t="s">
        <v>57</v>
      </c>
      <c r="D58" t="s">
        <v>84</v>
      </c>
      <c r="E58" t="s">
        <v>84</v>
      </c>
      <c r="F58" t="s">
        <v>163</v>
      </c>
      <c r="G58" t="s">
        <v>243</v>
      </c>
      <c r="H58" t="s">
        <v>752</v>
      </c>
      <c r="J58" t="s">
        <v>108</v>
      </c>
      <c r="K58" t="s">
        <v>293</v>
      </c>
      <c r="L58" t="s">
        <v>315</v>
      </c>
      <c r="M58" t="s">
        <v>84</v>
      </c>
      <c r="N58" t="s">
        <v>56</v>
      </c>
      <c r="O58" t="s">
        <v>36</v>
      </c>
      <c r="Q58" t="s">
        <v>84</v>
      </c>
      <c r="V58" t="s">
        <v>49</v>
      </c>
      <c r="X58" t="s">
        <v>84</v>
      </c>
      <c r="Z58" t="s">
        <v>84</v>
      </c>
      <c r="AA58" t="s">
        <v>84</v>
      </c>
      <c r="AB58" t="s">
        <v>36</v>
      </c>
      <c r="AC58" t="s">
        <v>578</v>
      </c>
      <c r="AD58" t="s">
        <v>36</v>
      </c>
      <c r="AE58" t="s">
        <v>578</v>
      </c>
      <c r="AF58" t="s">
        <v>86</v>
      </c>
      <c r="AG58" t="s">
        <v>311</v>
      </c>
      <c r="AH58" t="s">
        <v>160</v>
      </c>
      <c r="AI58" s="4">
        <f ca="1">data[[#This Row],[Expiry Date]]-TODAY()</f>
        <v>29</v>
      </c>
      <c r="AJ58" s="4">
        <f ca="1">data[[#This Row],[Maturity ( Days)]]/365</f>
        <v>7.9452054794520555E-2</v>
      </c>
      <c r="AK58" s="4" t="str">
        <f ca="1">IF(data[[#This Row],[Option Type]]="put","p","c")</f>
        <v>c</v>
      </c>
      <c r="AL58" s="4">
        <f ca="1">(data[[#This Row],[Bid]]*data[[#This Row],[Asksize]]+data[[#This Row],[Ask]]*data[[#This Row],[Bidsize]])/(data[[#This Row],[Bidsize]]+data[[#This Row],[Asksize]])</f>
        <v>205.07500000000002</v>
      </c>
      <c r="AM58" s="4">
        <f ca="1">VALUE(data[[#This Row],[Strike]])</f>
        <v>3920</v>
      </c>
      <c r="AN58" s="56">
        <f ca="1"/>
        <v>202.9348037859304</v>
      </c>
      <c r="AO58" s="57" t="str">
        <f ca="1"/>
        <v>c</v>
      </c>
      <c r="AP58" s="57">
        <f ca="1"/>
        <v>0.25344492054278178</v>
      </c>
      <c r="AQ58" s="58">
        <f ca="1"/>
        <v>0.71090580234826806</v>
      </c>
      <c r="AR58" s="58">
        <f ca="1"/>
        <v>1.1760040978023103E-3</v>
      </c>
      <c r="AS58" s="58">
        <f ca="1"/>
        <v>3.9166135595685772</v>
      </c>
      <c r="AT58" s="56">
        <f ca="1"/>
        <v>-178.50762063410909</v>
      </c>
      <c r="AU58" s="56">
        <f ca="1"/>
        <v>213.3223800176176</v>
      </c>
    </row>
    <row r="59" spans="1:47" x14ac:dyDescent="0.3">
      <c r="A59" t="s">
        <v>458</v>
      </c>
      <c r="B59" t="s">
        <v>459</v>
      </c>
      <c r="C59" t="s">
        <v>57</v>
      </c>
      <c r="D59" t="s">
        <v>84</v>
      </c>
      <c r="E59" t="s">
        <v>84</v>
      </c>
      <c r="F59" t="s">
        <v>161</v>
      </c>
      <c r="G59" t="s">
        <v>753</v>
      </c>
      <c r="H59" t="s">
        <v>754</v>
      </c>
      <c r="J59" t="s">
        <v>108</v>
      </c>
      <c r="K59" t="s">
        <v>108</v>
      </c>
      <c r="L59" t="s">
        <v>315</v>
      </c>
      <c r="M59" t="s">
        <v>84</v>
      </c>
      <c r="N59" t="s">
        <v>56</v>
      </c>
      <c r="O59" t="s">
        <v>36</v>
      </c>
      <c r="Q59" t="s">
        <v>84</v>
      </c>
      <c r="V59" t="s">
        <v>49</v>
      </c>
      <c r="X59" t="s">
        <v>84</v>
      </c>
      <c r="Z59" t="s">
        <v>84</v>
      </c>
      <c r="AA59" t="s">
        <v>84</v>
      </c>
      <c r="AB59" t="s">
        <v>36</v>
      </c>
      <c r="AC59" t="s">
        <v>578</v>
      </c>
      <c r="AD59" t="s">
        <v>36</v>
      </c>
      <c r="AE59" t="s">
        <v>578</v>
      </c>
      <c r="AF59" t="s">
        <v>86</v>
      </c>
      <c r="AG59" t="s">
        <v>311</v>
      </c>
      <c r="AH59" t="s">
        <v>160</v>
      </c>
      <c r="AI59" s="4">
        <f ca="1">data[[#This Row],[Expiry Date]]-TODAY()</f>
        <v>29</v>
      </c>
      <c r="AJ59" s="4">
        <f ca="1">data[[#This Row],[Maturity ( Days)]]/365</f>
        <v>7.9452054794520555E-2</v>
      </c>
      <c r="AK59" s="4" t="str">
        <f ca="1">IF(data[[#This Row],[Option Type]]="put","p","c")</f>
        <v>c</v>
      </c>
      <c r="AL59" s="4">
        <f ca="1">(data[[#This Row],[Bid]]*data[[#This Row],[Asksize]]+data[[#This Row],[Ask]]*data[[#This Row],[Bidsize]])/(data[[#This Row],[Bidsize]]+data[[#This Row],[Asksize]])</f>
        <v>197.75</v>
      </c>
      <c r="AM59" s="4">
        <f ca="1">VALUE(data[[#This Row],[Strike]])</f>
        <v>3930</v>
      </c>
      <c r="AN59" s="56">
        <f ca="1"/>
        <v>195.64108683275117</v>
      </c>
      <c r="AO59" s="57" t="str">
        <f ca="1"/>
        <v>c</v>
      </c>
      <c r="AP59" s="57">
        <f ca="1"/>
        <v>0.25218537728145463</v>
      </c>
      <c r="AQ59" s="58">
        <f ca="1"/>
        <v>0.69937799221322083</v>
      </c>
      <c r="AR59" s="58">
        <f ca="1"/>
        <v>1.2033734581839333E-3</v>
      </c>
      <c r="AS59" s="58">
        <f ca="1"/>
        <v>3.9878482678397882</v>
      </c>
      <c r="AT59" s="56">
        <f ca="1"/>
        <v>-180.64597133340814</v>
      </c>
      <c r="AU59" s="56">
        <f ca="1"/>
        <v>210.1810093489502</v>
      </c>
    </row>
    <row r="60" spans="1:47" x14ac:dyDescent="0.3">
      <c r="A60" t="s">
        <v>460</v>
      </c>
      <c r="B60" t="s">
        <v>461</v>
      </c>
      <c r="C60" t="s">
        <v>29</v>
      </c>
      <c r="D60" t="s">
        <v>84</v>
      </c>
      <c r="E60" t="s">
        <v>84</v>
      </c>
      <c r="F60" t="s">
        <v>161</v>
      </c>
      <c r="G60" t="s">
        <v>755</v>
      </c>
      <c r="H60" t="s">
        <v>756</v>
      </c>
      <c r="J60" t="s">
        <v>102</v>
      </c>
      <c r="K60" t="s">
        <v>102</v>
      </c>
      <c r="L60" t="s">
        <v>315</v>
      </c>
      <c r="M60" t="s">
        <v>84</v>
      </c>
      <c r="N60" t="s">
        <v>56</v>
      </c>
      <c r="O60" t="s">
        <v>36</v>
      </c>
      <c r="Q60" t="s">
        <v>84</v>
      </c>
      <c r="V60" t="s">
        <v>49</v>
      </c>
      <c r="X60" t="s">
        <v>84</v>
      </c>
      <c r="Z60" t="s">
        <v>84</v>
      </c>
      <c r="AA60" t="s">
        <v>84</v>
      </c>
      <c r="AB60" t="s">
        <v>36</v>
      </c>
      <c r="AC60" t="s">
        <v>578</v>
      </c>
      <c r="AD60" t="s">
        <v>36</v>
      </c>
      <c r="AE60" t="s">
        <v>578</v>
      </c>
      <c r="AF60" t="s">
        <v>86</v>
      </c>
      <c r="AG60" t="s">
        <v>311</v>
      </c>
      <c r="AH60" t="s">
        <v>160</v>
      </c>
      <c r="AI60" s="4">
        <f ca="1">data[[#This Row],[Expiry Date]]-TODAY()</f>
        <v>29</v>
      </c>
      <c r="AJ60" s="4">
        <f ca="1">data[[#This Row],[Maturity ( Days)]]/365</f>
        <v>7.9452054794520555E-2</v>
      </c>
      <c r="AK60" s="4" t="str">
        <f ca="1">IF(data[[#This Row],[Option Type]]="put","p","c")</f>
        <v>p</v>
      </c>
      <c r="AL60" s="4">
        <f ca="1">(data[[#This Row],[Bid]]*data[[#This Row],[Asksize]]+data[[#This Row],[Ask]]*data[[#This Row],[Bidsize]])/(data[[#This Row],[Bidsize]]+data[[#This Row],[Asksize]])</f>
        <v>66.849999999999994</v>
      </c>
      <c r="AM60" s="4">
        <f ca="1">VALUE(data[[#This Row],[Strike]])</f>
        <v>3930</v>
      </c>
      <c r="AN60" s="56">
        <f ca="1"/>
        <v>67.916814973486453</v>
      </c>
      <c r="AO60" s="57" t="str">
        <f ca="1"/>
        <v>p</v>
      </c>
      <c r="AP60" s="57">
        <f ca="1"/>
        <v>0.27851308636331418</v>
      </c>
      <c r="AQ60" s="58">
        <f ca="1"/>
        <v>-0.31551401473613394</v>
      </c>
      <c r="AR60" s="58">
        <f ca="1"/>
        <v>1.1129959689103431E-3</v>
      </c>
      <c r="AS60" s="58">
        <f ca="1"/>
        <v>4.0734040775863329</v>
      </c>
      <c r="AT60" s="56">
        <f ca="1"/>
        <v>-191.9026786279436</v>
      </c>
      <c r="AU60" s="56">
        <f ca="1"/>
        <v>-107.21880666141483</v>
      </c>
    </row>
    <row r="61" spans="1:47" x14ac:dyDescent="0.3">
      <c r="A61" t="s">
        <v>462</v>
      </c>
      <c r="B61" t="s">
        <v>463</v>
      </c>
      <c r="C61" t="s">
        <v>57</v>
      </c>
      <c r="D61" t="s">
        <v>84</v>
      </c>
      <c r="E61" t="s">
        <v>84</v>
      </c>
      <c r="F61" t="s">
        <v>164</v>
      </c>
      <c r="G61" t="s">
        <v>757</v>
      </c>
      <c r="H61" t="s">
        <v>758</v>
      </c>
      <c r="J61" t="s">
        <v>105</v>
      </c>
      <c r="K61" t="s">
        <v>93</v>
      </c>
      <c r="L61" t="s">
        <v>315</v>
      </c>
      <c r="M61" t="s">
        <v>84</v>
      </c>
      <c r="N61" t="s">
        <v>56</v>
      </c>
      <c r="O61" t="s">
        <v>36</v>
      </c>
      <c r="Q61" t="s">
        <v>84</v>
      </c>
      <c r="V61" t="s">
        <v>49</v>
      </c>
      <c r="X61" t="s">
        <v>84</v>
      </c>
      <c r="Z61" t="s">
        <v>84</v>
      </c>
      <c r="AA61" t="s">
        <v>84</v>
      </c>
      <c r="AB61" t="s">
        <v>36</v>
      </c>
      <c r="AC61" t="s">
        <v>578</v>
      </c>
      <c r="AD61" t="s">
        <v>36</v>
      </c>
      <c r="AE61" t="s">
        <v>578</v>
      </c>
      <c r="AF61" t="s">
        <v>86</v>
      </c>
      <c r="AG61" t="s">
        <v>311</v>
      </c>
      <c r="AH61" t="s">
        <v>160</v>
      </c>
      <c r="AI61" s="4">
        <f ca="1">data[[#This Row],[Expiry Date]]-TODAY()</f>
        <v>29</v>
      </c>
      <c r="AJ61" s="4">
        <f ca="1">data[[#This Row],[Maturity ( Days)]]/365</f>
        <v>7.9452054794520555E-2</v>
      </c>
      <c r="AK61" s="4" t="str">
        <f ca="1">IF(data[[#This Row],[Option Type]]="put","p","c")</f>
        <v>c</v>
      </c>
      <c r="AL61" s="4">
        <f ca="1">(data[[#This Row],[Bid]]*data[[#This Row],[Asksize]]+data[[#This Row],[Ask]]*data[[#This Row],[Bidsize]])/(data[[#This Row],[Bidsize]]+data[[#This Row],[Asksize]])</f>
        <v>190.79473684210529</v>
      </c>
      <c r="AM61" s="4">
        <f ca="1">VALUE(data[[#This Row],[Strike]])</f>
        <v>3940</v>
      </c>
      <c r="AN61" s="56">
        <f ca="1"/>
        <v>188.71957537307981</v>
      </c>
      <c r="AO61" s="57" t="str">
        <f ca="1"/>
        <v>c</v>
      </c>
      <c r="AP61" s="57">
        <f ca="1"/>
        <v>0.25157044749817503</v>
      </c>
      <c r="AQ61" s="58">
        <f ca="1"/>
        <v>0.68718199147762515</v>
      </c>
      <c r="AR61" s="58">
        <f ca="1"/>
        <v>1.2276716741748809E-3</v>
      </c>
      <c r="AS61" s="58">
        <f ca="1"/>
        <v>4.0584495743438769</v>
      </c>
      <c r="AT61" s="56">
        <f ca="1"/>
        <v>-183.16857543782979</v>
      </c>
      <c r="AU61" s="56">
        <f ca="1"/>
        <v>206.7944421431261</v>
      </c>
    </row>
    <row r="62" spans="1:47" x14ac:dyDescent="0.3">
      <c r="A62" t="s">
        <v>464</v>
      </c>
      <c r="B62" t="s">
        <v>465</v>
      </c>
      <c r="C62" t="s">
        <v>29</v>
      </c>
      <c r="D62" t="s">
        <v>84</v>
      </c>
      <c r="E62" t="s">
        <v>84</v>
      </c>
      <c r="F62" t="s">
        <v>164</v>
      </c>
      <c r="G62" t="s">
        <v>759</v>
      </c>
      <c r="H62" t="s">
        <v>760</v>
      </c>
      <c r="J62" t="s">
        <v>106</v>
      </c>
      <c r="K62" t="s">
        <v>106</v>
      </c>
      <c r="L62" t="s">
        <v>315</v>
      </c>
      <c r="M62" t="s">
        <v>84</v>
      </c>
      <c r="N62" t="s">
        <v>56</v>
      </c>
      <c r="O62" t="s">
        <v>36</v>
      </c>
      <c r="Q62" t="s">
        <v>84</v>
      </c>
      <c r="V62" t="s">
        <v>49</v>
      </c>
      <c r="X62" t="s">
        <v>84</v>
      </c>
      <c r="Z62" t="s">
        <v>84</v>
      </c>
      <c r="AA62" t="s">
        <v>84</v>
      </c>
      <c r="AB62" t="s">
        <v>36</v>
      </c>
      <c r="AC62" t="s">
        <v>578</v>
      </c>
      <c r="AD62" t="s">
        <v>36</v>
      </c>
      <c r="AE62" t="s">
        <v>578</v>
      </c>
      <c r="AF62" t="s">
        <v>86</v>
      </c>
      <c r="AG62" t="s">
        <v>311</v>
      </c>
      <c r="AH62" t="s">
        <v>160</v>
      </c>
      <c r="AI62" s="4">
        <f ca="1">data[[#This Row],[Expiry Date]]-TODAY()</f>
        <v>29</v>
      </c>
      <c r="AJ62" s="4">
        <f ca="1">data[[#This Row],[Maturity ( Days)]]/365</f>
        <v>7.9452054794520555E-2</v>
      </c>
      <c r="AK62" s="4" t="str">
        <f ca="1">IF(data[[#This Row],[Option Type]]="put","p","c")</f>
        <v>p</v>
      </c>
      <c r="AL62" s="4">
        <f ca="1">(data[[#This Row],[Bid]]*data[[#This Row],[Asksize]]+data[[#This Row],[Ask]]*data[[#This Row],[Bidsize]])/(data[[#This Row],[Bidsize]]+data[[#This Row],[Asksize]])</f>
        <v>69.75</v>
      </c>
      <c r="AM62" s="4">
        <f ca="1">VALUE(data[[#This Row],[Strike]])</f>
        <v>3940</v>
      </c>
      <c r="AN62" s="56">
        <f ca="1"/>
        <v>70.85437316170146</v>
      </c>
      <c r="AO62" s="57" t="str">
        <f ca="1"/>
        <v>p</v>
      </c>
      <c r="AP62" s="57">
        <f ca="1"/>
        <v>0.27716128337714141</v>
      </c>
      <c r="AQ62" s="58">
        <f ca="1"/>
        <v>-0.32645908340966867</v>
      </c>
      <c r="AR62" s="58">
        <f ca="1"/>
        <v>1.1344354507774913E-3</v>
      </c>
      <c r="AS62" s="58">
        <f ca="1"/>
        <v>4.1317177860078163</v>
      </c>
      <c r="AT62" s="56">
        <f ca="1"/>
        <v>-193.60994651340755</v>
      </c>
      <c r="AU62" s="56">
        <f ca="1"/>
        <v>-110.98435732978533</v>
      </c>
    </row>
    <row r="63" spans="1:47" x14ac:dyDescent="0.3">
      <c r="A63" t="s">
        <v>466</v>
      </c>
      <c r="B63" t="s">
        <v>467</v>
      </c>
      <c r="C63" t="s">
        <v>57</v>
      </c>
      <c r="D63" t="s">
        <v>84</v>
      </c>
      <c r="E63" t="s">
        <v>84</v>
      </c>
      <c r="F63" t="s">
        <v>125</v>
      </c>
      <c r="G63" t="s">
        <v>761</v>
      </c>
      <c r="H63" t="s">
        <v>652</v>
      </c>
      <c r="J63" t="s">
        <v>105</v>
      </c>
      <c r="K63" t="s">
        <v>105</v>
      </c>
      <c r="L63" t="s">
        <v>315</v>
      </c>
      <c r="M63" t="s">
        <v>84</v>
      </c>
      <c r="N63" t="s">
        <v>56</v>
      </c>
      <c r="O63" t="s">
        <v>36</v>
      </c>
      <c r="Q63" t="s">
        <v>84</v>
      </c>
      <c r="V63" t="s">
        <v>49</v>
      </c>
      <c r="X63" t="s">
        <v>84</v>
      </c>
      <c r="Z63" t="s">
        <v>84</v>
      </c>
      <c r="AA63" t="s">
        <v>84</v>
      </c>
      <c r="AB63" t="s">
        <v>36</v>
      </c>
      <c r="AC63" t="s">
        <v>578</v>
      </c>
      <c r="AD63" t="s">
        <v>36</v>
      </c>
      <c r="AE63" t="s">
        <v>578</v>
      </c>
      <c r="AF63" t="s">
        <v>86</v>
      </c>
      <c r="AG63" t="s">
        <v>311</v>
      </c>
      <c r="AH63" t="s">
        <v>160</v>
      </c>
      <c r="AI63" s="4">
        <f ca="1">data[[#This Row],[Expiry Date]]-TODAY()</f>
        <v>29</v>
      </c>
      <c r="AJ63" s="4">
        <f ca="1">data[[#This Row],[Maturity ( Days)]]/365</f>
        <v>7.9452054794520555E-2</v>
      </c>
      <c r="AK63" s="4" t="str">
        <f ca="1">IF(data[[#This Row],[Option Type]]="put","p","c")</f>
        <v>c</v>
      </c>
      <c r="AL63" s="4">
        <f ca="1">(data[[#This Row],[Bid]]*data[[#This Row],[Asksize]]+data[[#This Row],[Ask]]*data[[#This Row],[Bidsize]])/(data[[#This Row],[Bidsize]]+data[[#This Row],[Asksize]])</f>
        <v>183.4</v>
      </c>
      <c r="AM63" s="4">
        <f ca="1">VALUE(data[[#This Row],[Strike]])</f>
        <v>3950</v>
      </c>
      <c r="AN63" s="56">
        <f ca="1"/>
        <v>181.35654537956771</v>
      </c>
      <c r="AO63" s="57" t="str">
        <f ca="1"/>
        <v>c</v>
      </c>
      <c r="AP63" s="57">
        <f ca="1"/>
        <v>0.24958843676091541</v>
      </c>
      <c r="AQ63" s="58">
        <f ca="1"/>
        <v>0.67550320456623525</v>
      </c>
      <c r="AR63" s="58">
        <f ca="1"/>
        <v>1.2566584313231765E-3</v>
      </c>
      <c r="AS63" s="58">
        <f ca="1"/>
        <v>4.1215446283992057</v>
      </c>
      <c r="AT63" s="56">
        <f ca="1"/>
        <v>-184.38693412397737</v>
      </c>
      <c r="AU63" s="56">
        <f ca="1"/>
        <v>203.60984889141355</v>
      </c>
    </row>
    <row r="64" spans="1:47" x14ac:dyDescent="0.3">
      <c r="A64" t="s">
        <v>468</v>
      </c>
      <c r="B64" t="s">
        <v>469</v>
      </c>
      <c r="C64" t="s">
        <v>29</v>
      </c>
      <c r="D64" t="s">
        <v>84</v>
      </c>
      <c r="E64" t="s">
        <v>84</v>
      </c>
      <c r="F64" t="s">
        <v>125</v>
      </c>
      <c r="G64" t="s">
        <v>277</v>
      </c>
      <c r="H64" t="s">
        <v>633</v>
      </c>
      <c r="J64" t="s">
        <v>105</v>
      </c>
      <c r="K64" t="s">
        <v>105</v>
      </c>
      <c r="L64" t="s">
        <v>315</v>
      </c>
      <c r="M64" t="s">
        <v>84</v>
      </c>
      <c r="N64" t="s">
        <v>56</v>
      </c>
      <c r="O64" t="s">
        <v>36</v>
      </c>
      <c r="Q64" t="s">
        <v>84</v>
      </c>
      <c r="V64" t="s">
        <v>49</v>
      </c>
      <c r="X64" t="s">
        <v>84</v>
      </c>
      <c r="Z64" t="s">
        <v>84</v>
      </c>
      <c r="AA64" t="s">
        <v>84</v>
      </c>
      <c r="AB64" t="s">
        <v>36</v>
      </c>
      <c r="AC64" t="s">
        <v>578</v>
      </c>
      <c r="AD64" t="s">
        <v>36</v>
      </c>
      <c r="AE64" t="s">
        <v>578</v>
      </c>
      <c r="AF64" t="s">
        <v>86</v>
      </c>
      <c r="AG64" t="s">
        <v>311</v>
      </c>
      <c r="AH64" t="s">
        <v>160</v>
      </c>
      <c r="AI64" s="4">
        <f ca="1">data[[#This Row],[Expiry Date]]-TODAY()</f>
        <v>29</v>
      </c>
      <c r="AJ64" s="4">
        <f ca="1">data[[#This Row],[Maturity ( Days)]]/365</f>
        <v>7.9452054794520555E-2</v>
      </c>
      <c r="AK64" s="4" t="str">
        <f ca="1">IF(data[[#This Row],[Option Type]]="put","p","c")</f>
        <v>p</v>
      </c>
      <c r="AL64" s="4">
        <f ca="1">(data[[#This Row],[Bid]]*data[[#This Row],[Asksize]]+data[[#This Row],[Ask]]*data[[#This Row],[Bidsize]])/(data[[#This Row],[Bidsize]]+data[[#This Row],[Asksize]])</f>
        <v>72.95</v>
      </c>
      <c r="AM64" s="4">
        <f ca="1">VALUE(data[[#This Row],[Strike]])</f>
        <v>3950</v>
      </c>
      <c r="AN64" s="56">
        <f ca="1"/>
        <v>74.09360933353264</v>
      </c>
      <c r="AO64" s="57" t="str">
        <f ca="1"/>
        <v>p</v>
      </c>
      <c r="AP64" s="57">
        <f ca="1"/>
        <v>0.27627912551620987</v>
      </c>
      <c r="AQ64" s="58">
        <f ca="1"/>
        <v>-0.33784609866569371</v>
      </c>
      <c r="AR64" s="58">
        <f ca="1"/>
        <v>1.1536555429110988E-3</v>
      </c>
      <c r="AS64" s="58">
        <f ca="1"/>
        <v>4.1883457544712339</v>
      </c>
      <c r="AT64" s="56">
        <f ca="1"/>
        <v>-195.54326494273499</v>
      </c>
      <c r="AU64" s="56">
        <f ca="1"/>
        <v>-114.91648889230775</v>
      </c>
    </row>
    <row r="65" spans="1:47" x14ac:dyDescent="0.3">
      <c r="A65" t="s">
        <v>470</v>
      </c>
      <c r="B65" t="s">
        <v>471</v>
      </c>
      <c r="C65" t="s">
        <v>57</v>
      </c>
      <c r="D65" t="s">
        <v>84</v>
      </c>
      <c r="E65" t="s">
        <v>84</v>
      </c>
      <c r="F65" t="s">
        <v>165</v>
      </c>
      <c r="G65" t="s">
        <v>762</v>
      </c>
      <c r="H65" t="s">
        <v>763</v>
      </c>
      <c r="J65" t="s">
        <v>105</v>
      </c>
      <c r="K65" t="s">
        <v>105</v>
      </c>
      <c r="L65" t="s">
        <v>315</v>
      </c>
      <c r="M65" t="s">
        <v>84</v>
      </c>
      <c r="N65" t="s">
        <v>56</v>
      </c>
      <c r="O65" t="s">
        <v>36</v>
      </c>
      <c r="Q65" t="s">
        <v>84</v>
      </c>
      <c r="V65" t="s">
        <v>49</v>
      </c>
      <c r="X65" t="s">
        <v>84</v>
      </c>
      <c r="Z65" t="s">
        <v>84</v>
      </c>
      <c r="AA65" t="s">
        <v>84</v>
      </c>
      <c r="AB65" t="s">
        <v>36</v>
      </c>
      <c r="AC65" t="s">
        <v>578</v>
      </c>
      <c r="AD65" t="s">
        <v>36</v>
      </c>
      <c r="AE65" t="s">
        <v>578</v>
      </c>
      <c r="AF65" t="s">
        <v>86</v>
      </c>
      <c r="AG65" t="s">
        <v>311</v>
      </c>
      <c r="AH65" t="s">
        <v>160</v>
      </c>
      <c r="AI65" s="4">
        <f ca="1">data[[#This Row],[Expiry Date]]-TODAY()</f>
        <v>29</v>
      </c>
      <c r="AJ65" s="4">
        <f ca="1">data[[#This Row],[Maturity ( Days)]]/365</f>
        <v>7.9452054794520555E-2</v>
      </c>
      <c r="AK65" s="4" t="str">
        <f ca="1">IF(data[[#This Row],[Option Type]]="put","p","c")</f>
        <v>c</v>
      </c>
      <c r="AL65" s="4">
        <f ca="1">(data[[#This Row],[Bid]]*data[[#This Row],[Asksize]]+data[[#This Row],[Ask]]*data[[#This Row],[Bidsize]])/(data[[#This Row],[Bidsize]]+data[[#This Row],[Asksize]])</f>
        <v>176.75</v>
      </c>
      <c r="AM65" s="4">
        <f ca="1">VALUE(data[[#This Row],[Strike]])</f>
        <v>3960</v>
      </c>
      <c r="AN65" s="56">
        <f ca="1"/>
        <v>174.74250674069026</v>
      </c>
      <c r="AO65" s="57" t="str">
        <f ca="1"/>
        <v>c</v>
      </c>
      <c r="AP65" s="57">
        <f ca="1"/>
        <v>0.24913948082002052</v>
      </c>
      <c r="AQ65" s="58">
        <f ca="1"/>
        <v>0.66270235551005385</v>
      </c>
      <c r="AR65" s="58">
        <f ca="1"/>
        <v>1.2785228083849064E-3</v>
      </c>
      <c r="AS65" s="58">
        <f ca="1"/>
        <v>4.185711888402877</v>
      </c>
      <c r="AT65" s="56">
        <f ca="1"/>
        <v>-186.69976106030299</v>
      </c>
      <c r="AU65" s="56">
        <f ca="1"/>
        <v>200.0036668872101</v>
      </c>
    </row>
    <row r="66" spans="1:47" x14ac:dyDescent="0.3">
      <c r="A66" t="s">
        <v>472</v>
      </c>
      <c r="B66" t="s">
        <v>473</v>
      </c>
      <c r="C66" t="s">
        <v>29</v>
      </c>
      <c r="D66" t="s">
        <v>84</v>
      </c>
      <c r="E66" t="s">
        <v>84</v>
      </c>
      <c r="F66" t="s">
        <v>165</v>
      </c>
      <c r="G66" t="s">
        <v>313</v>
      </c>
      <c r="H66" t="s">
        <v>764</v>
      </c>
      <c r="J66" t="s">
        <v>105</v>
      </c>
      <c r="K66" t="s">
        <v>105</v>
      </c>
      <c r="L66" t="s">
        <v>315</v>
      </c>
      <c r="M66" t="s">
        <v>84</v>
      </c>
      <c r="N66" t="s">
        <v>56</v>
      </c>
      <c r="O66" t="s">
        <v>36</v>
      </c>
      <c r="Q66" t="s">
        <v>84</v>
      </c>
      <c r="V66" t="s">
        <v>49</v>
      </c>
      <c r="X66" t="s">
        <v>84</v>
      </c>
      <c r="Z66" t="s">
        <v>84</v>
      </c>
      <c r="AA66" t="s">
        <v>84</v>
      </c>
      <c r="AB66" t="s">
        <v>36</v>
      </c>
      <c r="AC66" t="s">
        <v>578</v>
      </c>
      <c r="AD66" t="s">
        <v>36</v>
      </c>
      <c r="AE66" t="s">
        <v>578</v>
      </c>
      <c r="AF66" t="s">
        <v>86</v>
      </c>
      <c r="AG66" t="s">
        <v>311</v>
      </c>
      <c r="AH66" t="s">
        <v>160</v>
      </c>
      <c r="AI66" s="4">
        <f ca="1">data[[#This Row],[Expiry Date]]-TODAY()</f>
        <v>29</v>
      </c>
      <c r="AJ66" s="4">
        <f ca="1">data[[#This Row],[Maturity ( Days)]]/365</f>
        <v>7.9452054794520555E-2</v>
      </c>
      <c r="AK66" s="4" t="str">
        <f ca="1">IF(data[[#This Row],[Option Type]]="put","p","c")</f>
        <v>p</v>
      </c>
      <c r="AL66" s="4">
        <f ca="1">(data[[#This Row],[Bid]]*data[[#This Row],[Asksize]]+data[[#This Row],[Ask]]*data[[#This Row],[Bidsize]])/(data[[#This Row],[Bidsize]]+data[[#This Row],[Asksize]])</f>
        <v>75.899999999999991</v>
      </c>
      <c r="AM66" s="4">
        <f ca="1">VALUE(data[[#This Row],[Strike]])</f>
        <v>3960</v>
      </c>
      <c r="AN66" s="56">
        <f ca="1"/>
        <v>77.082106652318998</v>
      </c>
      <c r="AO66" s="57" t="str">
        <f ca="1"/>
        <v>p</v>
      </c>
      <c r="AP66" s="57">
        <f ca="1"/>
        <v>0.27454069595857294</v>
      </c>
      <c r="AQ66" s="58">
        <f ca="1"/>
        <v>-0.34906990264398619</v>
      </c>
      <c r="AR66" s="58">
        <f ca="1"/>
        <v>1.1753294577129582E-3</v>
      </c>
      <c r="AS66" s="58">
        <f ca="1"/>
        <v>4.2401834625335963</v>
      </c>
      <c r="AT66" s="56">
        <f ca="1"/>
        <v>-196.60841881630859</v>
      </c>
      <c r="AU66" s="56">
        <f ca="1"/>
        <v>-118.77604080266914</v>
      </c>
    </row>
    <row r="67" spans="1:47" x14ac:dyDescent="0.3">
      <c r="A67" t="s">
        <v>474</v>
      </c>
      <c r="B67" t="s">
        <v>475</v>
      </c>
      <c r="C67" t="s">
        <v>57</v>
      </c>
      <c r="D67" t="s">
        <v>84</v>
      </c>
      <c r="E67" t="s">
        <v>84</v>
      </c>
      <c r="F67" t="s">
        <v>168</v>
      </c>
      <c r="G67" t="s">
        <v>765</v>
      </c>
      <c r="H67" t="s">
        <v>766</v>
      </c>
      <c r="J67" t="s">
        <v>92</v>
      </c>
      <c r="K67" t="s">
        <v>92</v>
      </c>
      <c r="L67" t="s">
        <v>315</v>
      </c>
      <c r="M67" t="s">
        <v>84</v>
      </c>
      <c r="N67" t="s">
        <v>56</v>
      </c>
      <c r="O67" t="s">
        <v>36</v>
      </c>
      <c r="Q67" t="s">
        <v>84</v>
      </c>
      <c r="V67" t="s">
        <v>49</v>
      </c>
      <c r="X67" t="s">
        <v>84</v>
      </c>
      <c r="Z67" t="s">
        <v>84</v>
      </c>
      <c r="AA67" t="s">
        <v>84</v>
      </c>
      <c r="AB67" t="s">
        <v>36</v>
      </c>
      <c r="AC67" t="s">
        <v>578</v>
      </c>
      <c r="AD67" t="s">
        <v>36</v>
      </c>
      <c r="AE67" t="s">
        <v>578</v>
      </c>
      <c r="AF67" t="s">
        <v>86</v>
      </c>
      <c r="AG67" t="s">
        <v>311</v>
      </c>
      <c r="AH67" t="s">
        <v>160</v>
      </c>
      <c r="AI67" s="4">
        <f ca="1">data[[#This Row],[Expiry Date]]-TODAY()</f>
        <v>29</v>
      </c>
      <c r="AJ67" s="4">
        <f ca="1">data[[#This Row],[Maturity ( Days)]]/365</f>
        <v>7.9452054794520555E-2</v>
      </c>
      <c r="AK67" s="4" t="str">
        <f ca="1">IF(data[[#This Row],[Option Type]]="put","p","c")</f>
        <v>c</v>
      </c>
      <c r="AL67" s="4">
        <f ca="1">(data[[#This Row],[Bid]]*data[[#This Row],[Asksize]]+data[[#This Row],[Ask]]*data[[#This Row],[Bidsize]])/(data[[#This Row],[Bidsize]]+data[[#This Row],[Asksize]])</f>
        <v>170.4</v>
      </c>
      <c r="AM67" s="4">
        <f ca="1">VALUE(data[[#This Row],[Strike]])</f>
        <v>3970</v>
      </c>
      <c r="AN67" s="56">
        <f ca="1"/>
        <v>168.42999691625528</v>
      </c>
      <c r="AO67" s="57" t="str">
        <f ca="1"/>
        <v>c</v>
      </c>
      <c r="AP67" s="57">
        <f ca="1"/>
        <v>0.24909635988654044</v>
      </c>
      <c r="AQ67" s="58">
        <f ca="1"/>
        <v>0.64950711293738239</v>
      </c>
      <c r="AR67" s="58">
        <f ca="1"/>
        <v>1.2973076931425977E-3</v>
      </c>
      <c r="AS67" s="58">
        <f ca="1"/>
        <v>4.2464759719912548</v>
      </c>
      <c r="AT67" s="56">
        <f ca="1"/>
        <v>-189.14864763072967</v>
      </c>
      <c r="AU67" s="56">
        <f ca="1"/>
        <v>196.24626280160641</v>
      </c>
    </row>
    <row r="68" spans="1:47" x14ac:dyDescent="0.3">
      <c r="A68" t="s">
        <v>478</v>
      </c>
      <c r="B68" t="s">
        <v>479</v>
      </c>
      <c r="C68" t="s">
        <v>29</v>
      </c>
      <c r="D68" t="s">
        <v>84</v>
      </c>
      <c r="E68" t="s">
        <v>84</v>
      </c>
      <c r="F68" t="s">
        <v>166</v>
      </c>
      <c r="G68" t="s">
        <v>767</v>
      </c>
      <c r="H68" t="s">
        <v>650</v>
      </c>
      <c r="J68" t="s">
        <v>108</v>
      </c>
      <c r="K68" t="s">
        <v>108</v>
      </c>
      <c r="L68" t="s">
        <v>315</v>
      </c>
      <c r="M68" t="s">
        <v>84</v>
      </c>
      <c r="N68" t="s">
        <v>56</v>
      </c>
      <c r="O68" t="s">
        <v>36</v>
      </c>
      <c r="Q68" t="s">
        <v>84</v>
      </c>
      <c r="V68" t="s">
        <v>49</v>
      </c>
      <c r="X68" t="s">
        <v>84</v>
      </c>
      <c r="Z68" t="s">
        <v>84</v>
      </c>
      <c r="AA68" t="s">
        <v>84</v>
      </c>
      <c r="AB68" t="s">
        <v>36</v>
      </c>
      <c r="AC68" t="s">
        <v>578</v>
      </c>
      <c r="AD68" t="s">
        <v>36</v>
      </c>
      <c r="AE68" t="s">
        <v>578</v>
      </c>
      <c r="AF68" t="s">
        <v>86</v>
      </c>
      <c r="AG68" t="s">
        <v>311</v>
      </c>
      <c r="AH68" t="s">
        <v>160</v>
      </c>
      <c r="AI68" s="4">
        <f ca="1">data[[#This Row],[Expiry Date]]-TODAY()</f>
        <v>29</v>
      </c>
      <c r="AJ68" s="4">
        <f ca="1">data[[#This Row],[Maturity ( Days)]]/365</f>
        <v>7.9452054794520555E-2</v>
      </c>
      <c r="AK68" s="4" t="str">
        <f ca="1">IF(data[[#This Row],[Option Type]]="put","p","c")</f>
        <v>p</v>
      </c>
      <c r="AL68" s="4">
        <f ca="1">(data[[#This Row],[Bid]]*data[[#This Row],[Asksize]]+data[[#This Row],[Ask]]*data[[#This Row],[Bidsize]])/(data[[#This Row],[Bidsize]]+data[[#This Row],[Asksize]])</f>
        <v>82.550000000000011</v>
      </c>
      <c r="AM68" s="4">
        <f ca="1">VALUE(data[[#This Row],[Strike]])</f>
        <v>3980</v>
      </c>
      <c r="AN68" s="56">
        <f ca="1"/>
        <v>83.813232434225483</v>
      </c>
      <c r="AO68" s="57" t="str">
        <f ca="1"/>
        <v>p</v>
      </c>
      <c r="AP68" s="57">
        <f ca="1"/>
        <v>0.27206441674050669</v>
      </c>
      <c r="AQ68" s="58">
        <f ca="1"/>
        <v>-0.37260226065843827</v>
      </c>
      <c r="AR68" s="58">
        <f ca="1"/>
        <v>1.2128995672995443E-3</v>
      </c>
      <c r="AS68" s="58">
        <f ca="1"/>
        <v>4.3362556800921341</v>
      </c>
      <c r="AT68" s="56">
        <f ca="1"/>
        <v>-199.024082547555</v>
      </c>
      <c r="AU68" s="56">
        <f ca="1"/>
        <v>-126.90509955569522</v>
      </c>
    </row>
    <row r="69" spans="1:47" x14ac:dyDescent="0.3">
      <c r="A69" t="s">
        <v>480</v>
      </c>
      <c r="B69" t="s">
        <v>481</v>
      </c>
      <c r="C69" t="s">
        <v>57</v>
      </c>
      <c r="D69" t="s">
        <v>84</v>
      </c>
      <c r="E69" t="s">
        <v>84</v>
      </c>
      <c r="F69" t="s">
        <v>166</v>
      </c>
      <c r="G69" t="s">
        <v>768</v>
      </c>
      <c r="H69" t="s">
        <v>769</v>
      </c>
      <c r="J69" t="s">
        <v>92</v>
      </c>
      <c r="K69" t="s">
        <v>92</v>
      </c>
      <c r="L69" t="s">
        <v>315</v>
      </c>
      <c r="M69" t="s">
        <v>84</v>
      </c>
      <c r="N69" t="s">
        <v>56</v>
      </c>
      <c r="O69" t="s">
        <v>36</v>
      </c>
      <c r="Q69" t="s">
        <v>84</v>
      </c>
      <c r="V69" t="s">
        <v>49</v>
      </c>
      <c r="X69" t="s">
        <v>84</v>
      </c>
      <c r="Z69" t="s">
        <v>84</v>
      </c>
      <c r="AA69" t="s">
        <v>84</v>
      </c>
      <c r="AB69" t="s">
        <v>36</v>
      </c>
      <c r="AC69" t="s">
        <v>578</v>
      </c>
      <c r="AD69" t="s">
        <v>36</v>
      </c>
      <c r="AE69" t="s">
        <v>578</v>
      </c>
      <c r="AF69" t="s">
        <v>86</v>
      </c>
      <c r="AG69" t="s">
        <v>311</v>
      </c>
      <c r="AH69" t="s">
        <v>160</v>
      </c>
      <c r="AI69" s="4">
        <f ca="1">data[[#This Row],[Expiry Date]]-TODAY()</f>
        <v>29</v>
      </c>
      <c r="AJ69" s="4">
        <f ca="1">data[[#This Row],[Maturity ( Days)]]/365</f>
        <v>7.9452054794520555E-2</v>
      </c>
      <c r="AK69" s="4" t="str">
        <f ca="1">IF(data[[#This Row],[Option Type]]="put","p","c")</f>
        <v>c</v>
      </c>
      <c r="AL69" s="4">
        <f ca="1">(data[[#This Row],[Bid]]*data[[#This Row],[Asksize]]+data[[#This Row],[Ask]]*data[[#This Row],[Bidsize]])/(data[[#This Row],[Bidsize]]+data[[#This Row],[Asksize]])</f>
        <v>163.69999999999999</v>
      </c>
      <c r="AM69" s="4">
        <f ca="1">VALUE(data[[#This Row],[Strike]])</f>
        <v>3980</v>
      </c>
      <c r="AN69" s="56">
        <f ca="1"/>
        <v>161.76614407889338</v>
      </c>
      <c r="AO69" s="57" t="str">
        <f ca="1"/>
        <v>c</v>
      </c>
      <c r="AP69" s="57">
        <f ca="1"/>
        <v>0.24792116923631194</v>
      </c>
      <c r="AQ69" s="58">
        <f ca="1"/>
        <v>0.63663502823450402</v>
      </c>
      <c r="AR69" s="58">
        <f ca="1"/>
        <v>1.3200592306047928E-3</v>
      </c>
      <c r="AS69" s="58">
        <f ca="1"/>
        <v>4.3005631189946492</v>
      </c>
      <c r="AT69" s="56">
        <f ca="1"/>
        <v>-190.47508040451524</v>
      </c>
      <c r="AU69" s="56">
        <f ca="1"/>
        <v>192.62104536050433</v>
      </c>
    </row>
    <row r="70" spans="1:47" x14ac:dyDescent="0.3">
      <c r="A70" t="s">
        <v>482</v>
      </c>
      <c r="B70" t="s">
        <v>483</v>
      </c>
      <c r="C70" t="s">
        <v>57</v>
      </c>
      <c r="D70" t="s">
        <v>84</v>
      </c>
      <c r="E70" t="s">
        <v>84</v>
      </c>
      <c r="F70" t="s">
        <v>167</v>
      </c>
      <c r="G70" t="s">
        <v>770</v>
      </c>
      <c r="H70" t="s">
        <v>771</v>
      </c>
      <c r="J70" t="s">
        <v>106</v>
      </c>
      <c r="K70" t="s">
        <v>116</v>
      </c>
      <c r="L70" t="s">
        <v>315</v>
      </c>
      <c r="M70" t="s">
        <v>84</v>
      </c>
      <c r="N70" t="s">
        <v>56</v>
      </c>
      <c r="O70" t="s">
        <v>36</v>
      </c>
      <c r="Q70" t="s">
        <v>84</v>
      </c>
      <c r="V70" t="s">
        <v>49</v>
      </c>
      <c r="X70" t="s">
        <v>84</v>
      </c>
      <c r="Z70" t="s">
        <v>84</v>
      </c>
      <c r="AA70" t="s">
        <v>84</v>
      </c>
      <c r="AB70" t="s">
        <v>36</v>
      </c>
      <c r="AC70" t="s">
        <v>578</v>
      </c>
      <c r="AD70" t="s">
        <v>36</v>
      </c>
      <c r="AE70" t="s">
        <v>578</v>
      </c>
      <c r="AF70" t="s">
        <v>86</v>
      </c>
      <c r="AG70" t="s">
        <v>311</v>
      </c>
      <c r="AH70" t="s">
        <v>160</v>
      </c>
      <c r="AI70" s="4">
        <f ca="1">data[[#This Row],[Expiry Date]]-TODAY()</f>
        <v>29</v>
      </c>
      <c r="AJ70" s="4">
        <f ca="1">data[[#This Row],[Maturity ( Days)]]/365</f>
        <v>7.9452054794520555E-2</v>
      </c>
      <c r="AK70" s="4" t="str">
        <f ca="1">IF(data[[#This Row],[Option Type]]="put","p","c")</f>
        <v>c</v>
      </c>
      <c r="AL70" s="4">
        <f ca="1">(data[[#This Row],[Bid]]*data[[#This Row],[Asksize]]+data[[#This Row],[Ask]]*data[[#This Row],[Bidsize]])/(data[[#This Row],[Bidsize]]+data[[#This Row],[Asksize]])</f>
        <v>156.48260869565217</v>
      </c>
      <c r="AM70" s="4">
        <f ca="1">VALUE(data[[#This Row],[Strike]])</f>
        <v>3990</v>
      </c>
      <c r="AN70" s="56">
        <f ca="1"/>
        <v>154.58343246137201</v>
      </c>
      <c r="AO70" s="57" t="str">
        <f ca="1"/>
        <v>c</v>
      </c>
      <c r="AP70" s="57">
        <f ca="1"/>
        <v>0.24526484237745422</v>
      </c>
      <c r="AQ70" s="58">
        <f ca="1"/>
        <v>0.62407951035875242</v>
      </c>
      <c r="AR70" s="58">
        <f ca="1"/>
        <v>1.3492126982701073E-3</v>
      </c>
      <c r="AS70" s="58">
        <f ca="1"/>
        <v>4.3484453350274936</v>
      </c>
      <c r="AT70" s="56">
        <f ca="1"/>
        <v>-190.41011446245531</v>
      </c>
      <c r="AU70" s="56">
        <f ca="1"/>
        <v>189.13918631469576</v>
      </c>
    </row>
    <row r="71" spans="1:47" x14ac:dyDescent="0.3">
      <c r="A71" t="s">
        <v>486</v>
      </c>
      <c r="B71" t="s">
        <v>487</v>
      </c>
      <c r="C71" t="s">
        <v>57</v>
      </c>
      <c r="D71" t="s">
        <v>84</v>
      </c>
      <c r="E71" t="s">
        <v>84</v>
      </c>
      <c r="F71" t="s">
        <v>127</v>
      </c>
      <c r="G71" t="s">
        <v>772</v>
      </c>
      <c r="H71" t="s">
        <v>309</v>
      </c>
      <c r="J71" t="s">
        <v>116</v>
      </c>
      <c r="K71" t="s">
        <v>92</v>
      </c>
      <c r="L71" t="s">
        <v>315</v>
      </c>
      <c r="M71" t="s">
        <v>84</v>
      </c>
      <c r="N71" t="s">
        <v>56</v>
      </c>
      <c r="O71" t="s">
        <v>36</v>
      </c>
      <c r="Q71" t="s">
        <v>84</v>
      </c>
      <c r="V71" t="s">
        <v>49</v>
      </c>
      <c r="X71" t="s">
        <v>84</v>
      </c>
      <c r="Z71" t="s">
        <v>84</v>
      </c>
      <c r="AA71" t="s">
        <v>84</v>
      </c>
      <c r="AB71" t="s">
        <v>36</v>
      </c>
      <c r="AC71" t="s">
        <v>578</v>
      </c>
      <c r="AD71" t="s">
        <v>36</v>
      </c>
      <c r="AE71" t="s">
        <v>578</v>
      </c>
      <c r="AF71" t="s">
        <v>86</v>
      </c>
      <c r="AG71" t="s">
        <v>311</v>
      </c>
      <c r="AH71" t="s">
        <v>160</v>
      </c>
      <c r="AI71" s="4">
        <f ca="1">data[[#This Row],[Expiry Date]]-TODAY()</f>
        <v>29</v>
      </c>
      <c r="AJ71" s="4">
        <f ca="1">data[[#This Row],[Maturity ( Days)]]/365</f>
        <v>7.9452054794520555E-2</v>
      </c>
      <c r="AK71" s="4" t="str">
        <f ca="1">IF(data[[#This Row],[Option Type]]="put","p","c")</f>
        <v>c</v>
      </c>
      <c r="AL71" s="4">
        <f ca="1">(data[[#This Row],[Bid]]*data[[#This Row],[Asksize]]+data[[#This Row],[Ask]]*data[[#This Row],[Bidsize]])/(data[[#This Row],[Bidsize]]+data[[#This Row],[Asksize]])</f>
        <v>150.6178571428571</v>
      </c>
      <c r="AM71" s="4">
        <f ca="1">VALUE(data[[#This Row],[Strike]])</f>
        <v>4000</v>
      </c>
      <c r="AN71" s="56">
        <f ca="1"/>
        <v>148.75877362541678</v>
      </c>
      <c r="AO71" s="57" t="str">
        <f ca="1"/>
        <v>c</v>
      </c>
      <c r="AP71" s="57">
        <f ca="1"/>
        <v>0.24543804334405653</v>
      </c>
      <c r="AQ71" s="58">
        <f ca="1"/>
        <v>0.61020630387188601</v>
      </c>
      <c r="AR71" s="58">
        <f ca="1"/>
        <v>1.3629489147403398E-3</v>
      </c>
      <c r="AS71" s="58">
        <f ca="1"/>
        <v>4.3958185222999573</v>
      </c>
      <c r="AT71" s="56">
        <f ca="1"/>
        <v>-192.40609927767539</v>
      </c>
      <c r="AU71" s="56">
        <f ca="1"/>
        <v>185.12425054077966</v>
      </c>
    </row>
    <row r="72" spans="1:47" x14ac:dyDescent="0.3">
      <c r="A72" t="s">
        <v>490</v>
      </c>
      <c r="B72" t="s">
        <v>491</v>
      </c>
      <c r="C72" t="s">
        <v>57</v>
      </c>
      <c r="D72" t="s">
        <v>84</v>
      </c>
      <c r="E72" t="s">
        <v>84</v>
      </c>
      <c r="F72" t="s">
        <v>492</v>
      </c>
      <c r="G72" t="s">
        <v>200</v>
      </c>
      <c r="H72" t="s">
        <v>636</v>
      </c>
      <c r="J72" t="s">
        <v>106</v>
      </c>
      <c r="K72" t="s">
        <v>159</v>
      </c>
      <c r="L72" t="s">
        <v>315</v>
      </c>
      <c r="M72" t="s">
        <v>84</v>
      </c>
      <c r="N72" t="s">
        <v>56</v>
      </c>
      <c r="O72" t="s">
        <v>36</v>
      </c>
      <c r="Q72" t="s">
        <v>84</v>
      </c>
      <c r="V72" t="s">
        <v>49</v>
      </c>
      <c r="X72" t="s">
        <v>84</v>
      </c>
      <c r="Z72" t="s">
        <v>84</v>
      </c>
      <c r="AA72" t="s">
        <v>84</v>
      </c>
      <c r="AB72" t="s">
        <v>36</v>
      </c>
      <c r="AC72" t="s">
        <v>578</v>
      </c>
      <c r="AD72" t="s">
        <v>36</v>
      </c>
      <c r="AE72" t="s">
        <v>578</v>
      </c>
      <c r="AF72" t="s">
        <v>86</v>
      </c>
      <c r="AG72" t="s">
        <v>311</v>
      </c>
      <c r="AH72" t="s">
        <v>160</v>
      </c>
      <c r="AI72" s="4">
        <f ca="1">data[[#This Row],[Expiry Date]]-TODAY()</f>
        <v>29</v>
      </c>
      <c r="AJ72" s="4">
        <f ca="1">data[[#This Row],[Maturity ( Days)]]/365</f>
        <v>7.9452054794520555E-2</v>
      </c>
      <c r="AK72" s="4" t="str">
        <f ca="1">IF(data[[#This Row],[Option Type]]="put","p","c")</f>
        <v>c</v>
      </c>
      <c r="AL72" s="4">
        <f ca="1">(data[[#This Row],[Bid]]*data[[#This Row],[Asksize]]+data[[#This Row],[Ask]]*data[[#This Row],[Bidsize]])/(data[[#This Row],[Bidsize]]+data[[#This Row],[Asksize]])</f>
        <v>144.08437499999999</v>
      </c>
      <c r="AM72" s="4">
        <f ca="1">VALUE(data[[#This Row],[Strike]])</f>
        <v>4010</v>
      </c>
      <c r="AN72" s="56">
        <f ca="1"/>
        <v>142.26344853616001</v>
      </c>
      <c r="AO72" s="57" t="str">
        <f ca="1"/>
        <v>c</v>
      </c>
      <c r="AP72" s="57">
        <f ca="1"/>
        <v>0.24377873259984628</v>
      </c>
      <c r="AQ72" s="58">
        <f ca="1"/>
        <v>0.59675448920775009</v>
      </c>
      <c r="AR72" s="58">
        <f ca="1"/>
        <v>1.384851049788785E-3</v>
      </c>
      <c r="AS72" s="58">
        <f ca="1"/>
        <v>4.436261884636548</v>
      </c>
      <c r="AT72" s="56">
        <f ca="1"/>
        <v>-192.71635023440302</v>
      </c>
      <c r="AU72" s="56">
        <f ca="1"/>
        <v>181.29855554279726</v>
      </c>
    </row>
    <row r="73" spans="1:47" x14ac:dyDescent="0.3">
      <c r="A73" t="s">
        <v>493</v>
      </c>
      <c r="B73" t="s">
        <v>494</v>
      </c>
      <c r="C73" t="s">
        <v>29</v>
      </c>
      <c r="D73" t="s">
        <v>84</v>
      </c>
      <c r="E73" t="s">
        <v>84</v>
      </c>
      <c r="F73" t="s">
        <v>492</v>
      </c>
      <c r="G73" t="s">
        <v>607</v>
      </c>
      <c r="H73" t="s">
        <v>773</v>
      </c>
      <c r="J73" t="s">
        <v>184</v>
      </c>
      <c r="K73" t="s">
        <v>83</v>
      </c>
      <c r="L73" t="s">
        <v>315</v>
      </c>
      <c r="M73" t="s">
        <v>84</v>
      </c>
      <c r="N73" t="s">
        <v>56</v>
      </c>
      <c r="O73" t="s">
        <v>36</v>
      </c>
      <c r="Q73" t="s">
        <v>84</v>
      </c>
      <c r="V73" t="s">
        <v>49</v>
      </c>
      <c r="X73" t="s">
        <v>84</v>
      </c>
      <c r="Z73" t="s">
        <v>84</v>
      </c>
      <c r="AA73" t="s">
        <v>84</v>
      </c>
      <c r="AB73" t="s">
        <v>36</v>
      </c>
      <c r="AC73" t="s">
        <v>578</v>
      </c>
      <c r="AD73" t="s">
        <v>36</v>
      </c>
      <c r="AE73" t="s">
        <v>578</v>
      </c>
      <c r="AF73" t="s">
        <v>86</v>
      </c>
      <c r="AG73" t="s">
        <v>311</v>
      </c>
      <c r="AH73" t="s">
        <v>160</v>
      </c>
      <c r="AI73" s="4">
        <f ca="1">data[[#This Row],[Expiry Date]]-TODAY()</f>
        <v>29</v>
      </c>
      <c r="AJ73" s="4">
        <f ca="1">data[[#This Row],[Maturity ( Days)]]/365</f>
        <v>7.9452054794520555E-2</v>
      </c>
      <c r="AK73" s="4" t="str">
        <f ca="1">IF(data[[#This Row],[Option Type]]="put","p","c")</f>
        <v>p</v>
      </c>
      <c r="AL73" s="4">
        <f ca="1">(data[[#This Row],[Bid]]*data[[#This Row],[Asksize]]+data[[#This Row],[Ask]]*data[[#This Row],[Bidsize]])/(data[[#This Row],[Bidsize]]+data[[#This Row],[Asksize]])</f>
        <v>93.123076923076923</v>
      </c>
      <c r="AM73" s="4">
        <f ca="1">VALUE(data[[#This Row],[Strike]])</f>
        <v>4010</v>
      </c>
      <c r="AN73" s="56">
        <f ca="1"/>
        <v>94.512845548991663</v>
      </c>
      <c r="AO73" s="57" t="str">
        <f ca="1"/>
        <v>p</v>
      </c>
      <c r="AP73" s="57">
        <f ca="1"/>
        <v>0.26774859824208053</v>
      </c>
      <c r="AQ73" s="58">
        <f ca="1"/>
        <v>-0.40924792649087949</v>
      </c>
      <c r="AR73" s="58">
        <f ca="1"/>
        <v>1.2655111511603397E-3</v>
      </c>
      <c r="AS73" s="58">
        <f ca="1"/>
        <v>4.4525774098499014</v>
      </c>
      <c r="AT73" s="56">
        <f ca="1"/>
        <v>-200.72981169175421</v>
      </c>
      <c r="AU73" s="56">
        <f ca="1"/>
        <v>-139.58131690513551</v>
      </c>
    </row>
    <row r="74" spans="1:47" x14ac:dyDescent="0.3">
      <c r="A74" t="s">
        <v>495</v>
      </c>
      <c r="B74" t="s">
        <v>496</v>
      </c>
      <c r="C74" t="s">
        <v>57</v>
      </c>
      <c r="D74" t="s">
        <v>84</v>
      </c>
      <c r="E74" t="s">
        <v>84</v>
      </c>
      <c r="F74" t="s">
        <v>497</v>
      </c>
      <c r="G74" t="s">
        <v>774</v>
      </c>
      <c r="H74" t="s">
        <v>775</v>
      </c>
      <c r="J74" t="s">
        <v>91</v>
      </c>
      <c r="K74" t="s">
        <v>184</v>
      </c>
      <c r="L74" t="s">
        <v>315</v>
      </c>
      <c r="M74" t="s">
        <v>84</v>
      </c>
      <c r="N74" t="s">
        <v>56</v>
      </c>
      <c r="O74" t="s">
        <v>36</v>
      </c>
      <c r="Q74" t="s">
        <v>84</v>
      </c>
      <c r="V74" t="s">
        <v>49</v>
      </c>
      <c r="X74" t="s">
        <v>84</v>
      </c>
      <c r="Z74" t="s">
        <v>84</v>
      </c>
      <c r="AA74" t="s">
        <v>84</v>
      </c>
      <c r="AB74" t="s">
        <v>36</v>
      </c>
      <c r="AC74" t="s">
        <v>578</v>
      </c>
      <c r="AD74" t="s">
        <v>36</v>
      </c>
      <c r="AE74" t="s">
        <v>578</v>
      </c>
      <c r="AF74" t="s">
        <v>86</v>
      </c>
      <c r="AG74" t="s">
        <v>311</v>
      </c>
      <c r="AH74" t="s">
        <v>160</v>
      </c>
      <c r="AI74" s="4">
        <f ca="1">data[[#This Row],[Expiry Date]]-TODAY()</f>
        <v>29</v>
      </c>
      <c r="AJ74" s="4">
        <f ca="1">data[[#This Row],[Maturity ( Days)]]/365</f>
        <v>7.9452054794520555E-2</v>
      </c>
      <c r="AK74" s="4" t="str">
        <f ca="1">IF(data[[#This Row],[Option Type]]="put","p","c")</f>
        <v>c</v>
      </c>
      <c r="AL74" s="4">
        <f ca="1">(data[[#This Row],[Bid]]*data[[#This Row],[Asksize]]+data[[#This Row],[Ask]]*data[[#This Row],[Bidsize]])/(data[[#This Row],[Bidsize]]+data[[#This Row],[Asksize]])</f>
        <v>136.55172413793105</v>
      </c>
      <c r="AM74" s="4">
        <f ca="1">VALUE(data[[#This Row],[Strike]])</f>
        <v>4020</v>
      </c>
      <c r="AN74" s="56">
        <f ca="1"/>
        <v>134.76706250119196</v>
      </c>
      <c r="AO74" s="57" t="str">
        <f ca="1"/>
        <v>c</v>
      </c>
      <c r="AP74" s="57">
        <f ca="1"/>
        <v>0.23959079023547616</v>
      </c>
      <c r="AQ74" s="58">
        <f ca="1"/>
        <v>0.58362119421228975</v>
      </c>
      <c r="AR74" s="58">
        <f ca="1"/>
        <v>1.4199577573678814E-3</v>
      </c>
      <c r="AS74" s="58">
        <f ca="1"/>
        <v>4.4705796926571404</v>
      </c>
      <c r="AT74" s="56">
        <f ca="1"/>
        <v>-190.80499808017694</v>
      </c>
      <c r="AU74" s="56">
        <f ca="1"/>
        <v>177.65513071295206</v>
      </c>
    </row>
    <row r="75" spans="1:47" x14ac:dyDescent="0.3">
      <c r="A75" t="s">
        <v>498</v>
      </c>
      <c r="B75" t="s">
        <v>499</v>
      </c>
      <c r="C75" t="s">
        <v>29</v>
      </c>
      <c r="D75" t="s">
        <v>84</v>
      </c>
      <c r="E75" t="s">
        <v>84</v>
      </c>
      <c r="F75" t="s">
        <v>497</v>
      </c>
      <c r="G75" t="s">
        <v>776</v>
      </c>
      <c r="H75" t="s">
        <v>777</v>
      </c>
      <c r="J75" t="s">
        <v>109</v>
      </c>
      <c r="K75" t="s">
        <v>109</v>
      </c>
      <c r="L75" t="s">
        <v>315</v>
      </c>
      <c r="M75" t="s">
        <v>84</v>
      </c>
      <c r="N75" t="s">
        <v>56</v>
      </c>
      <c r="O75" t="s">
        <v>36</v>
      </c>
      <c r="Q75" t="s">
        <v>84</v>
      </c>
      <c r="V75" t="s">
        <v>49</v>
      </c>
      <c r="X75" t="s">
        <v>84</v>
      </c>
      <c r="Z75" t="s">
        <v>84</v>
      </c>
      <c r="AA75" t="s">
        <v>84</v>
      </c>
      <c r="AB75" t="s">
        <v>36</v>
      </c>
      <c r="AC75" t="s">
        <v>578</v>
      </c>
      <c r="AD75" t="s">
        <v>36</v>
      </c>
      <c r="AE75" t="s">
        <v>578</v>
      </c>
      <c r="AF75" t="s">
        <v>86</v>
      </c>
      <c r="AG75" t="s">
        <v>311</v>
      </c>
      <c r="AH75" t="s">
        <v>160</v>
      </c>
      <c r="AI75" s="4">
        <f ca="1">data[[#This Row],[Expiry Date]]-TODAY()</f>
        <v>29</v>
      </c>
      <c r="AJ75" s="4">
        <f ca="1">data[[#This Row],[Maturity ( Days)]]/365</f>
        <v>7.9452054794520555E-2</v>
      </c>
      <c r="AK75" s="4" t="str">
        <f ca="1">IF(data[[#This Row],[Option Type]]="put","p","c")</f>
        <v>p</v>
      </c>
      <c r="AL75" s="4">
        <f ca="1">(data[[#This Row],[Bid]]*data[[#This Row],[Asksize]]+data[[#This Row],[Ask]]*data[[#This Row],[Bidsize]])/(data[[#This Row],[Bidsize]]+data[[#This Row],[Asksize]])</f>
        <v>96.699999999999989</v>
      </c>
      <c r="AM75" s="4">
        <f ca="1">VALUE(data[[#This Row],[Strike]])</f>
        <v>4020</v>
      </c>
      <c r="AN75" s="56">
        <f ca="1"/>
        <v>98.133037621675157</v>
      </c>
      <c r="AO75" s="57" t="str">
        <f ca="1"/>
        <v>p</v>
      </c>
      <c r="AP75" s="57">
        <f ca="1"/>
        <v>0.26589859845648517</v>
      </c>
      <c r="AQ75" s="58">
        <f ca="1"/>
        <v>-0.42178772382522478</v>
      </c>
      <c r="AR75" s="58">
        <f ca="1"/>
        <v>1.2830910920945838E-3</v>
      </c>
      <c r="AS75" s="58">
        <f ca="1"/>
        <v>4.4832384106831817</v>
      </c>
      <c r="AT75" s="56">
        <f ca="1"/>
        <v>-200.56565264367674</v>
      </c>
      <c r="AU75" s="56">
        <f ca="1"/>
        <v>-143.91573362416221</v>
      </c>
    </row>
    <row r="76" spans="1:47" x14ac:dyDescent="0.3">
      <c r="A76" t="s">
        <v>500</v>
      </c>
      <c r="B76" t="s">
        <v>501</v>
      </c>
      <c r="C76" t="s">
        <v>57</v>
      </c>
      <c r="D76" t="s">
        <v>84</v>
      </c>
      <c r="E76" t="s">
        <v>84</v>
      </c>
      <c r="F76" t="s">
        <v>502</v>
      </c>
      <c r="G76" t="s">
        <v>778</v>
      </c>
      <c r="H76" t="s">
        <v>635</v>
      </c>
      <c r="J76" t="s">
        <v>276</v>
      </c>
      <c r="K76" t="s">
        <v>276</v>
      </c>
      <c r="L76" t="s">
        <v>315</v>
      </c>
      <c r="M76" t="s">
        <v>84</v>
      </c>
      <c r="N76" t="s">
        <v>56</v>
      </c>
      <c r="O76" t="s">
        <v>36</v>
      </c>
      <c r="Q76" t="s">
        <v>84</v>
      </c>
      <c r="V76" t="s">
        <v>49</v>
      </c>
      <c r="X76" t="s">
        <v>84</v>
      </c>
      <c r="Z76" t="s">
        <v>84</v>
      </c>
      <c r="AA76" t="s">
        <v>84</v>
      </c>
      <c r="AB76" t="s">
        <v>36</v>
      </c>
      <c r="AC76" t="s">
        <v>578</v>
      </c>
      <c r="AD76" t="s">
        <v>36</v>
      </c>
      <c r="AE76" t="s">
        <v>578</v>
      </c>
      <c r="AF76" t="s">
        <v>86</v>
      </c>
      <c r="AG76" t="s">
        <v>311</v>
      </c>
      <c r="AH76" t="s">
        <v>160</v>
      </c>
      <c r="AI76" s="4">
        <f ca="1">data[[#This Row],[Expiry Date]]-TODAY()</f>
        <v>29</v>
      </c>
      <c r="AJ76" s="4">
        <f ca="1">data[[#This Row],[Maturity ( Days)]]/365</f>
        <v>7.9452054794520555E-2</v>
      </c>
      <c r="AK76" s="4" t="str">
        <f ca="1">IF(data[[#This Row],[Option Type]]="put","p","c")</f>
        <v>c</v>
      </c>
      <c r="AL76" s="4">
        <f ca="1">(data[[#This Row],[Bid]]*data[[#This Row],[Asksize]]+data[[#This Row],[Ask]]*data[[#This Row],[Bidsize]])/(data[[#This Row],[Bidsize]]+data[[#This Row],[Asksize]])</f>
        <v>131.9</v>
      </c>
      <c r="AM76" s="4">
        <f ca="1">VALUE(data[[#This Row],[Strike]])</f>
        <v>4030</v>
      </c>
      <c r="AN76" s="56">
        <f ca="1"/>
        <v>130.159296033386</v>
      </c>
      <c r="AO76" s="57" t="str">
        <f ca="1"/>
        <v>c</v>
      </c>
      <c r="AP76" s="57">
        <f ca="1"/>
        <v>0.24155877630169881</v>
      </c>
      <c r="AQ76" s="58">
        <f ca="1"/>
        <v>0.56887452055490162</v>
      </c>
      <c r="AR76" s="58">
        <f ca="1"/>
        <v>1.418627035574588E-3</v>
      </c>
      <c r="AS76" s="58">
        <f ca="1"/>
        <v>4.5030767540188048</v>
      </c>
      <c r="AT76" s="56">
        <f ca="1"/>
        <v>-193.52372262404887</v>
      </c>
      <c r="AU76" s="56">
        <f ca="1"/>
        <v>173.2616899562102</v>
      </c>
    </row>
    <row r="77" spans="1:47" x14ac:dyDescent="0.3">
      <c r="A77" t="s">
        <v>503</v>
      </c>
      <c r="B77" t="s">
        <v>504</v>
      </c>
      <c r="C77" t="s">
        <v>29</v>
      </c>
      <c r="D77" t="s">
        <v>84</v>
      </c>
      <c r="E77" t="s">
        <v>84</v>
      </c>
      <c r="F77" t="s">
        <v>502</v>
      </c>
      <c r="G77" t="s">
        <v>779</v>
      </c>
      <c r="H77" t="s">
        <v>297</v>
      </c>
      <c r="J77" t="s">
        <v>109</v>
      </c>
      <c r="K77" t="s">
        <v>109</v>
      </c>
      <c r="L77" t="s">
        <v>315</v>
      </c>
      <c r="M77" t="s">
        <v>84</v>
      </c>
      <c r="N77" t="s">
        <v>56</v>
      </c>
      <c r="O77" t="s">
        <v>36</v>
      </c>
      <c r="Q77" t="s">
        <v>84</v>
      </c>
      <c r="V77" t="s">
        <v>49</v>
      </c>
      <c r="X77" t="s">
        <v>84</v>
      </c>
      <c r="Z77" t="s">
        <v>84</v>
      </c>
      <c r="AA77" t="s">
        <v>84</v>
      </c>
      <c r="AB77" t="s">
        <v>36</v>
      </c>
      <c r="AC77" t="s">
        <v>578</v>
      </c>
      <c r="AD77" t="s">
        <v>36</v>
      </c>
      <c r="AE77" t="s">
        <v>578</v>
      </c>
      <c r="AF77" t="s">
        <v>86</v>
      </c>
      <c r="AG77" t="s">
        <v>311</v>
      </c>
      <c r="AH77" t="s">
        <v>160</v>
      </c>
      <c r="AI77" s="4">
        <f ca="1">data[[#This Row],[Expiry Date]]-TODAY()</f>
        <v>29</v>
      </c>
      <c r="AJ77" s="4">
        <f ca="1">data[[#This Row],[Maturity ( Days)]]/365</f>
        <v>7.9452054794520555E-2</v>
      </c>
      <c r="AK77" s="4" t="str">
        <f ca="1">IF(data[[#This Row],[Option Type]]="put","p","c")</f>
        <v>p</v>
      </c>
      <c r="AL77" s="4">
        <f ca="1">(data[[#This Row],[Bid]]*data[[#This Row],[Asksize]]+data[[#This Row],[Ask]]*data[[#This Row],[Bidsize]])/(data[[#This Row],[Bidsize]]+data[[#This Row],[Asksize]])</f>
        <v>100.6</v>
      </c>
      <c r="AM77" s="4">
        <f ca="1">VALUE(data[[#This Row],[Strike]])</f>
        <v>4030</v>
      </c>
      <c r="AN77" s="56">
        <f ca="1"/>
        <v>102.07749642768931</v>
      </c>
      <c r="AO77" s="57" t="str">
        <f ca="1"/>
        <v>p</v>
      </c>
      <c r="AP77" s="57">
        <f ca="1"/>
        <v>0.26450023464492595</v>
      </c>
      <c r="AQ77" s="58">
        <f ca="1"/>
        <v>-0.43461120843389001</v>
      </c>
      <c r="AR77" s="58">
        <f ca="1"/>
        <v>1.2975252428450725E-3</v>
      </c>
      <c r="AS77" s="58">
        <f ca="1"/>
        <v>4.5098300252802401</v>
      </c>
      <c r="AT77" s="56">
        <f ca="1"/>
        <v>-200.54379733461329</v>
      </c>
      <c r="AU77" s="56">
        <f ca="1"/>
        <v>-148.36744894432118</v>
      </c>
    </row>
    <row r="78" spans="1:47" x14ac:dyDescent="0.3">
      <c r="A78" t="s">
        <v>508</v>
      </c>
      <c r="B78" t="s">
        <v>509</v>
      </c>
      <c r="C78" t="s">
        <v>29</v>
      </c>
      <c r="D78" t="s">
        <v>84</v>
      </c>
      <c r="E78" t="s">
        <v>84</v>
      </c>
      <c r="F78" t="s">
        <v>507</v>
      </c>
      <c r="G78" t="s">
        <v>595</v>
      </c>
      <c r="H78" t="s">
        <v>780</v>
      </c>
      <c r="J78" t="s">
        <v>109</v>
      </c>
      <c r="K78" t="s">
        <v>109</v>
      </c>
      <c r="L78" t="s">
        <v>315</v>
      </c>
      <c r="M78" t="s">
        <v>84</v>
      </c>
      <c r="N78" t="s">
        <v>56</v>
      </c>
      <c r="O78" t="s">
        <v>36</v>
      </c>
      <c r="Q78" t="s">
        <v>84</v>
      </c>
      <c r="V78" t="s">
        <v>49</v>
      </c>
      <c r="X78" t="s">
        <v>84</v>
      </c>
      <c r="Z78" t="s">
        <v>84</v>
      </c>
      <c r="AA78" t="s">
        <v>84</v>
      </c>
      <c r="AB78" t="s">
        <v>36</v>
      </c>
      <c r="AC78" t="s">
        <v>578</v>
      </c>
      <c r="AD78" t="s">
        <v>36</v>
      </c>
      <c r="AE78" t="s">
        <v>578</v>
      </c>
      <c r="AF78" t="s">
        <v>86</v>
      </c>
      <c r="AG78" t="s">
        <v>311</v>
      </c>
      <c r="AH78" t="s">
        <v>160</v>
      </c>
      <c r="AI78" s="4">
        <f ca="1">data[[#This Row],[Expiry Date]]-TODAY()</f>
        <v>29</v>
      </c>
      <c r="AJ78" s="4">
        <f ca="1">data[[#This Row],[Maturity ( Days)]]/365</f>
        <v>7.9452054794520555E-2</v>
      </c>
      <c r="AK78" s="4" t="str">
        <f ca="1">IF(data[[#This Row],[Option Type]]="put","p","c")</f>
        <v>p</v>
      </c>
      <c r="AL78" s="4">
        <f ca="1">(data[[#This Row],[Bid]]*data[[#This Row],[Asksize]]+data[[#This Row],[Ask]]*data[[#This Row],[Bidsize]])/(data[[#This Row],[Bidsize]]+data[[#This Row],[Asksize]])</f>
        <v>104.55</v>
      </c>
      <c r="AM78" s="4">
        <f ca="1">VALUE(data[[#This Row],[Strike]])</f>
        <v>4040</v>
      </c>
      <c r="AN78" s="56">
        <f ca="1"/>
        <v>106.07250918384443</v>
      </c>
      <c r="AO78" s="57" t="str">
        <f ca="1"/>
        <v>p</v>
      </c>
      <c r="AP78" s="57">
        <f ca="1"/>
        <v>0.26293701114392543</v>
      </c>
      <c r="AQ78" s="58">
        <f ca="1"/>
        <v>-0.44759329142516635</v>
      </c>
      <c r="AR78" s="58">
        <f ca="1"/>
        <v>1.3116191270869705E-3</v>
      </c>
      <c r="AS78" s="58">
        <f ca="1"/>
        <v>4.5318733006035714</v>
      </c>
      <c r="AT78" s="56">
        <f ca="1"/>
        <v>-200.17207689381118</v>
      </c>
      <c r="AU78" s="56">
        <f ca="1"/>
        <v>-152.87436271060531</v>
      </c>
    </row>
    <row r="79" spans="1:47" x14ac:dyDescent="0.3">
      <c r="A79" t="s">
        <v>510</v>
      </c>
      <c r="B79" t="s">
        <v>511</v>
      </c>
      <c r="C79" t="s">
        <v>29</v>
      </c>
      <c r="D79" t="s">
        <v>84</v>
      </c>
      <c r="E79" t="s">
        <v>84</v>
      </c>
      <c r="F79" t="s">
        <v>110</v>
      </c>
      <c r="G79" t="s">
        <v>653</v>
      </c>
      <c r="H79" t="s">
        <v>312</v>
      </c>
      <c r="J79" t="s">
        <v>92</v>
      </c>
      <c r="K79" t="s">
        <v>111</v>
      </c>
      <c r="L79" t="s">
        <v>315</v>
      </c>
      <c r="M79" t="s">
        <v>84</v>
      </c>
      <c r="N79" t="s">
        <v>56</v>
      </c>
      <c r="O79" t="s">
        <v>36</v>
      </c>
      <c r="Q79" t="s">
        <v>84</v>
      </c>
      <c r="V79" t="s">
        <v>49</v>
      </c>
      <c r="X79" t="s">
        <v>84</v>
      </c>
      <c r="Z79" t="s">
        <v>84</v>
      </c>
      <c r="AA79" t="s">
        <v>84</v>
      </c>
      <c r="AB79" t="s">
        <v>36</v>
      </c>
      <c r="AC79" t="s">
        <v>578</v>
      </c>
      <c r="AD79" t="s">
        <v>36</v>
      </c>
      <c r="AE79" t="s">
        <v>578</v>
      </c>
      <c r="AF79" t="s">
        <v>86</v>
      </c>
      <c r="AG79" t="s">
        <v>311</v>
      </c>
      <c r="AH79" t="s">
        <v>160</v>
      </c>
      <c r="AI79" s="4">
        <f ca="1">data[[#This Row],[Expiry Date]]-TODAY()</f>
        <v>29</v>
      </c>
      <c r="AJ79" s="4">
        <f ca="1">data[[#This Row],[Maturity ( Days)]]/365</f>
        <v>7.9452054794520555E-2</v>
      </c>
      <c r="AK79" s="4" t="str">
        <f ca="1">IF(data[[#This Row],[Option Type]]="put","p","c")</f>
        <v>p</v>
      </c>
      <c r="AL79" s="4">
        <f ca="1">(data[[#This Row],[Bid]]*data[[#This Row],[Asksize]]+data[[#This Row],[Ask]]*data[[#This Row],[Bidsize]])/(data[[#This Row],[Bidsize]]+data[[#This Row],[Asksize]])</f>
        <v>109.14285714285714</v>
      </c>
      <c r="AM79" s="4">
        <f ca="1">VALUE(data[[#This Row],[Strike]])</f>
        <v>4050</v>
      </c>
      <c r="AN79" s="56">
        <f ca="1"/>
        <v>110.71164041309703</v>
      </c>
      <c r="AO79" s="57" t="str">
        <f ca="1"/>
        <v>p</v>
      </c>
      <c r="AP79" s="57">
        <f ca="1"/>
        <v>0.26251115263580294</v>
      </c>
      <c r="AQ79" s="58">
        <f ca="1"/>
        <v>-0.46079643452981633</v>
      </c>
      <c r="AR79" s="58">
        <f ca="1"/>
        <v>1.3187938580208739E-3</v>
      </c>
      <c r="AS79" s="58">
        <f ca="1"/>
        <v>4.5492831788143118</v>
      </c>
      <c r="AT79" s="56">
        <f ca="1"/>
        <v>-200.46754858976254</v>
      </c>
      <c r="AU79" s="56">
        <f ca="1"/>
        <v>-157.50375588621978</v>
      </c>
    </row>
    <row r="80" spans="1:47" x14ac:dyDescent="0.3">
      <c r="A80" t="s">
        <v>517</v>
      </c>
      <c r="B80" t="s">
        <v>518</v>
      </c>
      <c r="C80" t="s">
        <v>29</v>
      </c>
      <c r="D80" t="s">
        <v>84</v>
      </c>
      <c r="E80" t="s">
        <v>84</v>
      </c>
      <c r="F80" t="s">
        <v>516</v>
      </c>
      <c r="G80" t="s">
        <v>781</v>
      </c>
      <c r="H80" t="s">
        <v>782</v>
      </c>
      <c r="J80" t="s">
        <v>111</v>
      </c>
      <c r="K80" t="s">
        <v>111</v>
      </c>
      <c r="L80" t="s">
        <v>315</v>
      </c>
      <c r="M80" t="s">
        <v>84</v>
      </c>
      <c r="N80" t="s">
        <v>56</v>
      </c>
      <c r="O80" t="s">
        <v>36</v>
      </c>
      <c r="Q80" t="s">
        <v>84</v>
      </c>
      <c r="V80" t="s">
        <v>49</v>
      </c>
      <c r="X80" t="s">
        <v>84</v>
      </c>
      <c r="Z80" t="s">
        <v>84</v>
      </c>
      <c r="AA80" t="s">
        <v>84</v>
      </c>
      <c r="AB80" t="s">
        <v>36</v>
      </c>
      <c r="AC80" t="s">
        <v>578</v>
      </c>
      <c r="AD80" t="s">
        <v>36</v>
      </c>
      <c r="AE80" t="s">
        <v>578</v>
      </c>
      <c r="AF80" t="s">
        <v>86</v>
      </c>
      <c r="AG80" t="s">
        <v>311</v>
      </c>
      <c r="AH80" t="s">
        <v>160</v>
      </c>
      <c r="AI80" s="4">
        <f ca="1">data[[#This Row],[Expiry Date]]-TODAY()</f>
        <v>29</v>
      </c>
      <c r="AJ80" s="4">
        <f ca="1">data[[#This Row],[Maturity ( Days)]]/365</f>
        <v>7.9452054794520555E-2</v>
      </c>
      <c r="AK80" s="4" t="str">
        <f ca="1">IF(data[[#This Row],[Option Type]]="put","p","c")</f>
        <v>p</v>
      </c>
      <c r="AL80" s="4">
        <f ca="1">(data[[#This Row],[Bid]]*data[[#This Row],[Asksize]]+data[[#This Row],[Ask]]*data[[#This Row],[Bidsize]])/(data[[#This Row],[Bidsize]]+data[[#This Row],[Asksize]])</f>
        <v>113.25</v>
      </c>
      <c r="AM80" s="4">
        <f ca="1">VALUE(data[[#This Row],[Strike]])</f>
        <v>4060</v>
      </c>
      <c r="AN80" s="56">
        <f ca="1"/>
        <v>114.86487321756931</v>
      </c>
      <c r="AO80" s="57" t="str">
        <f ca="1"/>
        <v>p</v>
      </c>
      <c r="AP80" s="57">
        <f ca="1"/>
        <v>0.26073143081897543</v>
      </c>
      <c r="AQ80" s="58">
        <f ca="1"/>
        <v>-0.47407088770719807</v>
      </c>
      <c r="AR80" s="58">
        <f ca="1"/>
        <v>1.3314240936820767E-3</v>
      </c>
      <c r="AS80" s="58">
        <f ca="1"/>
        <v>4.5617144488196377</v>
      </c>
      <c r="AT80" s="56">
        <f ca="1"/>
        <v>-199.47121486053663</v>
      </c>
      <c r="AU80" s="56">
        <f ca="1"/>
        <v>-162.11758824811599</v>
      </c>
    </row>
    <row r="81" spans="1:47" x14ac:dyDescent="0.3">
      <c r="A81" t="s">
        <v>522</v>
      </c>
      <c r="B81" t="s">
        <v>523</v>
      </c>
      <c r="C81" t="s">
        <v>29</v>
      </c>
      <c r="D81" t="s">
        <v>84</v>
      </c>
      <c r="E81" t="s">
        <v>84</v>
      </c>
      <c r="F81" t="s">
        <v>521</v>
      </c>
      <c r="G81" t="s">
        <v>610</v>
      </c>
      <c r="H81" t="s">
        <v>783</v>
      </c>
      <c r="J81" t="s">
        <v>111</v>
      </c>
      <c r="K81" t="s">
        <v>111</v>
      </c>
      <c r="L81" t="s">
        <v>315</v>
      </c>
      <c r="M81" t="s">
        <v>84</v>
      </c>
      <c r="N81" t="s">
        <v>56</v>
      </c>
      <c r="O81" t="s">
        <v>36</v>
      </c>
      <c r="Q81" t="s">
        <v>84</v>
      </c>
      <c r="V81" t="s">
        <v>49</v>
      </c>
      <c r="X81" t="s">
        <v>84</v>
      </c>
      <c r="Z81" t="s">
        <v>84</v>
      </c>
      <c r="AA81" t="s">
        <v>84</v>
      </c>
      <c r="AB81" t="s">
        <v>36</v>
      </c>
      <c r="AC81" t="s">
        <v>578</v>
      </c>
      <c r="AD81" t="s">
        <v>36</v>
      </c>
      <c r="AE81" t="s">
        <v>578</v>
      </c>
      <c r="AF81" t="s">
        <v>86</v>
      </c>
      <c r="AG81" t="s">
        <v>311</v>
      </c>
      <c r="AH81" t="s">
        <v>160</v>
      </c>
      <c r="AI81" s="4">
        <f ca="1">data[[#This Row],[Expiry Date]]-TODAY()</f>
        <v>29</v>
      </c>
      <c r="AJ81" s="4">
        <f ca="1">data[[#This Row],[Maturity ( Days)]]/365</f>
        <v>7.9452054794520555E-2</v>
      </c>
      <c r="AK81" s="4" t="str">
        <f ca="1">IF(data[[#This Row],[Option Type]]="put","p","c")</f>
        <v>p</v>
      </c>
      <c r="AL81" s="4">
        <f ca="1">(data[[#This Row],[Bid]]*data[[#This Row],[Asksize]]+data[[#This Row],[Ask]]*data[[#This Row],[Bidsize]])/(data[[#This Row],[Bidsize]]+data[[#This Row],[Asksize]])</f>
        <v>117.4</v>
      </c>
      <c r="AM81" s="4">
        <f ca="1">VALUE(data[[#This Row],[Strike]])</f>
        <v>4070</v>
      </c>
      <c r="AN81" s="56">
        <f ca="1"/>
        <v>119.06161113254757</v>
      </c>
      <c r="AO81" s="57" t="str">
        <f ca="1"/>
        <v>p</v>
      </c>
      <c r="AP81" s="57">
        <f ca="1"/>
        <v>0.25876231416932838</v>
      </c>
      <c r="AQ81" s="58">
        <f ca="1"/>
        <v>-0.48753483770033912</v>
      </c>
      <c r="AR81" s="58">
        <f ca="1"/>
        <v>1.3437401599927061E-3</v>
      </c>
      <c r="AS81" s="58">
        <f ca="1"/>
        <v>4.5691416276998682</v>
      </c>
      <c r="AT81" s="56">
        <f ca="1"/>
        <v>-198.09240344149421</v>
      </c>
      <c r="AU81" s="56">
        <f ca="1"/>
        <v>-166.79603141752028</v>
      </c>
    </row>
    <row r="82" spans="1:47" x14ac:dyDescent="0.3">
      <c r="A82" t="s">
        <v>527</v>
      </c>
      <c r="B82" t="s">
        <v>528</v>
      </c>
      <c r="C82" t="s">
        <v>29</v>
      </c>
      <c r="D82" t="s">
        <v>84</v>
      </c>
      <c r="E82" t="s">
        <v>84</v>
      </c>
      <c r="F82" t="s">
        <v>526</v>
      </c>
      <c r="G82" t="s">
        <v>596</v>
      </c>
      <c r="H82" t="s">
        <v>221</v>
      </c>
      <c r="J82" t="s">
        <v>111</v>
      </c>
      <c r="K82" t="s">
        <v>111</v>
      </c>
      <c r="L82" t="s">
        <v>315</v>
      </c>
      <c r="M82" t="s">
        <v>84</v>
      </c>
      <c r="N82" t="s">
        <v>56</v>
      </c>
      <c r="O82" t="s">
        <v>36</v>
      </c>
      <c r="Q82" t="s">
        <v>84</v>
      </c>
      <c r="V82" t="s">
        <v>49</v>
      </c>
      <c r="X82" t="s">
        <v>84</v>
      </c>
      <c r="Z82" t="s">
        <v>84</v>
      </c>
      <c r="AA82" t="s">
        <v>84</v>
      </c>
      <c r="AB82" t="s">
        <v>36</v>
      </c>
      <c r="AC82" t="s">
        <v>578</v>
      </c>
      <c r="AD82" t="s">
        <v>36</v>
      </c>
      <c r="AE82" t="s">
        <v>578</v>
      </c>
      <c r="AF82" t="s">
        <v>86</v>
      </c>
      <c r="AG82" t="s">
        <v>311</v>
      </c>
      <c r="AH82" t="s">
        <v>160</v>
      </c>
      <c r="AI82" s="4">
        <f ca="1">data[[#This Row],[Expiry Date]]-TODAY()</f>
        <v>29</v>
      </c>
      <c r="AJ82" s="4">
        <f ca="1">data[[#This Row],[Maturity ( Days)]]/365</f>
        <v>7.9452054794520555E-2</v>
      </c>
      <c r="AK82" s="4" t="str">
        <f ca="1">IF(data[[#This Row],[Option Type]]="put","p","c")</f>
        <v>p</v>
      </c>
      <c r="AL82" s="4">
        <f ca="1">(data[[#This Row],[Bid]]*data[[#This Row],[Asksize]]+data[[#This Row],[Ask]]*data[[#This Row],[Bidsize]])/(data[[#This Row],[Bidsize]]+data[[#This Row],[Asksize]])</f>
        <v>121.9</v>
      </c>
      <c r="AM82" s="4">
        <f ca="1">VALUE(data[[#This Row],[Strike]])</f>
        <v>4080</v>
      </c>
      <c r="AN82" s="56">
        <f ca="1"/>
        <v>123.60906779843253</v>
      </c>
      <c r="AO82" s="57" t="str">
        <f ca="1"/>
        <v>p</v>
      </c>
      <c r="AP82" s="57">
        <f ca="1"/>
        <v>0.25727109289049777</v>
      </c>
      <c r="AQ82" s="58">
        <f ca="1"/>
        <v>-0.50112888479161777</v>
      </c>
      <c r="AR82" s="58">
        <f ca="1"/>
        <v>1.3521835851813327E-3</v>
      </c>
      <c r="AS82" s="58">
        <f ca="1"/>
        <v>4.5713549844880168</v>
      </c>
      <c r="AT82" s="56">
        <f ca="1"/>
        <v>-196.85195897010141</v>
      </c>
      <c r="AU82" s="56">
        <f ca="1"/>
        <v>-171.5443044814271</v>
      </c>
    </row>
    <row r="83" spans="1:47" x14ac:dyDescent="0.3">
      <c r="A83" t="s">
        <v>532</v>
      </c>
      <c r="B83" t="s">
        <v>533</v>
      </c>
      <c r="C83" t="s">
        <v>29</v>
      </c>
      <c r="D83" t="s">
        <v>84</v>
      </c>
      <c r="E83" t="s">
        <v>84</v>
      </c>
      <c r="F83" t="s">
        <v>531</v>
      </c>
      <c r="G83" t="s">
        <v>784</v>
      </c>
      <c r="H83" t="s">
        <v>785</v>
      </c>
      <c r="J83" t="s">
        <v>94</v>
      </c>
      <c r="K83" t="s">
        <v>94</v>
      </c>
      <c r="L83" t="s">
        <v>315</v>
      </c>
      <c r="M83" t="s">
        <v>84</v>
      </c>
      <c r="N83" t="s">
        <v>56</v>
      </c>
      <c r="O83" t="s">
        <v>36</v>
      </c>
      <c r="Q83" t="s">
        <v>84</v>
      </c>
      <c r="V83" t="s">
        <v>49</v>
      </c>
      <c r="X83" t="s">
        <v>84</v>
      </c>
      <c r="Z83" t="s">
        <v>84</v>
      </c>
      <c r="AA83" t="s">
        <v>84</v>
      </c>
      <c r="AB83" t="s">
        <v>36</v>
      </c>
      <c r="AC83" t="s">
        <v>578</v>
      </c>
      <c r="AD83" t="s">
        <v>36</v>
      </c>
      <c r="AE83" t="s">
        <v>578</v>
      </c>
      <c r="AF83" t="s">
        <v>86</v>
      </c>
      <c r="AG83" t="s">
        <v>311</v>
      </c>
      <c r="AH83" t="s">
        <v>160</v>
      </c>
      <c r="AI83" s="4">
        <f ca="1">data[[#This Row],[Expiry Date]]-TODAY()</f>
        <v>29</v>
      </c>
      <c r="AJ83" s="4">
        <f ca="1">data[[#This Row],[Maturity ( Days)]]/365</f>
        <v>7.9452054794520555E-2</v>
      </c>
      <c r="AK83" s="4" t="str">
        <f ca="1">IF(data[[#This Row],[Option Type]]="put","p","c")</f>
        <v>p</v>
      </c>
      <c r="AL83" s="4">
        <f ca="1">(data[[#This Row],[Bid]]*data[[#This Row],[Asksize]]+data[[#This Row],[Ask]]*data[[#This Row],[Bidsize]])/(data[[#This Row],[Bidsize]]+data[[#This Row],[Asksize]])</f>
        <v>126.85000000000001</v>
      </c>
      <c r="AM83" s="4">
        <f ca="1">VALUE(data[[#This Row],[Strike]])</f>
        <v>4090</v>
      </c>
      <c r="AN83" s="56">
        <f ca="1"/>
        <v>128.60692610688102</v>
      </c>
      <c r="AO83" s="57" t="str">
        <f ca="1"/>
        <v>p</v>
      </c>
      <c r="AP83" s="57">
        <f ca="1"/>
        <v>0.25647145862234783</v>
      </c>
      <c r="AQ83" s="58">
        <f ca="1"/>
        <v>-0.51472822456134604</v>
      </c>
      <c r="AR83" s="58">
        <f ca="1"/>
        <v>1.3554804308602408E-3</v>
      </c>
      <c r="AS83" s="58">
        <f ca="1"/>
        <v>4.5682576505298327</v>
      </c>
      <c r="AT83" s="56">
        <f ca="1"/>
        <v>-195.91959720251489</v>
      </c>
      <c r="AU83" s="56">
        <f ca="1"/>
        <v>-176.33004258539341</v>
      </c>
    </row>
    <row r="84" spans="1:47" x14ac:dyDescent="0.3">
      <c r="A84" t="s">
        <v>536</v>
      </c>
      <c r="B84" t="s">
        <v>537</v>
      </c>
      <c r="C84" t="s">
        <v>29</v>
      </c>
      <c r="D84" t="s">
        <v>84</v>
      </c>
      <c r="E84" t="s">
        <v>84</v>
      </c>
      <c r="F84" t="s">
        <v>140</v>
      </c>
      <c r="G84" t="s">
        <v>786</v>
      </c>
      <c r="H84" t="s">
        <v>209</v>
      </c>
      <c r="J84" t="s">
        <v>94</v>
      </c>
      <c r="K84" t="s">
        <v>94</v>
      </c>
      <c r="L84" t="s">
        <v>315</v>
      </c>
      <c r="M84" t="s">
        <v>84</v>
      </c>
      <c r="N84" t="s">
        <v>56</v>
      </c>
      <c r="O84" t="s">
        <v>36</v>
      </c>
      <c r="Q84" t="s">
        <v>84</v>
      </c>
      <c r="V84" t="s">
        <v>49</v>
      </c>
      <c r="X84" t="s">
        <v>84</v>
      </c>
      <c r="Z84" t="s">
        <v>84</v>
      </c>
      <c r="AA84" t="s">
        <v>84</v>
      </c>
      <c r="AB84" t="s">
        <v>36</v>
      </c>
      <c r="AC84" t="s">
        <v>578</v>
      </c>
      <c r="AD84" t="s">
        <v>36</v>
      </c>
      <c r="AE84" t="s">
        <v>578</v>
      </c>
      <c r="AF84" t="s">
        <v>86</v>
      </c>
      <c r="AG84" t="s">
        <v>311</v>
      </c>
      <c r="AH84" t="s">
        <v>160</v>
      </c>
      <c r="AI84" s="4">
        <f ca="1">data[[#This Row],[Expiry Date]]-TODAY()</f>
        <v>29</v>
      </c>
      <c r="AJ84" s="4">
        <f ca="1">data[[#This Row],[Maturity ( Days)]]/365</f>
        <v>7.9452054794520555E-2</v>
      </c>
      <c r="AK84" s="4" t="str">
        <f ca="1">IF(data[[#This Row],[Option Type]]="put","p","c")</f>
        <v>p</v>
      </c>
      <c r="AL84" s="4">
        <f ca="1">(data[[#This Row],[Bid]]*data[[#This Row],[Asksize]]+data[[#This Row],[Ask]]*data[[#This Row],[Bidsize]])/(data[[#This Row],[Bidsize]]+data[[#This Row],[Asksize]])</f>
        <v>131.35000000000002</v>
      </c>
      <c r="AM84" s="4">
        <f ca="1">VALUE(data[[#This Row],[Strike]])</f>
        <v>4100</v>
      </c>
      <c r="AN84" s="56">
        <f ca="1"/>
        <v>133.15543732632568</v>
      </c>
      <c r="AO84" s="57" t="str">
        <f ca="1"/>
        <v>p</v>
      </c>
      <c r="AP84" s="57">
        <f ca="1"/>
        <v>0.25439044883665657</v>
      </c>
      <c r="AQ84" s="58">
        <f ca="1"/>
        <v>-0.52864873878181462</v>
      </c>
      <c r="AR84" s="58">
        <f ca="1"/>
        <v>1.3639732297184069E-3</v>
      </c>
      <c r="AS84" s="58">
        <f ca="1"/>
        <v>4.5595810983952525</v>
      </c>
      <c r="AT84" s="56">
        <f ca="1"/>
        <v>-193.73247027403997</v>
      </c>
      <c r="AU84" s="56">
        <f ca="1"/>
        <v>-181.18376126863529</v>
      </c>
    </row>
    <row r="85" spans="1:47" x14ac:dyDescent="0.3">
      <c r="A85" t="s">
        <v>541</v>
      </c>
      <c r="B85" t="s">
        <v>542</v>
      </c>
      <c r="C85" t="s">
        <v>29</v>
      </c>
      <c r="D85" t="s">
        <v>84</v>
      </c>
      <c r="E85" t="s">
        <v>84</v>
      </c>
      <c r="F85" t="s">
        <v>540</v>
      </c>
      <c r="G85" t="s">
        <v>787</v>
      </c>
      <c r="H85" t="s">
        <v>788</v>
      </c>
      <c r="J85" t="s">
        <v>104</v>
      </c>
      <c r="K85" t="s">
        <v>102</v>
      </c>
      <c r="L85" t="s">
        <v>315</v>
      </c>
      <c r="M85" t="s">
        <v>84</v>
      </c>
      <c r="N85" t="s">
        <v>56</v>
      </c>
      <c r="O85" t="s">
        <v>36</v>
      </c>
      <c r="Q85" t="s">
        <v>84</v>
      </c>
      <c r="V85" t="s">
        <v>49</v>
      </c>
      <c r="X85" t="s">
        <v>84</v>
      </c>
      <c r="Z85" t="s">
        <v>84</v>
      </c>
      <c r="AA85" t="s">
        <v>84</v>
      </c>
      <c r="AB85" t="s">
        <v>36</v>
      </c>
      <c r="AC85" t="s">
        <v>578</v>
      </c>
      <c r="AD85" t="s">
        <v>36</v>
      </c>
      <c r="AE85" t="s">
        <v>578</v>
      </c>
      <c r="AF85" t="s">
        <v>86</v>
      </c>
      <c r="AG85" t="s">
        <v>311</v>
      </c>
      <c r="AH85" t="s">
        <v>160</v>
      </c>
      <c r="AI85" s="4">
        <f ca="1">data[[#This Row],[Expiry Date]]-TODAY()</f>
        <v>29</v>
      </c>
      <c r="AJ85" s="4">
        <f ca="1">data[[#This Row],[Maturity ( Days)]]/365</f>
        <v>7.9452054794520555E-2</v>
      </c>
      <c r="AK85" s="4" t="str">
        <f ca="1">IF(data[[#This Row],[Option Type]]="put","p","c")</f>
        <v>p</v>
      </c>
      <c r="AL85" s="4">
        <f ca="1">(data[[#This Row],[Bid]]*data[[#This Row],[Asksize]]+data[[#This Row],[Ask]]*data[[#This Row],[Bidsize]])/(data[[#This Row],[Bidsize]]+data[[#This Row],[Asksize]])</f>
        <v>143.66315789473686</v>
      </c>
      <c r="AM85" s="4">
        <f ca="1">VALUE(data[[#This Row],[Strike]])</f>
        <v>4125</v>
      </c>
      <c r="AN85" s="56">
        <f ca="1"/>
        <v>145.59174245989698</v>
      </c>
      <c r="AO85" s="57" t="str">
        <f ca="1"/>
        <v>p</v>
      </c>
      <c r="AP85" s="57">
        <f ca="1"/>
        <v>0.25018975594498732</v>
      </c>
      <c r="AQ85" s="58">
        <f ca="1"/>
        <v>-0.56374675477467084</v>
      </c>
      <c r="AR85" s="58">
        <f ca="1"/>
        <v>1.3726720918426243E-3</v>
      </c>
      <c r="AS85" s="58">
        <f ca="1"/>
        <v>4.51288871178701</v>
      </c>
      <c r="AT85" s="56">
        <f ca="1"/>
        <v>-187.99105011326984</v>
      </c>
      <c r="AU85" s="56">
        <f ca="1"/>
        <v>-193.49837423489981</v>
      </c>
    </row>
    <row r="86" spans="1:47" x14ac:dyDescent="0.3">
      <c r="A86" t="s">
        <v>543</v>
      </c>
      <c r="B86" t="s">
        <v>544</v>
      </c>
      <c r="C86" t="s">
        <v>29</v>
      </c>
      <c r="D86" t="s">
        <v>84</v>
      </c>
      <c r="E86" t="s">
        <v>84</v>
      </c>
      <c r="F86" t="s">
        <v>545</v>
      </c>
      <c r="G86" t="s">
        <v>789</v>
      </c>
      <c r="H86" t="s">
        <v>790</v>
      </c>
      <c r="J86" t="s">
        <v>108</v>
      </c>
      <c r="K86" t="s">
        <v>111</v>
      </c>
      <c r="L86" t="s">
        <v>315</v>
      </c>
      <c r="M86" t="s">
        <v>84</v>
      </c>
      <c r="N86" t="s">
        <v>56</v>
      </c>
      <c r="O86" t="s">
        <v>36</v>
      </c>
      <c r="Q86" t="s">
        <v>84</v>
      </c>
      <c r="V86" t="s">
        <v>49</v>
      </c>
      <c r="X86" t="s">
        <v>84</v>
      </c>
      <c r="Z86" t="s">
        <v>84</v>
      </c>
      <c r="AA86" t="s">
        <v>84</v>
      </c>
      <c r="AB86" t="s">
        <v>36</v>
      </c>
      <c r="AC86" t="s">
        <v>578</v>
      </c>
      <c r="AD86" t="s">
        <v>36</v>
      </c>
      <c r="AE86" t="s">
        <v>578</v>
      </c>
      <c r="AF86" t="s">
        <v>86</v>
      </c>
      <c r="AG86" t="s">
        <v>311</v>
      </c>
      <c r="AH86" t="s">
        <v>160</v>
      </c>
      <c r="AI86" s="4">
        <f ca="1">data[[#This Row],[Expiry Date]]-TODAY()</f>
        <v>29</v>
      </c>
      <c r="AJ86" s="4">
        <f ca="1">data[[#This Row],[Maturity ( Days)]]/365</f>
        <v>7.9452054794520555E-2</v>
      </c>
      <c r="AK86" s="4" t="str">
        <f ca="1">IF(data[[#This Row],[Option Type]]="put","p","c")</f>
        <v>p</v>
      </c>
      <c r="AL86" s="4">
        <f ca="1">(data[[#This Row],[Bid]]*data[[#This Row],[Asksize]]+data[[#This Row],[Ask]]*data[[#This Row],[Bidsize]])/(data[[#This Row],[Bidsize]]+data[[#This Row],[Asksize]])</f>
        <v>158.11304347826086</v>
      </c>
      <c r="AM86" s="4">
        <f ca="1">VALUE(data[[#This Row],[Strike]])</f>
        <v>4150</v>
      </c>
      <c r="AN86" s="56">
        <f ca="1"/>
        <v>160.16355358165447</v>
      </c>
      <c r="AO86" s="57" t="str">
        <f ca="1"/>
        <v>p</v>
      </c>
      <c r="AP86" s="57">
        <f ca="1"/>
        <v>0.24880701019768517</v>
      </c>
      <c r="AQ86" s="58">
        <f ca="1"/>
        <v>-0.59789981264060166</v>
      </c>
      <c r="AR86" s="58">
        <f ca="1"/>
        <v>1.3558746296119025E-3</v>
      </c>
      <c r="AS86" s="58">
        <f ca="1"/>
        <v>4.4330276844516634</v>
      </c>
      <c r="AT86" s="56">
        <f ca="1"/>
        <v>-183.06899270335975</v>
      </c>
      <c r="AU86" s="56">
        <f ca="1"/>
        <v>-205.67755308481517</v>
      </c>
    </row>
    <row r="87" spans="1:47" x14ac:dyDescent="0.3">
      <c r="A87" t="s">
        <v>546</v>
      </c>
      <c r="B87" t="s">
        <v>547</v>
      </c>
      <c r="C87" t="s">
        <v>57</v>
      </c>
      <c r="D87" t="s">
        <v>84</v>
      </c>
      <c r="E87" t="s">
        <v>84</v>
      </c>
      <c r="F87" t="s">
        <v>545</v>
      </c>
      <c r="G87" t="s">
        <v>791</v>
      </c>
      <c r="H87" t="s">
        <v>759</v>
      </c>
      <c r="J87" t="s">
        <v>108</v>
      </c>
      <c r="K87" t="s">
        <v>108</v>
      </c>
      <c r="L87" t="s">
        <v>315</v>
      </c>
      <c r="M87" t="s">
        <v>84</v>
      </c>
      <c r="N87" t="s">
        <v>56</v>
      </c>
      <c r="O87" t="s">
        <v>36</v>
      </c>
      <c r="Q87" t="s">
        <v>84</v>
      </c>
      <c r="V87" t="s">
        <v>49</v>
      </c>
      <c r="X87" t="s">
        <v>84</v>
      </c>
      <c r="Z87" t="s">
        <v>84</v>
      </c>
      <c r="AA87" t="s">
        <v>84</v>
      </c>
      <c r="AB87" t="s">
        <v>36</v>
      </c>
      <c r="AC87" t="s">
        <v>578</v>
      </c>
      <c r="AD87" t="s">
        <v>36</v>
      </c>
      <c r="AE87" t="s">
        <v>578</v>
      </c>
      <c r="AF87" t="s">
        <v>86</v>
      </c>
      <c r="AG87" t="s">
        <v>311</v>
      </c>
      <c r="AH87" t="s">
        <v>160</v>
      </c>
      <c r="AI87" s="4">
        <f ca="1">data[[#This Row],[Expiry Date]]-TODAY()</f>
        <v>29</v>
      </c>
      <c r="AJ87" s="4">
        <f ca="1">data[[#This Row],[Maturity ( Days)]]/365</f>
        <v>7.9452054794520555E-2</v>
      </c>
      <c r="AK87" s="4" t="str">
        <f ca="1">IF(data[[#This Row],[Option Type]]="put","p","c")</f>
        <v>c</v>
      </c>
      <c r="AL87" s="4">
        <f ca="1">(data[[#This Row],[Bid]]*data[[#This Row],[Asksize]]+data[[#This Row],[Ask]]*data[[#This Row],[Bidsize]])/(data[[#This Row],[Bidsize]]+data[[#This Row],[Asksize]])</f>
        <v>69</v>
      </c>
      <c r="AM87" s="4">
        <f ca="1">VALUE(data[[#This Row],[Strike]])</f>
        <v>4150</v>
      </c>
      <c r="AN87" s="56">
        <f ca="1"/>
        <v>67.790871611047805</v>
      </c>
      <c r="AO87" s="57" t="str">
        <f ca="1"/>
        <v>c</v>
      </c>
      <c r="AP87" s="57">
        <f ca="1"/>
        <v>0.22413754943023687</v>
      </c>
      <c r="AQ87" s="58">
        <f ca="1"/>
        <v>0.38876568859480976</v>
      </c>
      <c r="AR87" s="58">
        <f ca="1"/>
        <v>1.4913495899018161E-3</v>
      </c>
      <c r="AS87" s="58">
        <f ca="1"/>
        <v>4.3925061162357437</v>
      </c>
      <c r="AT87" s="56">
        <f ca="1"/>
        <v>-173.88996970409673</v>
      </c>
      <c r="AU87" s="56">
        <f ca="1"/>
        <v>120.08588904748254</v>
      </c>
    </row>
    <row r="88" spans="1:47" x14ac:dyDescent="0.3">
      <c r="A88" t="s">
        <v>548</v>
      </c>
      <c r="B88" t="s">
        <v>549</v>
      </c>
      <c r="C88" t="s">
        <v>29</v>
      </c>
      <c r="D88" t="s">
        <v>84</v>
      </c>
      <c r="E88" t="s">
        <v>84</v>
      </c>
      <c r="F88" t="s">
        <v>113</v>
      </c>
      <c r="G88" t="s">
        <v>792</v>
      </c>
      <c r="H88" t="s">
        <v>793</v>
      </c>
      <c r="J88" t="s">
        <v>276</v>
      </c>
      <c r="K88" t="s">
        <v>106</v>
      </c>
      <c r="L88" t="s">
        <v>315</v>
      </c>
      <c r="M88" t="s">
        <v>84</v>
      </c>
      <c r="N88" t="s">
        <v>56</v>
      </c>
      <c r="O88" t="s">
        <v>36</v>
      </c>
      <c r="Q88" t="s">
        <v>84</v>
      </c>
      <c r="V88" t="s">
        <v>49</v>
      </c>
      <c r="X88" t="s">
        <v>84</v>
      </c>
      <c r="Z88" t="s">
        <v>84</v>
      </c>
      <c r="AA88" t="s">
        <v>84</v>
      </c>
      <c r="AB88" t="s">
        <v>36</v>
      </c>
      <c r="AC88" t="s">
        <v>578</v>
      </c>
      <c r="AD88" t="s">
        <v>36</v>
      </c>
      <c r="AE88" t="s">
        <v>578</v>
      </c>
      <c r="AF88" t="s">
        <v>86</v>
      </c>
      <c r="AG88" t="s">
        <v>311</v>
      </c>
      <c r="AH88" t="s">
        <v>160</v>
      </c>
      <c r="AI88" s="4">
        <f ca="1">data[[#This Row],[Expiry Date]]-TODAY()</f>
        <v>29</v>
      </c>
      <c r="AJ88" s="4">
        <f ca="1">data[[#This Row],[Maturity ( Days)]]/365</f>
        <v>7.9452054794520555E-2</v>
      </c>
      <c r="AK88" s="4" t="str">
        <f ca="1">IF(data[[#This Row],[Option Type]]="put","p","c")</f>
        <v>p</v>
      </c>
      <c r="AL88" s="4">
        <f ca="1">(data[[#This Row],[Bid]]*data[[#This Row],[Asksize]]+data[[#This Row],[Ask]]*data[[#This Row],[Bidsize]])/(data[[#This Row],[Bidsize]]+data[[#This Row],[Asksize]])</f>
        <v>187.92325581395349</v>
      </c>
      <c r="AM88" s="4">
        <f ca="1">VALUE(data[[#This Row],[Strike]])</f>
        <v>4200</v>
      </c>
      <c r="AN88" s="56">
        <f ca="1"/>
        <v>190.22130117173629</v>
      </c>
      <c r="AO88" s="57" t="str">
        <f ca="1"/>
        <v>p</v>
      </c>
      <c r="AP88" s="57">
        <f ca="1"/>
        <v>0.24223515402963938</v>
      </c>
      <c r="AQ88" s="58">
        <f ca="1"/>
        <v>-0.66709949072555763</v>
      </c>
      <c r="AR88" s="58">
        <f ca="1"/>
        <v>1.308222812332574E-3</v>
      </c>
      <c r="AS88" s="58">
        <f ca="1"/>
        <v>4.1642537366130963</v>
      </c>
      <c r="AT88" s="56">
        <f ca="1"/>
        <v>-165.96769772246716</v>
      </c>
      <c r="AU88" s="56">
        <f ca="1"/>
        <v>-230.39686480029897</v>
      </c>
    </row>
    <row r="89" spans="1:47" x14ac:dyDescent="0.3">
      <c r="A89" t="s">
        <v>552</v>
      </c>
      <c r="B89" t="s">
        <v>553</v>
      </c>
      <c r="C89" t="s">
        <v>29</v>
      </c>
      <c r="D89" t="s">
        <v>84</v>
      </c>
      <c r="E89" t="s">
        <v>84</v>
      </c>
      <c r="F89" t="s">
        <v>141</v>
      </c>
      <c r="G89" t="s">
        <v>794</v>
      </c>
      <c r="H89" t="s">
        <v>795</v>
      </c>
      <c r="J89" t="s">
        <v>94</v>
      </c>
      <c r="K89" t="s">
        <v>94</v>
      </c>
      <c r="L89" t="s">
        <v>315</v>
      </c>
      <c r="M89" t="s">
        <v>84</v>
      </c>
      <c r="N89" t="s">
        <v>56</v>
      </c>
      <c r="O89" t="s">
        <v>36</v>
      </c>
      <c r="Q89" t="s">
        <v>84</v>
      </c>
      <c r="V89" t="s">
        <v>49</v>
      </c>
      <c r="X89" t="s">
        <v>84</v>
      </c>
      <c r="Z89" t="s">
        <v>84</v>
      </c>
      <c r="AA89" t="s">
        <v>84</v>
      </c>
      <c r="AB89" t="s">
        <v>36</v>
      </c>
      <c r="AC89" t="s">
        <v>578</v>
      </c>
      <c r="AD89" t="s">
        <v>36</v>
      </c>
      <c r="AE89" t="s">
        <v>578</v>
      </c>
      <c r="AF89" t="s">
        <v>86</v>
      </c>
      <c r="AG89" t="s">
        <v>311</v>
      </c>
      <c r="AH89" t="s">
        <v>160</v>
      </c>
      <c r="AI89" s="4">
        <f ca="1">data[[#This Row],[Expiry Date]]-TODAY()</f>
        <v>29</v>
      </c>
      <c r="AJ89" s="4">
        <f ca="1">data[[#This Row],[Maturity ( Days)]]/365</f>
        <v>7.9452054794520555E-2</v>
      </c>
      <c r="AK89" s="4" t="str">
        <f ca="1">IF(data[[#This Row],[Option Type]]="put","p","c")</f>
        <v>p</v>
      </c>
      <c r="AL89" s="4">
        <f ca="1">(data[[#This Row],[Bid]]*data[[#This Row],[Asksize]]+data[[#This Row],[Ask]]*data[[#This Row],[Bidsize]])/(data[[#This Row],[Bidsize]]+data[[#This Row],[Asksize]])</f>
        <v>259.29999999999995</v>
      </c>
      <c r="AM89" s="4">
        <f ca="1">VALUE(data[[#This Row],[Strike]])</f>
        <v>4300</v>
      </c>
      <c r="AN89" s="56">
        <f ca="1"/>
        <v>262.05510533814459</v>
      </c>
      <c r="AO89" s="57" t="str">
        <f ca="1"/>
        <v>p</v>
      </c>
      <c r="AP89" s="57">
        <f ca="1"/>
        <v>0.23337296646607356</v>
      </c>
      <c r="AQ89" s="58">
        <f ca="1"/>
        <v>-0.79061951087751958</v>
      </c>
      <c r="AR89" s="58">
        <f ca="1"/>
        <v>1.0750018025430434E-3</v>
      </c>
      <c r="AS89" s="58">
        <f ca="1"/>
        <v>3.2966894293956024</v>
      </c>
      <c r="AT89" s="56">
        <f ca="1"/>
        <v>-123.12440968578373</v>
      </c>
      <c r="AU89" s="56">
        <f ca="1"/>
        <v>-275.96373140826842</v>
      </c>
    </row>
    <row r="90" spans="1:47" x14ac:dyDescent="0.3">
      <c r="A90" t="s">
        <v>554</v>
      </c>
      <c r="B90" t="s">
        <v>555</v>
      </c>
      <c r="C90" t="s">
        <v>57</v>
      </c>
      <c r="D90" t="s">
        <v>84</v>
      </c>
      <c r="E90" t="s">
        <v>84</v>
      </c>
      <c r="F90" t="s">
        <v>141</v>
      </c>
      <c r="G90" t="s">
        <v>796</v>
      </c>
      <c r="H90" t="s">
        <v>797</v>
      </c>
      <c r="J90" t="s">
        <v>116</v>
      </c>
      <c r="K90" t="s">
        <v>116</v>
      </c>
      <c r="L90" t="s">
        <v>315</v>
      </c>
      <c r="M90" t="s">
        <v>84</v>
      </c>
      <c r="N90" t="s">
        <v>56</v>
      </c>
      <c r="O90" t="s">
        <v>36</v>
      </c>
      <c r="Q90" t="s">
        <v>84</v>
      </c>
      <c r="V90" t="s">
        <v>49</v>
      </c>
      <c r="X90" t="s">
        <v>84</v>
      </c>
      <c r="Z90" t="s">
        <v>84</v>
      </c>
      <c r="AA90" t="s">
        <v>84</v>
      </c>
      <c r="AB90" t="s">
        <v>36</v>
      </c>
      <c r="AC90" t="s">
        <v>578</v>
      </c>
      <c r="AD90" t="s">
        <v>36</v>
      </c>
      <c r="AE90" t="s">
        <v>578</v>
      </c>
      <c r="AF90" t="s">
        <v>86</v>
      </c>
      <c r="AG90" t="s">
        <v>311</v>
      </c>
      <c r="AH90" t="s">
        <v>160</v>
      </c>
      <c r="AI90" s="4">
        <f ca="1">data[[#This Row],[Expiry Date]]-TODAY()</f>
        <v>29</v>
      </c>
      <c r="AJ90" s="4">
        <f ca="1">data[[#This Row],[Maturity ( Days)]]/365</f>
        <v>7.9452054794520555E-2</v>
      </c>
      <c r="AK90" s="4" t="str">
        <f ca="1">IF(data[[#This Row],[Option Type]]="put","p","c")</f>
        <v>c</v>
      </c>
      <c r="AL90" s="4">
        <f ca="1">(data[[#This Row],[Bid]]*data[[#This Row],[Asksize]]+data[[#This Row],[Ask]]*data[[#This Row],[Bidsize]])/(data[[#This Row],[Bidsize]]+data[[#This Row],[Asksize]])</f>
        <v>21</v>
      </c>
      <c r="AM90" s="4">
        <f ca="1">VALUE(data[[#This Row],[Strike]])</f>
        <v>4300</v>
      </c>
      <c r="AN90" s="56">
        <f ca="1"/>
        <v>20.459111608125227</v>
      </c>
      <c r="AO90" s="57" t="str">
        <f ca="1"/>
        <v>c</v>
      </c>
      <c r="AP90" s="57">
        <f ca="1"/>
        <v>0.20050819911070997</v>
      </c>
      <c r="AQ90" s="58">
        <f ca="1"/>
        <v>0.17077006662939542</v>
      </c>
      <c r="AR90" s="58">
        <f ca="1"/>
        <v>1.1037120823666029E-3</v>
      </c>
      <c r="AS90" s="58">
        <f ca="1"/>
        <v>2.9080791962724915</v>
      </c>
      <c r="AT90" s="56">
        <f ca="1"/>
        <v>-102.37931489584753</v>
      </c>
      <c r="AU90" s="56">
        <f ca="1"/>
        <v>53.489004399619525</v>
      </c>
    </row>
    <row r="91" spans="1:47" x14ac:dyDescent="0.3">
      <c r="A91" t="s">
        <v>556</v>
      </c>
      <c r="B91" t="s">
        <v>557</v>
      </c>
      <c r="C91" t="s">
        <v>29</v>
      </c>
      <c r="D91" t="s">
        <v>84</v>
      </c>
      <c r="E91" t="s">
        <v>84</v>
      </c>
      <c r="F91" t="s">
        <v>128</v>
      </c>
      <c r="G91" t="s">
        <v>798</v>
      </c>
      <c r="H91" t="s">
        <v>799</v>
      </c>
      <c r="J91" t="s">
        <v>95</v>
      </c>
      <c r="K91" t="s">
        <v>95</v>
      </c>
      <c r="L91" t="s">
        <v>315</v>
      </c>
      <c r="M91" t="s">
        <v>84</v>
      </c>
      <c r="N91" t="s">
        <v>56</v>
      </c>
      <c r="O91" t="s">
        <v>36</v>
      </c>
      <c r="Q91" t="s">
        <v>84</v>
      </c>
      <c r="V91" t="s">
        <v>49</v>
      </c>
      <c r="X91" t="s">
        <v>84</v>
      </c>
      <c r="Z91" t="s">
        <v>84</v>
      </c>
      <c r="AA91" t="s">
        <v>84</v>
      </c>
      <c r="AB91" t="s">
        <v>36</v>
      </c>
      <c r="AC91" t="s">
        <v>578</v>
      </c>
      <c r="AD91" t="s">
        <v>36</v>
      </c>
      <c r="AE91" t="s">
        <v>578</v>
      </c>
      <c r="AF91" t="s">
        <v>86</v>
      </c>
      <c r="AG91" t="s">
        <v>311</v>
      </c>
      <c r="AH91" t="s">
        <v>160</v>
      </c>
      <c r="AI91" s="4">
        <f ca="1">data[[#This Row],[Expiry Date]]-TODAY()</f>
        <v>29</v>
      </c>
      <c r="AJ91" s="4">
        <f ca="1">data[[#This Row],[Maturity ( Days)]]/365</f>
        <v>7.9452054794520555E-2</v>
      </c>
      <c r="AK91" s="4" t="str">
        <f ca="1">IF(data[[#This Row],[Option Type]]="put","p","c")</f>
        <v>p</v>
      </c>
      <c r="AL91" s="4">
        <f ca="1">(data[[#This Row],[Bid]]*data[[#This Row],[Asksize]]+data[[#This Row],[Ask]]*data[[#This Row],[Bidsize]])/(data[[#This Row],[Bidsize]]+data[[#This Row],[Asksize]])</f>
        <v>345.4</v>
      </c>
      <c r="AM91" s="4">
        <f ca="1">VALUE(data[[#This Row],[Strike]])</f>
        <v>4400</v>
      </c>
      <c r="AN91" s="56">
        <f ca="1"/>
        <v>348.48395228630079</v>
      </c>
      <c r="AO91" s="57" t="str">
        <f ca="1"/>
        <v>p</v>
      </c>
      <c r="AP91" s="57">
        <f ca="1"/>
        <v>0.23888628954419569</v>
      </c>
      <c r="AQ91" s="58">
        <f ca="1"/>
        <v>-0.87071827771145427</v>
      </c>
      <c r="AR91" s="58">
        <f ca="1"/>
        <v>7.6924275234256699E-4</v>
      </c>
      <c r="AS91" s="58">
        <f ca="1"/>
        <v>2.4147542239921278</v>
      </c>
      <c r="AT91" s="56">
        <f ca="1"/>
        <v>-88.804732741285974</v>
      </c>
      <c r="AU91" s="56">
        <f ca="1"/>
        <v>-308.67578744659676</v>
      </c>
    </row>
    <row r="92" spans="1:47" x14ac:dyDescent="0.3">
      <c r="A92" t="s">
        <v>563</v>
      </c>
      <c r="B92" t="s">
        <v>564</v>
      </c>
      <c r="C92" t="s">
        <v>29</v>
      </c>
      <c r="D92" t="s">
        <v>84</v>
      </c>
      <c r="E92" t="s">
        <v>84</v>
      </c>
      <c r="F92" t="s">
        <v>562</v>
      </c>
      <c r="G92" t="s">
        <v>800</v>
      </c>
      <c r="H92" t="s">
        <v>801</v>
      </c>
      <c r="J92" t="s">
        <v>112</v>
      </c>
      <c r="K92" t="s">
        <v>112</v>
      </c>
      <c r="L92" t="s">
        <v>315</v>
      </c>
      <c r="M92" t="s">
        <v>84</v>
      </c>
      <c r="N92" t="s">
        <v>56</v>
      </c>
      <c r="O92" t="s">
        <v>36</v>
      </c>
      <c r="Q92" t="s">
        <v>84</v>
      </c>
      <c r="V92" t="s">
        <v>49</v>
      </c>
      <c r="X92" t="s">
        <v>84</v>
      </c>
      <c r="Z92" t="s">
        <v>84</v>
      </c>
      <c r="AA92" t="s">
        <v>84</v>
      </c>
      <c r="AB92" t="s">
        <v>36</v>
      </c>
      <c r="AC92" t="s">
        <v>578</v>
      </c>
      <c r="AD92" t="s">
        <v>36</v>
      </c>
      <c r="AE92" t="s">
        <v>578</v>
      </c>
      <c r="AF92" t="s">
        <v>86</v>
      </c>
      <c r="AG92" t="s">
        <v>311</v>
      </c>
      <c r="AH92" t="s">
        <v>160</v>
      </c>
      <c r="AI92" s="4">
        <f ca="1">data[[#This Row],[Expiry Date]]-TODAY()</f>
        <v>29</v>
      </c>
      <c r="AJ92" s="4">
        <f ca="1">data[[#This Row],[Maturity ( Days)]]/365</f>
        <v>7.9452054794520555E-2</v>
      </c>
      <c r="AK92" s="4" t="str">
        <f ca="1">IF(data[[#This Row],[Option Type]]="put","p","c")</f>
        <v>p</v>
      </c>
      <c r="AL92" s="4">
        <f ca="1">(data[[#This Row],[Bid]]*data[[#This Row],[Asksize]]+data[[#This Row],[Ask]]*data[[#This Row],[Bidsize]])/(data[[#This Row],[Bidsize]]+data[[#This Row],[Asksize]])</f>
        <v>440.19999999999993</v>
      </c>
      <c r="AM92" s="4">
        <f ca="1">VALUE(data[[#This Row],[Strike]])</f>
        <v>4500</v>
      </c>
      <c r="AN92" s="56">
        <f ca="1"/>
        <v>443.48396253115834</v>
      </c>
      <c r="AO92" s="57" t="str">
        <f ca="1"/>
        <v>p</v>
      </c>
      <c r="AP92" s="57">
        <f ca="1"/>
        <v>0.26087357583505688</v>
      </c>
      <c r="AQ92" s="58">
        <f ca="1"/>
        <v>-0.90893896169846433</v>
      </c>
      <c r="AR92" s="58">
        <f ca="1"/>
        <v>5.4755533814277758E-4</v>
      </c>
      <c r="AS92" s="58">
        <f ca="1"/>
        <v>1.8770524357484772</v>
      </c>
      <c r="AT92" s="56">
        <f ca="1"/>
        <v>-73.088031816559521</v>
      </c>
      <c r="AU92" s="56">
        <f ca="1"/>
        <v>-328.55283632918832</v>
      </c>
    </row>
    <row r="93" spans="1:47" x14ac:dyDescent="0.3">
      <c r="A93" t="s">
        <v>565</v>
      </c>
      <c r="B93" t="s">
        <v>566</v>
      </c>
      <c r="C93" t="s">
        <v>57</v>
      </c>
      <c r="D93" t="s">
        <v>84</v>
      </c>
      <c r="E93" t="s">
        <v>84</v>
      </c>
      <c r="F93" t="s">
        <v>129</v>
      </c>
      <c r="G93" t="s">
        <v>654</v>
      </c>
      <c r="H93" t="s">
        <v>299</v>
      </c>
      <c r="J93" t="s">
        <v>802</v>
      </c>
      <c r="K93" t="s">
        <v>637</v>
      </c>
      <c r="L93" t="s">
        <v>315</v>
      </c>
      <c r="M93" t="s">
        <v>84</v>
      </c>
      <c r="N93" t="s">
        <v>56</v>
      </c>
      <c r="O93" t="s">
        <v>36</v>
      </c>
      <c r="Q93" t="s">
        <v>84</v>
      </c>
      <c r="V93" t="s">
        <v>49</v>
      </c>
      <c r="X93" t="s">
        <v>84</v>
      </c>
      <c r="Z93" t="s">
        <v>84</v>
      </c>
      <c r="AA93" t="s">
        <v>84</v>
      </c>
      <c r="AB93" t="s">
        <v>36</v>
      </c>
      <c r="AC93" t="s">
        <v>578</v>
      </c>
      <c r="AD93" t="s">
        <v>36</v>
      </c>
      <c r="AE93" t="s">
        <v>578</v>
      </c>
      <c r="AF93" t="s">
        <v>86</v>
      </c>
      <c r="AG93" t="s">
        <v>311</v>
      </c>
      <c r="AH93" t="s">
        <v>160</v>
      </c>
      <c r="AI93" s="4">
        <f ca="1">data[[#This Row],[Expiry Date]]-TODAY()</f>
        <v>29</v>
      </c>
      <c r="AJ93" s="4">
        <f ca="1">data[[#This Row],[Maturity ( Days)]]/365</f>
        <v>7.9452054794520555E-2</v>
      </c>
      <c r="AK93" s="4" t="str">
        <f ca="1">IF(data[[#This Row],[Option Type]]="put","p","c")</f>
        <v>c</v>
      </c>
      <c r="AL93" s="4">
        <f ca="1">(data[[#This Row],[Bid]]*data[[#This Row],[Asksize]]+data[[#This Row],[Ask]]*data[[#This Row],[Bidsize]])/(data[[#This Row],[Bidsize]]+data[[#This Row],[Asksize]])</f>
        <v>0.67880000000000007</v>
      </c>
      <c r="AM93" s="4">
        <f ca="1">VALUE(data[[#This Row],[Strike]])</f>
        <v>4600</v>
      </c>
      <c r="AN93" s="56">
        <f ca="1"/>
        <v>0.64855469408070121</v>
      </c>
      <c r="AO93" s="57" t="str">
        <f ca="1"/>
        <v>c</v>
      </c>
      <c r="AP93" s="57">
        <f ca="1"/>
        <v>0.1831950730398634</v>
      </c>
      <c r="AQ93" s="58">
        <f ca="1"/>
        <v>9.3320248062318638E-3</v>
      </c>
      <c r="AR93" s="58">
        <f ca="1"/>
        <v>1.1942612052642747E-4</v>
      </c>
      <c r="AS93" s="58">
        <f ca="1"/>
        <v>0.28749573778128817</v>
      </c>
      <c r="AT93" s="56">
        <f ca="1"/>
        <v>-9.1828150297776432</v>
      </c>
      <c r="AU93" s="56">
        <f ca="1"/>
        <v>2.9602695265212784</v>
      </c>
    </row>
    <row r="94" spans="1:47" x14ac:dyDescent="0.3">
      <c r="A94" t="s">
        <v>567</v>
      </c>
      <c r="B94" t="s">
        <v>568</v>
      </c>
      <c r="C94" t="s">
        <v>29</v>
      </c>
      <c r="D94" t="s">
        <v>84</v>
      </c>
      <c r="E94" t="s">
        <v>84</v>
      </c>
      <c r="F94" t="s">
        <v>129</v>
      </c>
      <c r="G94" t="s">
        <v>803</v>
      </c>
      <c r="H94" t="s">
        <v>804</v>
      </c>
      <c r="J94" t="s">
        <v>805</v>
      </c>
      <c r="K94" t="s">
        <v>632</v>
      </c>
      <c r="L94" t="s">
        <v>315</v>
      </c>
      <c r="M94" t="s">
        <v>84</v>
      </c>
      <c r="N94" t="s">
        <v>56</v>
      </c>
      <c r="O94" t="s">
        <v>36</v>
      </c>
      <c r="Q94" t="s">
        <v>84</v>
      </c>
      <c r="V94" t="s">
        <v>49</v>
      </c>
      <c r="X94" t="s">
        <v>84</v>
      </c>
      <c r="Z94" t="s">
        <v>84</v>
      </c>
      <c r="AA94" t="s">
        <v>84</v>
      </c>
      <c r="AB94" t="s">
        <v>36</v>
      </c>
      <c r="AC94" t="s">
        <v>578</v>
      </c>
      <c r="AD94" t="s">
        <v>36</v>
      </c>
      <c r="AE94" t="s">
        <v>578</v>
      </c>
      <c r="AF94" t="s">
        <v>86</v>
      </c>
      <c r="AG94" t="s">
        <v>311</v>
      </c>
      <c r="AH94" t="s">
        <v>160</v>
      </c>
      <c r="AI94" s="4">
        <f ca="1">data[[#This Row],[Expiry Date]]-TODAY()</f>
        <v>29</v>
      </c>
      <c r="AJ94" s="4">
        <f ca="1">data[[#This Row],[Maturity ( Days)]]/365</f>
        <v>7.9452054794520555E-2</v>
      </c>
      <c r="AK94" s="4" t="str">
        <f ca="1">IF(data[[#This Row],[Option Type]]="put","p","c")</f>
        <v>p</v>
      </c>
      <c r="AL94" s="4">
        <f ca="1">(data[[#This Row],[Bid]]*data[[#This Row],[Asksize]]+data[[#This Row],[Ask]]*data[[#This Row],[Bidsize]])/(data[[#This Row],[Bidsize]]+data[[#This Row],[Asksize]])</f>
        <v>538.80120481927713</v>
      </c>
      <c r="AM94" s="4">
        <f ca="1">VALUE(data[[#This Row],[Strike]])</f>
        <v>4600</v>
      </c>
      <c r="AN94" s="56">
        <f ca="1"/>
        <v>542.21425150263303</v>
      </c>
      <c r="AO94" s="57" t="str">
        <f ca="1"/>
        <v>p</v>
      </c>
      <c r="AP94" s="57">
        <f ca="1"/>
        <v>0.29493330184170574</v>
      </c>
      <c r="AQ94" s="58">
        <f ca="1"/>
        <v>-0.92442783844522047</v>
      </c>
      <c r="AR94" s="58">
        <f ca="1"/>
        <v>4.209564159537756E-4</v>
      </c>
      <c r="AS94" s="58">
        <f ca="1"/>
        <v>1.6314705642219616</v>
      </c>
      <c r="AT94" s="56">
        <f ca="1"/>
        <v>-71.179791099210988</v>
      </c>
      <c r="AU94" s="56">
        <f ca="1"/>
        <v>-341.3897110184152</v>
      </c>
    </row>
    <row r="95" spans="1:47" x14ac:dyDescent="0.3">
      <c r="A95" t="s">
        <v>569</v>
      </c>
      <c r="B95" t="s">
        <v>570</v>
      </c>
      <c r="C95" t="s">
        <v>57</v>
      </c>
      <c r="D95" t="s">
        <v>84</v>
      </c>
      <c r="E95" t="s">
        <v>84</v>
      </c>
      <c r="F95" t="s">
        <v>132</v>
      </c>
      <c r="G95" t="s">
        <v>185</v>
      </c>
      <c r="H95" t="s">
        <v>271</v>
      </c>
      <c r="J95" t="s">
        <v>806</v>
      </c>
      <c r="K95" t="s">
        <v>806</v>
      </c>
      <c r="L95" t="s">
        <v>315</v>
      </c>
      <c r="M95" t="s">
        <v>84</v>
      </c>
      <c r="N95" t="s">
        <v>56</v>
      </c>
      <c r="O95" t="s">
        <v>36</v>
      </c>
      <c r="Q95" t="s">
        <v>84</v>
      </c>
      <c r="V95" t="s">
        <v>49</v>
      </c>
      <c r="X95" t="s">
        <v>84</v>
      </c>
      <c r="Z95" t="s">
        <v>84</v>
      </c>
      <c r="AA95" t="s">
        <v>84</v>
      </c>
      <c r="AB95" t="s">
        <v>36</v>
      </c>
      <c r="AC95" t="s">
        <v>578</v>
      </c>
      <c r="AD95" t="s">
        <v>36</v>
      </c>
      <c r="AE95" t="s">
        <v>578</v>
      </c>
      <c r="AF95" t="s">
        <v>86</v>
      </c>
      <c r="AG95" t="s">
        <v>311</v>
      </c>
      <c r="AH95" t="s">
        <v>160</v>
      </c>
      <c r="AI95" s="4">
        <f ca="1">data[[#This Row],[Expiry Date]]-TODAY()</f>
        <v>29</v>
      </c>
      <c r="AJ95" s="4">
        <f ca="1">data[[#This Row],[Maturity ( Days)]]/365</f>
        <v>7.9452054794520555E-2</v>
      </c>
      <c r="AK95" s="4" t="str">
        <f ca="1">IF(data[[#This Row],[Option Type]]="put","p","c")</f>
        <v>c</v>
      </c>
      <c r="AL95" s="4">
        <f ca="1">(data[[#This Row],[Bid]]*data[[#This Row],[Asksize]]+data[[#This Row],[Ask]]*data[[#This Row],[Bidsize]])/(data[[#This Row],[Bidsize]]+data[[#This Row],[Asksize]])</f>
        <v>0.17500000000000002</v>
      </c>
      <c r="AM95" s="4">
        <f ca="1">VALUE(data[[#This Row],[Strike]])</f>
        <v>4800</v>
      </c>
      <c r="AN95" s="56">
        <f ca="1"/>
        <v>0.16713599920746347</v>
      </c>
      <c r="AO95" s="57" t="str">
        <f ca="1"/>
        <v>c</v>
      </c>
      <c r="AP95" s="57">
        <f ca="1"/>
        <v>0.20612695115248708</v>
      </c>
      <c r="AQ95" s="58">
        <f ca="1"/>
        <v>2.4245424648282146E-3</v>
      </c>
      <c r="AR95" s="58">
        <f ca="1"/>
        <v>3.1934223673684544E-5</v>
      </c>
      <c r="AS95" s="58">
        <f ca="1"/>
        <v>8.6498671804949995E-2</v>
      </c>
      <c r="AT95" s="56">
        <f ca="1"/>
        <v>-3.1006331503756832</v>
      </c>
      <c r="AU95" s="56">
        <f ca="1"/>
        <v>0.76921247345730048</v>
      </c>
    </row>
    <row r="96" spans="1:47" x14ac:dyDescent="0.3">
      <c r="A96" t="s">
        <v>571</v>
      </c>
      <c r="B96" t="s">
        <v>572</v>
      </c>
      <c r="C96" t="s">
        <v>29</v>
      </c>
      <c r="D96" t="s">
        <v>84</v>
      </c>
      <c r="E96" t="s">
        <v>84</v>
      </c>
      <c r="F96" t="s">
        <v>132</v>
      </c>
      <c r="G96" t="s">
        <v>807</v>
      </c>
      <c r="H96" t="s">
        <v>808</v>
      </c>
      <c r="J96" t="s">
        <v>297</v>
      </c>
      <c r="K96" t="s">
        <v>86</v>
      </c>
      <c r="L96" t="s">
        <v>315</v>
      </c>
      <c r="M96" t="s">
        <v>84</v>
      </c>
      <c r="N96" t="s">
        <v>56</v>
      </c>
      <c r="O96" t="s">
        <v>36</v>
      </c>
      <c r="Q96" t="s">
        <v>84</v>
      </c>
      <c r="V96" t="s">
        <v>49</v>
      </c>
      <c r="X96" t="s">
        <v>84</v>
      </c>
      <c r="Z96" t="s">
        <v>84</v>
      </c>
      <c r="AA96" t="s">
        <v>84</v>
      </c>
      <c r="AB96" t="s">
        <v>36</v>
      </c>
      <c r="AC96" t="s">
        <v>578</v>
      </c>
      <c r="AD96" t="s">
        <v>36</v>
      </c>
      <c r="AE96" t="s">
        <v>578</v>
      </c>
      <c r="AF96" t="s">
        <v>86</v>
      </c>
      <c r="AG96" t="s">
        <v>311</v>
      </c>
      <c r="AH96" t="s">
        <v>160</v>
      </c>
      <c r="AI96" s="4">
        <f ca="1">data[[#This Row],[Expiry Date]]-TODAY()</f>
        <v>29</v>
      </c>
      <c r="AJ96" s="4">
        <f ca="1">data[[#This Row],[Maturity ( Days)]]/365</f>
        <v>7.9452054794520555E-2</v>
      </c>
      <c r="AK96" s="4" t="str">
        <f ca="1">IF(data[[#This Row],[Option Type]]="put","p","c")</f>
        <v>p</v>
      </c>
      <c r="AL96" s="4">
        <f ca="1">(data[[#This Row],[Bid]]*data[[#This Row],[Asksize]]+data[[#This Row],[Ask]]*data[[#This Row],[Bidsize]])/(data[[#This Row],[Bidsize]]+data[[#This Row],[Asksize]])</f>
        <v>738.17064676616906</v>
      </c>
      <c r="AM96" s="4">
        <f ca="1">VALUE(data[[#This Row],[Strike]])</f>
        <v>4800</v>
      </c>
      <c r="AN96" s="56">
        <f ca="1"/>
        <v>741.78784258540645</v>
      </c>
      <c r="AO96" s="57" t="str">
        <f ca="1"/>
        <v>p</v>
      </c>
      <c r="AP96" s="57">
        <f ca="1"/>
        <v>0.36825898750887653</v>
      </c>
      <c r="AQ96" s="58">
        <f ca="1"/>
        <v>-0.93834998518326773</v>
      </c>
      <c r="AR96" s="58">
        <f ca="1"/>
        <v>2.8812008045617118E-4</v>
      </c>
      <c r="AS96" s="58">
        <f ca="1"/>
        <v>1.3942645283794604</v>
      </c>
      <c r="AT96" s="56">
        <f ca="1"/>
        <v>-76.042686570648314</v>
      </c>
      <c r="AU96" s="56">
        <f ca="1"/>
        <v>-361.72679358116631</v>
      </c>
    </row>
    <row r="97" spans="1:47" x14ac:dyDescent="0.3">
      <c r="A97" t="s">
        <v>573</v>
      </c>
      <c r="B97" t="s">
        <v>574</v>
      </c>
      <c r="C97" t="s">
        <v>29</v>
      </c>
      <c r="D97" t="s">
        <v>84</v>
      </c>
      <c r="E97" t="s">
        <v>84</v>
      </c>
      <c r="F97" t="s">
        <v>137</v>
      </c>
      <c r="G97" t="s">
        <v>809</v>
      </c>
      <c r="H97" t="s">
        <v>810</v>
      </c>
      <c r="J97" t="s">
        <v>616</v>
      </c>
      <c r="K97" t="s">
        <v>86</v>
      </c>
      <c r="L97" t="s">
        <v>315</v>
      </c>
      <c r="M97" t="s">
        <v>84</v>
      </c>
      <c r="N97" t="s">
        <v>56</v>
      </c>
      <c r="O97" t="s">
        <v>36</v>
      </c>
      <c r="Q97" t="s">
        <v>84</v>
      </c>
      <c r="V97" t="s">
        <v>49</v>
      </c>
      <c r="X97" t="s">
        <v>84</v>
      </c>
      <c r="Z97" t="s">
        <v>84</v>
      </c>
      <c r="AA97" t="s">
        <v>84</v>
      </c>
      <c r="AB97" t="s">
        <v>36</v>
      </c>
      <c r="AC97" t="s">
        <v>578</v>
      </c>
      <c r="AD97" t="s">
        <v>36</v>
      </c>
      <c r="AE97" t="s">
        <v>578</v>
      </c>
      <c r="AF97" t="s">
        <v>86</v>
      </c>
      <c r="AG97" t="s">
        <v>311</v>
      </c>
      <c r="AH97" t="s">
        <v>160</v>
      </c>
      <c r="AI97" s="4">
        <f ca="1">data[[#This Row],[Expiry Date]]-TODAY()</f>
        <v>29</v>
      </c>
      <c r="AJ97" s="4">
        <f ca="1">data[[#This Row],[Maturity ( Days)]]/365</f>
        <v>7.9452054794520555E-2</v>
      </c>
      <c r="AK97" s="4" t="str">
        <f ca="1">IF(data[[#This Row],[Option Type]]="put","p","c")</f>
        <v>p</v>
      </c>
      <c r="AL97" s="4">
        <f ca="1">(data[[#This Row],[Bid]]*data[[#This Row],[Asksize]]+data[[#This Row],[Ask]]*data[[#This Row],[Bidsize]])/(data[[#This Row],[Bidsize]]+data[[#This Row],[Asksize]])</f>
        <v>937.86326530612246</v>
      </c>
      <c r="AM97" s="4">
        <f ca="1">VALUE(data[[#This Row],[Strike]])</f>
        <v>5000</v>
      </c>
      <c r="AN97" s="56">
        <f ca="1"/>
        <v>941.66542681205055</v>
      </c>
      <c r="AO97" s="57" t="str">
        <f ca="1"/>
        <v>p</v>
      </c>
      <c r="AP97" s="57">
        <f ca="1"/>
        <v>0.43742802822543031</v>
      </c>
      <c r="AQ97" s="58">
        <f ca="1"/>
        <v>-0.94635682668638943</v>
      </c>
      <c r="AR97" s="58">
        <f ca="1"/>
        <v>2.1741878589201519E-4</v>
      </c>
      <c r="AS97" s="58">
        <f ca="1"/>
        <v>1.2497466166506983</v>
      </c>
      <c r="AT97" s="56">
        <f ca="1"/>
        <v>-81.134133420386931</v>
      </c>
      <c r="AU97" s="56">
        <f ca="1"/>
        <v>-380.17894231358503</v>
      </c>
    </row>
    <row r="98" spans="1:47" x14ac:dyDescent="0.3">
      <c r="A98" t="s">
        <v>318</v>
      </c>
      <c r="B98" t="s">
        <v>319</v>
      </c>
      <c r="C98" t="s">
        <v>29</v>
      </c>
      <c r="D98" t="s">
        <v>84</v>
      </c>
      <c r="E98" t="s">
        <v>84</v>
      </c>
      <c r="F98" t="s">
        <v>303</v>
      </c>
      <c r="G98" t="s">
        <v>84</v>
      </c>
      <c r="H98" t="s">
        <v>599</v>
      </c>
      <c r="J98" t="s">
        <v>84</v>
      </c>
      <c r="K98" t="s">
        <v>638</v>
      </c>
      <c r="L98" t="s">
        <v>315</v>
      </c>
      <c r="M98" t="s">
        <v>84</v>
      </c>
      <c r="N98" t="s">
        <v>56</v>
      </c>
      <c r="O98" t="s">
        <v>36</v>
      </c>
      <c r="Q98" t="s">
        <v>84</v>
      </c>
      <c r="V98" t="s">
        <v>49</v>
      </c>
      <c r="X98" t="s">
        <v>84</v>
      </c>
      <c r="Z98" t="s">
        <v>84</v>
      </c>
      <c r="AA98" t="s">
        <v>84</v>
      </c>
      <c r="AB98" t="s">
        <v>36</v>
      </c>
      <c r="AC98" t="s">
        <v>600</v>
      </c>
      <c r="AD98" t="s">
        <v>36</v>
      </c>
      <c r="AE98" t="s">
        <v>578</v>
      </c>
      <c r="AF98" t="s">
        <v>86</v>
      </c>
      <c r="AG98" t="s">
        <v>311</v>
      </c>
      <c r="AH98" t="s">
        <v>160</v>
      </c>
      <c r="AI98" s="4">
        <f ca="1">data[[#This Row],[Expiry Date]]-TODAY()</f>
        <v>29</v>
      </c>
      <c r="AJ98" s="4">
        <f ca="1">data[[#This Row],[Maturity ( Days)]]/365</f>
        <v>7.9452054794520555E-2</v>
      </c>
      <c r="AK98" s="4" t="str">
        <f ca="1">IF(data[[#This Row],[Option Type]]="put","p","c")</f>
        <v>p</v>
      </c>
      <c r="AL98" s="4">
        <f ca="1">(data[[#This Row],[Bid]]*data[[#This Row],[Asksize]]+data[[#This Row],[Ask]]*data[[#This Row],[Bidsize]])/(data[[#This Row],[Bidsize]]+data[[#This Row],[Asksize]])</f>
        <v>0</v>
      </c>
      <c r="AM98" s="4">
        <f ca="1">VALUE(data[[#This Row],[Strike]])</f>
        <v>1000</v>
      </c>
      <c r="AN98" s="56">
        <f ca="1"/>
        <v>-4.5474735088646412E-13</v>
      </c>
      <c r="AO98" s="57" t="str">
        <f ca="1"/>
        <v>p</v>
      </c>
      <c r="AP98" s="57">
        <f ca="1"/>
        <v>0.5</v>
      </c>
      <c r="AQ98" s="58">
        <f ca="1"/>
        <v>0</v>
      </c>
      <c r="AR98" s="58">
        <f ca="1"/>
        <v>1.0221051053567807E-25</v>
      </c>
      <c r="AS98" s="58">
        <f ca="1"/>
        <v>6.7155851227285509E-22</v>
      </c>
      <c r="AT98" s="56">
        <f ca="1"/>
        <v>-5.782760623443948E-20</v>
      </c>
      <c r="AU98" s="56">
        <f ca="1"/>
        <v>-1.8941943090663504E-21</v>
      </c>
    </row>
    <row r="99" spans="1:47" x14ac:dyDescent="0.3">
      <c r="A99" t="s">
        <v>322</v>
      </c>
      <c r="B99" t="s">
        <v>323</v>
      </c>
      <c r="C99" t="s">
        <v>29</v>
      </c>
      <c r="D99" t="s">
        <v>84</v>
      </c>
      <c r="E99" t="s">
        <v>84</v>
      </c>
      <c r="F99" t="s">
        <v>133</v>
      </c>
      <c r="G99" t="s">
        <v>84</v>
      </c>
      <c r="H99" t="s">
        <v>599</v>
      </c>
      <c r="J99" t="s">
        <v>84</v>
      </c>
      <c r="K99" t="s">
        <v>811</v>
      </c>
      <c r="L99" t="s">
        <v>315</v>
      </c>
      <c r="M99" t="s">
        <v>84</v>
      </c>
      <c r="N99" t="s">
        <v>56</v>
      </c>
      <c r="O99" t="s">
        <v>36</v>
      </c>
      <c r="Q99" t="s">
        <v>84</v>
      </c>
      <c r="V99" t="s">
        <v>49</v>
      </c>
      <c r="X99" t="s">
        <v>84</v>
      </c>
      <c r="Z99" t="s">
        <v>84</v>
      </c>
      <c r="AA99" t="s">
        <v>84</v>
      </c>
      <c r="AB99" t="s">
        <v>36</v>
      </c>
      <c r="AC99" t="s">
        <v>600</v>
      </c>
      <c r="AD99" t="s">
        <v>36</v>
      </c>
      <c r="AE99" t="s">
        <v>578</v>
      </c>
      <c r="AF99" t="s">
        <v>86</v>
      </c>
      <c r="AG99" t="s">
        <v>311</v>
      </c>
      <c r="AH99" t="s">
        <v>160</v>
      </c>
      <c r="AI99" s="4">
        <f ca="1">data[[#This Row],[Expiry Date]]-TODAY()</f>
        <v>29</v>
      </c>
      <c r="AJ99" s="4">
        <f ca="1">data[[#This Row],[Maturity ( Days)]]/365</f>
        <v>7.9452054794520555E-2</v>
      </c>
      <c r="AK99" s="4" t="str">
        <f ca="1">IF(data[[#This Row],[Option Type]]="put","p","c")</f>
        <v>p</v>
      </c>
      <c r="AL99" s="4">
        <f ca="1">(data[[#This Row],[Bid]]*data[[#This Row],[Asksize]]+data[[#This Row],[Ask]]*data[[#This Row],[Bidsize]])/(data[[#This Row],[Bidsize]]+data[[#This Row],[Asksize]])</f>
        <v>0</v>
      </c>
      <c r="AM99" s="4">
        <f ca="1">VALUE(data[[#This Row],[Strike]])</f>
        <v>1200</v>
      </c>
      <c r="AN99" s="56">
        <f ca="1"/>
        <v>0</v>
      </c>
      <c r="AO99" s="57" t="str">
        <f ca="1"/>
        <v>p</v>
      </c>
      <c r="AP99" s="57" t="str">
        <f ca="1"/>
        <v>Calculation Error : Vega is Zero</v>
      </c>
      <c r="AQ99" s="58">
        <f ca="1"/>
        <v>0</v>
      </c>
      <c r="AR99" s="58">
        <f ca="1"/>
        <v>0</v>
      </c>
      <c r="AS99" s="58">
        <f ca="1"/>
        <v>0</v>
      </c>
      <c r="AT99" s="56">
        <f ca="1"/>
        <v>0</v>
      </c>
      <c r="AU99" s="56">
        <f ca="1"/>
        <v>0</v>
      </c>
    </row>
    <row r="100" spans="1:47" x14ac:dyDescent="0.3">
      <c r="A100" t="s">
        <v>326</v>
      </c>
      <c r="B100" t="s">
        <v>327</v>
      </c>
      <c r="C100" t="s">
        <v>29</v>
      </c>
      <c r="D100" t="s">
        <v>84</v>
      </c>
      <c r="E100" t="s">
        <v>84</v>
      </c>
      <c r="F100" t="s">
        <v>134</v>
      </c>
      <c r="G100" t="s">
        <v>84</v>
      </c>
      <c r="H100" t="s">
        <v>185</v>
      </c>
      <c r="J100" t="s">
        <v>84</v>
      </c>
      <c r="K100" t="s">
        <v>601</v>
      </c>
      <c r="L100" t="s">
        <v>315</v>
      </c>
      <c r="M100" t="s">
        <v>84</v>
      </c>
      <c r="N100" t="s">
        <v>56</v>
      </c>
      <c r="O100" t="s">
        <v>36</v>
      </c>
      <c r="Q100" t="s">
        <v>84</v>
      </c>
      <c r="V100" t="s">
        <v>49</v>
      </c>
      <c r="X100" t="s">
        <v>84</v>
      </c>
      <c r="Z100" t="s">
        <v>84</v>
      </c>
      <c r="AA100" t="s">
        <v>84</v>
      </c>
      <c r="AB100" t="s">
        <v>36</v>
      </c>
      <c r="AC100" t="s">
        <v>600</v>
      </c>
      <c r="AD100" t="s">
        <v>36</v>
      </c>
      <c r="AE100" t="s">
        <v>578</v>
      </c>
      <c r="AF100" t="s">
        <v>86</v>
      </c>
      <c r="AG100" t="s">
        <v>311</v>
      </c>
      <c r="AH100" t="s">
        <v>160</v>
      </c>
      <c r="AI100" s="4">
        <f ca="1">data[[#This Row],[Expiry Date]]-TODAY()</f>
        <v>29</v>
      </c>
      <c r="AJ100" s="4">
        <f ca="1">data[[#This Row],[Maturity ( Days)]]/365</f>
        <v>7.9452054794520555E-2</v>
      </c>
      <c r="AK100" s="4" t="str">
        <f ca="1">IF(data[[#This Row],[Option Type]]="put","p","c")</f>
        <v>p</v>
      </c>
      <c r="AL100" s="4">
        <f ca="1">(data[[#This Row],[Bid]]*data[[#This Row],[Asksize]]+data[[#This Row],[Ask]]*data[[#This Row],[Bidsize]])/(data[[#This Row],[Bidsize]]+data[[#This Row],[Asksize]])</f>
        <v>0</v>
      </c>
      <c r="AM100" s="4">
        <f ca="1">VALUE(data[[#This Row],[Strike]])</f>
        <v>1400</v>
      </c>
      <c r="AN100" s="56">
        <f ca="1"/>
        <v>1398.8881129999022</v>
      </c>
      <c r="AO100" s="57" t="str">
        <f ca="1"/>
        <v>p</v>
      </c>
      <c r="AP100" s="57">
        <f ca="1"/>
        <v>75.476439555861887</v>
      </c>
      <c r="AQ100" s="58">
        <f ca="1"/>
        <v>0</v>
      </c>
      <c r="AR100" s="58">
        <f ca="1"/>
        <v>7.2519094560975714E-31</v>
      </c>
      <c r="AS100" s="58">
        <f ca="1"/>
        <v>7.1925365006623424E-25</v>
      </c>
      <c r="AT100" s="56">
        <f ca="1"/>
        <v>3.832570172602471</v>
      </c>
      <c r="AU100" s="56">
        <f ca="1"/>
        <v>-111.05626346003989</v>
      </c>
    </row>
    <row r="101" spans="1:47" x14ac:dyDescent="0.3">
      <c r="A101" t="s">
        <v>330</v>
      </c>
      <c r="B101" t="s">
        <v>331</v>
      </c>
      <c r="C101" t="s">
        <v>29</v>
      </c>
      <c r="D101" t="s">
        <v>84</v>
      </c>
      <c r="E101" t="s">
        <v>84</v>
      </c>
      <c r="F101" t="s">
        <v>135</v>
      </c>
      <c r="G101" t="s">
        <v>84</v>
      </c>
      <c r="H101" t="s">
        <v>185</v>
      </c>
      <c r="J101" t="s">
        <v>84</v>
      </c>
      <c r="K101" t="s">
        <v>639</v>
      </c>
      <c r="L101" t="s">
        <v>315</v>
      </c>
      <c r="M101" t="s">
        <v>84</v>
      </c>
      <c r="N101" t="s">
        <v>56</v>
      </c>
      <c r="O101" t="s">
        <v>36</v>
      </c>
      <c r="Q101" t="s">
        <v>84</v>
      </c>
      <c r="V101" t="s">
        <v>49</v>
      </c>
      <c r="X101" t="s">
        <v>84</v>
      </c>
      <c r="Z101" t="s">
        <v>84</v>
      </c>
      <c r="AA101" t="s">
        <v>84</v>
      </c>
      <c r="AB101" t="s">
        <v>36</v>
      </c>
      <c r="AC101" t="s">
        <v>600</v>
      </c>
      <c r="AD101" t="s">
        <v>36</v>
      </c>
      <c r="AE101" t="s">
        <v>578</v>
      </c>
      <c r="AF101" t="s">
        <v>86</v>
      </c>
      <c r="AG101" t="s">
        <v>311</v>
      </c>
      <c r="AH101" t="s">
        <v>160</v>
      </c>
      <c r="AI101" s="4">
        <f ca="1">data[[#This Row],[Expiry Date]]-TODAY()</f>
        <v>29</v>
      </c>
      <c r="AJ101" s="4">
        <f ca="1">data[[#This Row],[Maturity ( Days)]]/365</f>
        <v>7.9452054794520555E-2</v>
      </c>
      <c r="AK101" s="4" t="str">
        <f ca="1">IF(data[[#This Row],[Option Type]]="put","p","c")</f>
        <v>p</v>
      </c>
      <c r="AL101" s="4">
        <f ca="1">(data[[#This Row],[Bid]]*data[[#This Row],[Asksize]]+data[[#This Row],[Ask]]*data[[#This Row],[Bidsize]])/(data[[#This Row],[Bidsize]]+data[[#This Row],[Asksize]])</f>
        <v>0</v>
      </c>
      <c r="AM101" s="4">
        <f ca="1">VALUE(data[[#This Row],[Strike]])</f>
        <v>1600</v>
      </c>
      <c r="AN101" s="56">
        <f ca="1"/>
        <v>-4.5474735088646412E-13</v>
      </c>
      <c r="AO101" s="57" t="str">
        <f ca="1"/>
        <v>p</v>
      </c>
      <c r="AP101" s="57">
        <f ca="1"/>
        <v>0.3863678806674905</v>
      </c>
      <c r="AQ101" s="58">
        <f ca="1"/>
        <v>0</v>
      </c>
      <c r="AR101" s="58">
        <f ca="1"/>
        <v>6.3847810087541811E-20</v>
      </c>
      <c r="AS101" s="58">
        <f ca="1"/>
        <v>3.2416439969021079E-16</v>
      </c>
      <c r="AT101" s="56">
        <f ca="1"/>
        <v>-2.1557748032062049E-14</v>
      </c>
      <c r="AU101" s="56">
        <f ca="1"/>
        <v>-1.0580265930772594E-15</v>
      </c>
    </row>
    <row r="102" spans="1:47" x14ac:dyDescent="0.3">
      <c r="A102" t="s">
        <v>332</v>
      </c>
      <c r="B102" t="s">
        <v>333</v>
      </c>
      <c r="C102" t="s">
        <v>29</v>
      </c>
      <c r="D102" t="s">
        <v>84</v>
      </c>
      <c r="E102" t="s">
        <v>84</v>
      </c>
      <c r="F102" t="s">
        <v>143</v>
      </c>
      <c r="G102" t="s">
        <v>84</v>
      </c>
      <c r="H102" t="s">
        <v>185</v>
      </c>
      <c r="J102" t="s">
        <v>84</v>
      </c>
      <c r="K102" t="s">
        <v>812</v>
      </c>
      <c r="L102" t="s">
        <v>315</v>
      </c>
      <c r="M102" t="s">
        <v>84</v>
      </c>
      <c r="N102" t="s">
        <v>56</v>
      </c>
      <c r="O102" t="s">
        <v>36</v>
      </c>
      <c r="Q102" t="s">
        <v>84</v>
      </c>
      <c r="V102" t="s">
        <v>49</v>
      </c>
      <c r="X102" t="s">
        <v>84</v>
      </c>
      <c r="Z102" t="s">
        <v>84</v>
      </c>
      <c r="AA102" t="s">
        <v>84</v>
      </c>
      <c r="AB102" t="s">
        <v>36</v>
      </c>
      <c r="AC102" t="s">
        <v>600</v>
      </c>
      <c r="AD102" t="s">
        <v>36</v>
      </c>
      <c r="AE102" t="s">
        <v>578</v>
      </c>
      <c r="AF102" t="s">
        <v>86</v>
      </c>
      <c r="AG102" t="s">
        <v>311</v>
      </c>
      <c r="AH102" t="s">
        <v>160</v>
      </c>
      <c r="AI102" s="4">
        <f ca="1">data[[#This Row],[Expiry Date]]-TODAY()</f>
        <v>29</v>
      </c>
      <c r="AJ102" s="4">
        <f ca="1">data[[#This Row],[Maturity ( Days)]]/365</f>
        <v>7.9452054794520555E-2</v>
      </c>
      <c r="AK102" s="4" t="str">
        <f ca="1">IF(data[[#This Row],[Option Type]]="put","p","c")</f>
        <v>p</v>
      </c>
      <c r="AL102" s="4">
        <f ca="1">(data[[#This Row],[Bid]]*data[[#This Row],[Asksize]]+data[[#This Row],[Ask]]*data[[#This Row],[Bidsize]])/(data[[#This Row],[Bidsize]]+data[[#This Row],[Asksize]])</f>
        <v>0</v>
      </c>
      <c r="AM102" s="4">
        <f ca="1">VALUE(data[[#This Row],[Strike]])</f>
        <v>1800</v>
      </c>
      <c r="AN102" s="56">
        <f ca="1"/>
        <v>-4.5474735088646412E-13</v>
      </c>
      <c r="AO102" s="57" t="str">
        <f ca="1"/>
        <v>p</v>
      </c>
      <c r="AP102" s="57">
        <f ca="1"/>
        <v>0.34046578669258881</v>
      </c>
      <c r="AQ102" s="58">
        <f ca="1"/>
        <v>0</v>
      </c>
      <c r="AR102" s="58">
        <f ca="1"/>
        <v>1.4208960481975105E-19</v>
      </c>
      <c r="AS102" s="58">
        <f ca="1"/>
        <v>6.3570273386831371E-16</v>
      </c>
      <c r="AT102" s="56">
        <f ca="1"/>
        <v>-3.7244240853589954E-14</v>
      </c>
      <c r="AU102" s="56">
        <f ca="1"/>
        <v>-2.090510577799904E-15</v>
      </c>
    </row>
    <row r="103" spans="1:47" x14ac:dyDescent="0.3">
      <c r="A103" t="s">
        <v>338</v>
      </c>
      <c r="B103" t="s">
        <v>339</v>
      </c>
      <c r="C103" t="s">
        <v>29</v>
      </c>
      <c r="D103" t="s">
        <v>85</v>
      </c>
      <c r="E103" t="s">
        <v>84</v>
      </c>
      <c r="F103" t="s">
        <v>117</v>
      </c>
      <c r="G103" t="s">
        <v>599</v>
      </c>
      <c r="H103" t="s">
        <v>136</v>
      </c>
      <c r="I103" t="s">
        <v>599</v>
      </c>
      <c r="J103" t="s">
        <v>813</v>
      </c>
      <c r="K103" t="s">
        <v>640</v>
      </c>
      <c r="L103" t="s">
        <v>315</v>
      </c>
      <c r="M103" t="s">
        <v>84</v>
      </c>
      <c r="N103" t="s">
        <v>56</v>
      </c>
      <c r="O103" t="s">
        <v>36</v>
      </c>
      <c r="Q103" t="s">
        <v>85</v>
      </c>
      <c r="R103" t="s">
        <v>599</v>
      </c>
      <c r="S103" t="s">
        <v>599</v>
      </c>
      <c r="T103" t="s">
        <v>599</v>
      </c>
      <c r="V103" t="s">
        <v>49</v>
      </c>
      <c r="X103" t="s">
        <v>578</v>
      </c>
      <c r="Z103" t="s">
        <v>84</v>
      </c>
      <c r="AA103" t="s">
        <v>84</v>
      </c>
      <c r="AB103" t="s">
        <v>36</v>
      </c>
      <c r="AC103" t="s">
        <v>578</v>
      </c>
      <c r="AD103" t="s">
        <v>36</v>
      </c>
      <c r="AE103" t="s">
        <v>578</v>
      </c>
      <c r="AF103" t="s">
        <v>86</v>
      </c>
      <c r="AG103" t="s">
        <v>311</v>
      </c>
      <c r="AH103" t="s">
        <v>160</v>
      </c>
      <c r="AI103" s="4">
        <f ca="1">data[[#This Row],[Expiry Date]]-TODAY()</f>
        <v>29</v>
      </c>
      <c r="AJ103" s="4">
        <f ca="1">data[[#This Row],[Maturity ( Days)]]/365</f>
        <v>7.9452054794520555E-2</v>
      </c>
      <c r="AK103" s="4" t="str">
        <f ca="1">IF(data[[#This Row],[Option Type]]="put","p","c")</f>
        <v>p</v>
      </c>
      <c r="AL103" s="4">
        <f ca="1">(data[[#This Row],[Bid]]*data[[#This Row],[Asksize]]+data[[#This Row],[Ask]]*data[[#This Row],[Bidsize]])/(data[[#This Row],[Bidsize]]+data[[#This Row],[Asksize]])</f>
        <v>0.12779204107830552</v>
      </c>
      <c r="AM103" s="4">
        <f ca="1">VALUE(data[[#This Row],[Strike]])</f>
        <v>2000</v>
      </c>
      <c r="AN103" s="56">
        <f ca="1"/>
        <v>0</v>
      </c>
      <c r="AO103" s="57" t="str">
        <f ca="1"/>
        <v>p</v>
      </c>
      <c r="AP103" s="57" t="str">
        <f ca="1"/>
        <v>Calculation Error : Vega is Zero</v>
      </c>
      <c r="AQ103" s="58">
        <f ca="1"/>
        <v>0</v>
      </c>
      <c r="AR103" s="58">
        <f ca="1"/>
        <v>0</v>
      </c>
      <c r="AS103" s="58">
        <f ca="1"/>
        <v>0</v>
      </c>
      <c r="AT103" s="56">
        <f ca="1"/>
        <v>0</v>
      </c>
      <c r="AU103" s="56">
        <f ca="1"/>
        <v>0</v>
      </c>
    </row>
    <row r="104" spans="1:47" x14ac:dyDescent="0.3">
      <c r="A104" t="s">
        <v>348</v>
      </c>
      <c r="B104" t="s">
        <v>349</v>
      </c>
      <c r="C104" t="s">
        <v>29</v>
      </c>
      <c r="D104" t="s">
        <v>294</v>
      </c>
      <c r="E104" t="s">
        <v>84</v>
      </c>
      <c r="F104" t="s">
        <v>118</v>
      </c>
      <c r="G104" t="s">
        <v>300</v>
      </c>
      <c r="H104" t="s">
        <v>625</v>
      </c>
      <c r="I104" t="s">
        <v>597</v>
      </c>
      <c r="J104" t="s">
        <v>626</v>
      </c>
      <c r="K104" t="s">
        <v>626</v>
      </c>
      <c r="L104" t="s">
        <v>315</v>
      </c>
      <c r="M104" t="s">
        <v>84</v>
      </c>
      <c r="N104" t="s">
        <v>56</v>
      </c>
      <c r="O104" t="s">
        <v>36</v>
      </c>
      <c r="Q104" t="s">
        <v>294</v>
      </c>
      <c r="R104" t="s">
        <v>597</v>
      </c>
      <c r="S104" t="s">
        <v>597</v>
      </c>
      <c r="T104" t="s">
        <v>597</v>
      </c>
      <c r="V104" t="s">
        <v>49</v>
      </c>
      <c r="X104" t="s">
        <v>578</v>
      </c>
      <c r="Z104" t="s">
        <v>84</v>
      </c>
      <c r="AA104" t="s">
        <v>84</v>
      </c>
      <c r="AB104" t="s">
        <v>36</v>
      </c>
      <c r="AC104" t="s">
        <v>578</v>
      </c>
      <c r="AD104" t="s">
        <v>36</v>
      </c>
      <c r="AE104" t="s">
        <v>578</v>
      </c>
      <c r="AF104" t="s">
        <v>86</v>
      </c>
      <c r="AG104" t="s">
        <v>311</v>
      </c>
      <c r="AH104" t="s">
        <v>160</v>
      </c>
      <c r="AI104" s="4">
        <f ca="1">data[[#This Row],[Expiry Date]]-TODAY()</f>
        <v>29</v>
      </c>
      <c r="AJ104" s="4">
        <f ca="1">data[[#This Row],[Maturity ( Days)]]/365</f>
        <v>7.9452054794520555E-2</v>
      </c>
      <c r="AK104" s="4" t="str">
        <f ca="1">IF(data[[#This Row],[Option Type]]="put","p","c")</f>
        <v>p</v>
      </c>
      <c r="AL104" s="4">
        <f ca="1">(data[[#This Row],[Bid]]*data[[#This Row],[Asksize]]+data[[#This Row],[Ask]]*data[[#This Row],[Bidsize]])/(data[[#This Row],[Bidsize]]+data[[#This Row],[Asksize]])</f>
        <v>0.60000000000000009</v>
      </c>
      <c r="AM104" s="4">
        <f ca="1">VALUE(data[[#This Row],[Strike]])</f>
        <v>2600</v>
      </c>
      <c r="AN104" s="56">
        <f ca="1"/>
        <v>0.6096112607701798</v>
      </c>
      <c r="AO104" s="57" t="str">
        <f ca="1"/>
        <v>p</v>
      </c>
      <c r="AP104" s="57">
        <f ca="1"/>
        <v>0.59242390083408825</v>
      </c>
      <c r="AQ104" s="58">
        <f ca="1"/>
        <v>-2.8476167902744542E-3</v>
      </c>
      <c r="AR104" s="58">
        <f ca="1"/>
        <v>1.2848709992386112E-5</v>
      </c>
      <c r="AS104" s="58">
        <f ca="1"/>
        <v>0.10002542253925173</v>
      </c>
      <c r="AT104" s="56">
        <f ca="1"/>
        <v>-10.183416143723159</v>
      </c>
      <c r="AU104" s="56">
        <f ca="1"/>
        <v>-0.96741790959949225</v>
      </c>
    </row>
    <row r="105" spans="1:47" x14ac:dyDescent="0.3">
      <c r="A105" t="s">
        <v>352</v>
      </c>
      <c r="B105" t="s">
        <v>353</v>
      </c>
      <c r="C105" t="s">
        <v>29</v>
      </c>
      <c r="D105" t="s">
        <v>294</v>
      </c>
      <c r="E105" t="s">
        <v>84</v>
      </c>
      <c r="F105" t="s">
        <v>144</v>
      </c>
      <c r="G105" t="s">
        <v>298</v>
      </c>
      <c r="H105" t="s">
        <v>641</v>
      </c>
      <c r="I105" t="s">
        <v>85</v>
      </c>
      <c r="J105" t="s">
        <v>814</v>
      </c>
      <c r="K105" t="s">
        <v>85</v>
      </c>
      <c r="L105" t="s">
        <v>315</v>
      </c>
      <c r="M105" t="s">
        <v>84</v>
      </c>
      <c r="N105" t="s">
        <v>56</v>
      </c>
      <c r="O105" t="s">
        <v>36</v>
      </c>
      <c r="Q105" t="s">
        <v>292</v>
      </c>
      <c r="R105" t="s">
        <v>85</v>
      </c>
      <c r="S105" t="s">
        <v>85</v>
      </c>
      <c r="T105" t="s">
        <v>85</v>
      </c>
      <c r="V105" t="s">
        <v>49</v>
      </c>
      <c r="X105" t="s">
        <v>578</v>
      </c>
      <c r="Z105" t="s">
        <v>84</v>
      </c>
      <c r="AA105" t="s">
        <v>84</v>
      </c>
      <c r="AB105" t="s">
        <v>36</v>
      </c>
      <c r="AC105" t="s">
        <v>578</v>
      </c>
      <c r="AD105" t="s">
        <v>36</v>
      </c>
      <c r="AE105" t="s">
        <v>578</v>
      </c>
      <c r="AF105" t="s">
        <v>86</v>
      </c>
      <c r="AG105" t="s">
        <v>311</v>
      </c>
      <c r="AH105" t="s">
        <v>160</v>
      </c>
      <c r="AI105" s="4">
        <f ca="1">data[[#This Row],[Expiry Date]]-TODAY()</f>
        <v>29</v>
      </c>
      <c r="AJ105" s="4">
        <f ca="1">data[[#This Row],[Maturity ( Days)]]/365</f>
        <v>7.9452054794520555E-2</v>
      </c>
      <c r="AK105" s="4" t="str">
        <f ca="1">IF(data[[#This Row],[Option Type]]="put","p","c")</f>
        <v>p</v>
      </c>
      <c r="AL105" s="4">
        <f ca="1">(data[[#This Row],[Bid]]*data[[#This Row],[Asksize]]+data[[#This Row],[Ask]]*data[[#This Row],[Bidsize]])/(data[[#This Row],[Bidsize]]+data[[#This Row],[Asksize]])</f>
        <v>1.0494932432432431</v>
      </c>
      <c r="AM105" s="4">
        <f ca="1">VALUE(data[[#This Row],[Strike]])</f>
        <v>2800</v>
      </c>
      <c r="AN105" s="56">
        <f ca="1"/>
        <v>1.0671667437218275</v>
      </c>
      <c r="AO105" s="57" t="str">
        <f ca="1"/>
        <v>p</v>
      </c>
      <c r="AP105" s="57">
        <f ca="1"/>
        <v>0.53372884819833755</v>
      </c>
      <c r="AQ105" s="58">
        <f ca="1"/>
        <v>-5.251213991111392E-3</v>
      </c>
      <c r="AR105" s="58">
        <f ca="1"/>
        <v>2.4677950476939214E-5</v>
      </c>
      <c r="AS105" s="58">
        <f ca="1"/>
        <v>0.17308046845104616</v>
      </c>
      <c r="AT105" s="56">
        <f ca="1"/>
        <v>-15.865838507959827</v>
      </c>
      <c r="AU105" s="56">
        <f ca="1"/>
        <v>-1.7794642464809372</v>
      </c>
    </row>
    <row r="106" spans="1:47" x14ac:dyDescent="0.3">
      <c r="A106" t="s">
        <v>358</v>
      </c>
      <c r="B106" t="s">
        <v>359</v>
      </c>
      <c r="C106" t="s">
        <v>29</v>
      </c>
      <c r="D106" t="s">
        <v>83</v>
      </c>
      <c r="E106" t="s">
        <v>84</v>
      </c>
      <c r="F106" t="s">
        <v>88</v>
      </c>
      <c r="G106" t="s">
        <v>581</v>
      </c>
      <c r="H106" t="s">
        <v>302</v>
      </c>
      <c r="I106" t="s">
        <v>655</v>
      </c>
      <c r="J106" t="s">
        <v>815</v>
      </c>
      <c r="K106" t="s">
        <v>280</v>
      </c>
      <c r="L106" t="s">
        <v>315</v>
      </c>
      <c r="M106" t="s">
        <v>84</v>
      </c>
      <c r="N106" t="s">
        <v>56</v>
      </c>
      <c r="O106" t="s">
        <v>36</v>
      </c>
      <c r="Q106" t="s">
        <v>590</v>
      </c>
      <c r="R106" t="s">
        <v>655</v>
      </c>
      <c r="S106" t="s">
        <v>655</v>
      </c>
      <c r="T106" t="s">
        <v>655</v>
      </c>
      <c r="V106" t="s">
        <v>49</v>
      </c>
      <c r="X106" t="s">
        <v>578</v>
      </c>
      <c r="Z106" t="s">
        <v>84</v>
      </c>
      <c r="AA106" t="s">
        <v>84</v>
      </c>
      <c r="AB106" t="s">
        <v>36</v>
      </c>
      <c r="AC106" t="s">
        <v>578</v>
      </c>
      <c r="AD106" t="s">
        <v>36</v>
      </c>
      <c r="AE106" t="s">
        <v>578</v>
      </c>
      <c r="AF106" t="s">
        <v>86</v>
      </c>
      <c r="AG106" t="s">
        <v>311</v>
      </c>
      <c r="AH106" t="s">
        <v>160</v>
      </c>
      <c r="AI106" s="4">
        <f ca="1">data[[#This Row],[Expiry Date]]-TODAY()</f>
        <v>29</v>
      </c>
      <c r="AJ106" s="4">
        <f ca="1">data[[#This Row],[Maturity ( Days)]]/365</f>
        <v>7.9452054794520555E-2</v>
      </c>
      <c r="AK106" s="4" t="str">
        <f ca="1">IF(data[[#This Row],[Option Type]]="put","p","c")</f>
        <v>p</v>
      </c>
      <c r="AL106" s="4">
        <f ca="1">(data[[#This Row],[Bid]]*data[[#This Row],[Asksize]]+data[[#This Row],[Ask]]*data[[#This Row],[Bidsize]])/(data[[#This Row],[Bidsize]]+data[[#This Row],[Asksize]])</f>
        <v>1.738690476190476</v>
      </c>
      <c r="AM106" s="4">
        <f ca="1">VALUE(data[[#This Row],[Strike]])</f>
        <v>3000</v>
      </c>
      <c r="AN106" s="56">
        <f ca="1"/>
        <v>1.7699293012747148</v>
      </c>
      <c r="AO106" s="57" t="str">
        <f ca="1"/>
        <v>p</v>
      </c>
      <c r="AP106" s="57">
        <f ca="1"/>
        <v>0.47274418228581172</v>
      </c>
      <c r="AQ106" s="58">
        <f ca="1"/>
        <v>-9.3145564695427119E-3</v>
      </c>
      <c r="AR106" s="58">
        <f ca="1"/>
        <v>4.6203513454906472E-5</v>
      </c>
      <c r="AS106" s="58">
        <f ca="1"/>
        <v>0.28702484514776266</v>
      </c>
      <c r="AT106" s="56">
        <f ca="1"/>
        <v>-23.286120506756859</v>
      </c>
      <c r="AU106" s="56">
        <f ca="1"/>
        <v>-3.1466328216318735</v>
      </c>
    </row>
    <row r="107" spans="1:47" x14ac:dyDescent="0.3">
      <c r="A107" t="s">
        <v>367</v>
      </c>
      <c r="B107" t="s">
        <v>368</v>
      </c>
      <c r="C107" t="s">
        <v>29</v>
      </c>
      <c r="D107" t="s">
        <v>115</v>
      </c>
      <c r="E107" t="s">
        <v>84</v>
      </c>
      <c r="F107" t="s">
        <v>89</v>
      </c>
      <c r="G107" t="s">
        <v>104</v>
      </c>
      <c r="H107" t="s">
        <v>627</v>
      </c>
      <c r="I107" t="s">
        <v>656</v>
      </c>
      <c r="J107" t="s">
        <v>657</v>
      </c>
      <c r="K107" t="s">
        <v>278</v>
      </c>
      <c r="L107" t="s">
        <v>315</v>
      </c>
      <c r="M107" t="s">
        <v>84</v>
      </c>
      <c r="N107" t="s">
        <v>56</v>
      </c>
      <c r="O107" t="s">
        <v>36</v>
      </c>
      <c r="Q107" t="s">
        <v>102</v>
      </c>
      <c r="R107" t="s">
        <v>656</v>
      </c>
      <c r="S107" t="s">
        <v>656</v>
      </c>
      <c r="T107" t="s">
        <v>656</v>
      </c>
      <c r="V107" t="s">
        <v>49</v>
      </c>
      <c r="X107" t="s">
        <v>578</v>
      </c>
      <c r="Z107" t="s">
        <v>84</v>
      </c>
      <c r="AA107" t="s">
        <v>84</v>
      </c>
      <c r="AB107" t="s">
        <v>36</v>
      </c>
      <c r="AC107" t="s">
        <v>578</v>
      </c>
      <c r="AD107" t="s">
        <v>36</v>
      </c>
      <c r="AE107" t="s">
        <v>578</v>
      </c>
      <c r="AF107" t="s">
        <v>86</v>
      </c>
      <c r="AG107" t="s">
        <v>311</v>
      </c>
      <c r="AH107" t="s">
        <v>160</v>
      </c>
      <c r="AI107" s="4">
        <f ca="1">data[[#This Row],[Expiry Date]]-TODAY()</f>
        <v>29</v>
      </c>
      <c r="AJ107" s="4">
        <f ca="1">data[[#This Row],[Maturity ( Days)]]/365</f>
        <v>7.9452054794520555E-2</v>
      </c>
      <c r="AK107" s="4" t="str">
        <f ca="1">IF(data[[#This Row],[Option Type]]="put","p","c")</f>
        <v>p</v>
      </c>
      <c r="AL107" s="4">
        <f ca="1">(data[[#This Row],[Bid]]*data[[#This Row],[Asksize]]+data[[#This Row],[Ask]]*data[[#This Row],[Bidsize]])/(data[[#This Row],[Bidsize]]+data[[#This Row],[Asksize]])</f>
        <v>3.1407894736842108</v>
      </c>
      <c r="AM107" s="4">
        <f ca="1">VALUE(data[[#This Row],[Strike]])</f>
        <v>3200</v>
      </c>
      <c r="AN107" s="56">
        <f ca="1"/>
        <v>3.2002939843041531</v>
      </c>
      <c r="AO107" s="57" t="str">
        <f ca="1"/>
        <v>p</v>
      </c>
      <c r="AP107" s="57">
        <f ca="1"/>
        <v>0.4169750308631634</v>
      </c>
      <c r="AQ107" s="58">
        <f ca="1"/>
        <v>-1.7790539107719772E-2</v>
      </c>
      <c r="AR107" s="58">
        <f ca="1"/>
        <v>9.1656595238135126E-5</v>
      </c>
      <c r="AS107" s="58">
        <f ca="1"/>
        <v>0.50221775971622173</v>
      </c>
      <c r="AT107" s="56">
        <f ca="1"/>
        <v>-35.898651436788384</v>
      </c>
      <c r="AU107" s="56">
        <f ca="1"/>
        <v>-5.9956720440763185</v>
      </c>
    </row>
    <row r="108" spans="1:47" x14ac:dyDescent="0.3">
      <c r="A108" t="s">
        <v>381</v>
      </c>
      <c r="B108" t="s">
        <v>382</v>
      </c>
      <c r="C108" t="s">
        <v>29</v>
      </c>
      <c r="D108" t="s">
        <v>91</v>
      </c>
      <c r="E108" t="s">
        <v>84</v>
      </c>
      <c r="F108" t="s">
        <v>90</v>
      </c>
      <c r="G108" t="s">
        <v>645</v>
      </c>
      <c r="H108" t="s">
        <v>585</v>
      </c>
      <c r="I108" t="s">
        <v>631</v>
      </c>
      <c r="J108" t="s">
        <v>816</v>
      </c>
      <c r="K108" t="s">
        <v>274</v>
      </c>
      <c r="L108" t="s">
        <v>315</v>
      </c>
      <c r="M108" t="s">
        <v>84</v>
      </c>
      <c r="N108" t="s">
        <v>56</v>
      </c>
      <c r="O108" t="s">
        <v>36</v>
      </c>
      <c r="Q108" t="s">
        <v>91</v>
      </c>
      <c r="R108" t="s">
        <v>631</v>
      </c>
      <c r="S108" t="s">
        <v>631</v>
      </c>
      <c r="T108" t="s">
        <v>631</v>
      </c>
      <c r="V108" t="s">
        <v>49</v>
      </c>
      <c r="X108" t="s">
        <v>578</v>
      </c>
      <c r="Z108" t="s">
        <v>84</v>
      </c>
      <c r="AA108" t="s">
        <v>84</v>
      </c>
      <c r="AB108" t="s">
        <v>36</v>
      </c>
      <c r="AC108" t="s">
        <v>578</v>
      </c>
      <c r="AD108" t="s">
        <v>36</v>
      </c>
      <c r="AE108" t="s">
        <v>578</v>
      </c>
      <c r="AF108" t="s">
        <v>86</v>
      </c>
      <c r="AG108" t="s">
        <v>311</v>
      </c>
      <c r="AH108" t="s">
        <v>160</v>
      </c>
      <c r="AI108" s="4">
        <f ca="1">data[[#This Row],[Expiry Date]]-TODAY()</f>
        <v>29</v>
      </c>
      <c r="AJ108" s="4">
        <f ca="1">data[[#This Row],[Maturity ( Days)]]/365</f>
        <v>7.9452054794520555E-2</v>
      </c>
      <c r="AK108" s="4" t="str">
        <f ca="1">IF(data[[#This Row],[Option Type]]="put","p","c")</f>
        <v>p</v>
      </c>
      <c r="AL108" s="4">
        <f ca="1">(data[[#This Row],[Bid]]*data[[#This Row],[Asksize]]+data[[#This Row],[Ask]]*data[[#This Row],[Bidsize]])/(data[[#This Row],[Bidsize]]+data[[#This Row],[Asksize]])</f>
        <v>6.3409282700421938</v>
      </c>
      <c r="AM108" s="4">
        <f ca="1">VALUE(data[[#This Row],[Strike]])</f>
        <v>3400</v>
      </c>
      <c r="AN108" s="56">
        <f ca="1"/>
        <v>6.4647310707241559</v>
      </c>
      <c r="AO108" s="57" t="str">
        <f ca="1"/>
        <v>p</v>
      </c>
      <c r="AP108" s="57">
        <f ca="1"/>
        <v>0.36721114806639316</v>
      </c>
      <c r="AQ108" s="58">
        <f ca="1"/>
        <v>-3.7064634047464184E-2</v>
      </c>
      <c r="AR108" s="58">
        <f ca="1"/>
        <v>1.9230955514602325E-4</v>
      </c>
      <c r="AS108" s="58">
        <f ca="1"/>
        <v>0.92797230924694385</v>
      </c>
      <c r="AT108" s="56">
        <f ca="1"/>
        <v>-58.321508272320663</v>
      </c>
      <c r="AU108" s="56">
        <f ca="1"/>
        <v>-12.475229599786521</v>
      </c>
    </row>
    <row r="109" spans="1:47" x14ac:dyDescent="0.3">
      <c r="A109" t="s">
        <v>397</v>
      </c>
      <c r="B109" t="s">
        <v>398</v>
      </c>
      <c r="C109" t="s">
        <v>29</v>
      </c>
      <c r="D109" t="s">
        <v>91</v>
      </c>
      <c r="E109" t="s">
        <v>84</v>
      </c>
      <c r="F109" t="s">
        <v>98</v>
      </c>
      <c r="G109" t="s">
        <v>817</v>
      </c>
      <c r="H109" t="s">
        <v>106</v>
      </c>
      <c r="I109" t="s">
        <v>658</v>
      </c>
      <c r="J109" t="s">
        <v>751</v>
      </c>
      <c r="K109" t="s">
        <v>589</v>
      </c>
      <c r="L109" t="s">
        <v>315</v>
      </c>
      <c r="M109" t="s">
        <v>84</v>
      </c>
      <c r="N109" t="s">
        <v>56</v>
      </c>
      <c r="O109" t="s">
        <v>36</v>
      </c>
      <c r="Q109" t="s">
        <v>91</v>
      </c>
      <c r="R109" t="s">
        <v>658</v>
      </c>
      <c r="S109" t="s">
        <v>658</v>
      </c>
      <c r="T109" t="s">
        <v>658</v>
      </c>
      <c r="V109" t="s">
        <v>49</v>
      </c>
      <c r="X109" t="s">
        <v>578</v>
      </c>
      <c r="Z109" t="s">
        <v>84</v>
      </c>
      <c r="AA109" t="s">
        <v>84</v>
      </c>
      <c r="AB109" t="s">
        <v>36</v>
      </c>
      <c r="AC109" t="s">
        <v>578</v>
      </c>
      <c r="AD109" t="s">
        <v>36</v>
      </c>
      <c r="AE109" t="s">
        <v>578</v>
      </c>
      <c r="AF109" t="s">
        <v>86</v>
      </c>
      <c r="AG109" t="s">
        <v>311</v>
      </c>
      <c r="AH109" t="s">
        <v>160</v>
      </c>
      <c r="AI109" s="4">
        <f ca="1">data[[#This Row],[Expiry Date]]-TODAY()</f>
        <v>29</v>
      </c>
      <c r="AJ109" s="4">
        <f ca="1">data[[#This Row],[Maturity ( Days)]]/365</f>
        <v>7.9452054794520555E-2</v>
      </c>
      <c r="AK109" s="4" t="str">
        <f ca="1">IF(data[[#This Row],[Option Type]]="put","p","c")</f>
        <v>p</v>
      </c>
      <c r="AL109" s="4">
        <f ca="1">(data[[#This Row],[Bid]]*data[[#This Row],[Asksize]]+data[[#This Row],[Ask]]*data[[#This Row],[Bidsize]])/(data[[#This Row],[Bidsize]]+data[[#This Row],[Asksize]])</f>
        <v>14.748453608247422</v>
      </c>
      <c r="AM109" s="4">
        <f ca="1">VALUE(data[[#This Row],[Strike]])</f>
        <v>3600</v>
      </c>
      <c r="AN109" s="56">
        <f ca="1"/>
        <v>15.03103838327479</v>
      </c>
      <c r="AO109" s="57" t="str">
        <f ca="1"/>
        <v>p</v>
      </c>
      <c r="AP109" s="57">
        <f ca="1"/>
        <v>0.32643806628440808</v>
      </c>
      <c r="AQ109" s="58">
        <f ca="1"/>
        <v>-8.4493769778670402E-2</v>
      </c>
      <c r="AR109" s="58">
        <f ca="1"/>
        <v>4.138150409346219E-4</v>
      </c>
      <c r="AS109" s="58">
        <f ca="1"/>
        <v>1.7751103855585755</v>
      </c>
      <c r="AT109" s="56">
        <f ca="1"/>
        <v>-98.92527972361394</v>
      </c>
      <c r="AU109" s="56">
        <f ca="1"/>
        <v>-28.462273683501458</v>
      </c>
    </row>
    <row r="110" spans="1:47" x14ac:dyDescent="0.3">
      <c r="A110" t="s">
        <v>448</v>
      </c>
      <c r="B110" t="s">
        <v>449</v>
      </c>
      <c r="C110" t="s">
        <v>29</v>
      </c>
      <c r="D110" t="s">
        <v>91</v>
      </c>
      <c r="E110" t="s">
        <v>84</v>
      </c>
      <c r="F110" t="s">
        <v>107</v>
      </c>
      <c r="G110" t="s">
        <v>593</v>
      </c>
      <c r="H110" t="s">
        <v>818</v>
      </c>
      <c r="I110" t="s">
        <v>603</v>
      </c>
      <c r="J110" t="s">
        <v>100</v>
      </c>
      <c r="K110" t="s">
        <v>159</v>
      </c>
      <c r="L110" t="s">
        <v>315</v>
      </c>
      <c r="M110" t="s">
        <v>84</v>
      </c>
      <c r="N110" t="s">
        <v>56</v>
      </c>
      <c r="O110" t="s">
        <v>36</v>
      </c>
      <c r="Q110" t="s">
        <v>91</v>
      </c>
      <c r="R110" t="s">
        <v>603</v>
      </c>
      <c r="S110" t="s">
        <v>603</v>
      </c>
      <c r="T110" t="s">
        <v>603</v>
      </c>
      <c r="V110" t="s">
        <v>49</v>
      </c>
      <c r="X110" t="s">
        <v>578</v>
      </c>
      <c r="Z110" t="s">
        <v>84</v>
      </c>
      <c r="AA110" t="s">
        <v>84</v>
      </c>
      <c r="AB110" t="s">
        <v>36</v>
      </c>
      <c r="AC110" t="s">
        <v>578</v>
      </c>
      <c r="AD110" t="s">
        <v>36</v>
      </c>
      <c r="AE110" t="s">
        <v>578</v>
      </c>
      <c r="AF110" t="s">
        <v>86</v>
      </c>
      <c r="AG110" t="s">
        <v>311</v>
      </c>
      <c r="AH110" t="s">
        <v>160</v>
      </c>
      <c r="AI110" s="4">
        <f ca="1">data[[#This Row],[Expiry Date]]-TODAY()</f>
        <v>29</v>
      </c>
      <c r="AJ110" s="4">
        <f ca="1">data[[#This Row],[Maturity ( Days)]]/365</f>
        <v>7.9452054794520555E-2</v>
      </c>
      <c r="AK110" s="4" t="str">
        <f ca="1">IF(data[[#This Row],[Option Type]]="put","p","c")</f>
        <v>p</v>
      </c>
      <c r="AL110" s="4">
        <f ca="1">(data[[#This Row],[Bid]]*data[[#This Row],[Asksize]]+data[[#This Row],[Ask]]*data[[#This Row],[Bidsize]])/(data[[#This Row],[Bidsize]]+data[[#This Row],[Asksize]])</f>
        <v>58.978378378378373</v>
      </c>
      <c r="AM110" s="4">
        <f ca="1">VALUE(data[[#This Row],[Strike]])</f>
        <v>3900</v>
      </c>
      <c r="AN110" s="56">
        <f ca="1"/>
        <v>59.938882435280448</v>
      </c>
      <c r="AO110" s="57" t="str">
        <f ca="1"/>
        <v>p</v>
      </c>
      <c r="AP110" s="57">
        <f ca="1"/>
        <v>0.28315850834109724</v>
      </c>
      <c r="AQ110" s="58">
        <f ca="1"/>
        <v>-0.28443782699340248</v>
      </c>
      <c r="AR110" s="58">
        <f ca="1"/>
        <v>1.0445274577771313E-3</v>
      </c>
      <c r="AS110" s="58">
        <f ca="1"/>
        <v>3.8865814465471442</v>
      </c>
      <c r="AT110" s="56">
        <f ca="1"/>
        <v>-186.41241931937051</v>
      </c>
      <c r="AU110" s="56">
        <f ca="1"/>
        <v>-96.556118186471224</v>
      </c>
    </row>
    <row r="111" spans="1:47" x14ac:dyDescent="0.3">
      <c r="A111" t="s">
        <v>476</v>
      </c>
      <c r="B111" t="s">
        <v>477</v>
      </c>
      <c r="C111" t="s">
        <v>29</v>
      </c>
      <c r="D111" t="s">
        <v>105</v>
      </c>
      <c r="E111" t="s">
        <v>84</v>
      </c>
      <c r="F111" t="s">
        <v>168</v>
      </c>
      <c r="G111" t="s">
        <v>819</v>
      </c>
      <c r="H111" t="s">
        <v>644</v>
      </c>
      <c r="I111" t="s">
        <v>605</v>
      </c>
      <c r="J111" t="s">
        <v>108</v>
      </c>
      <c r="K111" t="s">
        <v>108</v>
      </c>
      <c r="L111" t="s">
        <v>315</v>
      </c>
      <c r="M111" t="s">
        <v>84</v>
      </c>
      <c r="N111" t="s">
        <v>56</v>
      </c>
      <c r="O111" t="s">
        <v>36</v>
      </c>
      <c r="Q111" t="s">
        <v>105</v>
      </c>
      <c r="R111" t="s">
        <v>605</v>
      </c>
      <c r="S111" t="s">
        <v>605</v>
      </c>
      <c r="T111" t="s">
        <v>605</v>
      </c>
      <c r="V111" t="s">
        <v>49</v>
      </c>
      <c r="X111" t="s">
        <v>606</v>
      </c>
      <c r="Z111" t="s">
        <v>84</v>
      </c>
      <c r="AA111" t="s">
        <v>84</v>
      </c>
      <c r="AB111" t="s">
        <v>36</v>
      </c>
      <c r="AC111" t="s">
        <v>578</v>
      </c>
      <c r="AD111" t="s">
        <v>36</v>
      </c>
      <c r="AE111" t="s">
        <v>578</v>
      </c>
      <c r="AF111" t="s">
        <v>86</v>
      </c>
      <c r="AG111" t="s">
        <v>311</v>
      </c>
      <c r="AH111" t="s">
        <v>160</v>
      </c>
      <c r="AI111" s="4">
        <f ca="1">data[[#This Row],[Expiry Date]]-TODAY()</f>
        <v>29</v>
      </c>
      <c r="AJ111" s="4">
        <f ca="1">data[[#This Row],[Maturity ( Days)]]/365</f>
        <v>7.9452054794520555E-2</v>
      </c>
      <c r="AK111" s="4" t="str">
        <f ca="1">IF(data[[#This Row],[Option Type]]="put","p","c")</f>
        <v>p</v>
      </c>
      <c r="AL111" s="4">
        <f ca="1">(data[[#This Row],[Bid]]*data[[#This Row],[Asksize]]+data[[#This Row],[Ask]]*data[[#This Row],[Bidsize]])/(data[[#This Row],[Bidsize]]+data[[#This Row],[Asksize]])</f>
        <v>79.050000000000011</v>
      </c>
      <c r="AM111" s="4">
        <f ca="1">VALUE(data[[#This Row],[Strike]])</f>
        <v>3970</v>
      </c>
      <c r="AN111" s="56">
        <f ca="1"/>
        <v>80.271844158243312</v>
      </c>
      <c r="AO111" s="57" t="str">
        <f ca="1"/>
        <v>p</v>
      </c>
      <c r="AP111" s="57">
        <f ca="1"/>
        <v>0.27302462351640666</v>
      </c>
      <c r="AQ111" s="58">
        <f ca="1"/>
        <v>-0.36062606959324461</v>
      </c>
      <c r="AR111" s="58">
        <f ca="1"/>
        <v>1.1955963167484625E-3</v>
      </c>
      <c r="AS111" s="58">
        <f ca="1"/>
        <v>4.2894803412028173</v>
      </c>
      <c r="AT111" s="56">
        <f ca="1"/>
        <v>-197.6831851507136</v>
      </c>
      <c r="AU111" s="56">
        <f ca="1"/>
        <v>-122.7588336463527</v>
      </c>
    </row>
    <row r="112" spans="1:47" x14ac:dyDescent="0.3">
      <c r="A112" t="s">
        <v>484</v>
      </c>
      <c r="B112" t="s">
        <v>485</v>
      </c>
      <c r="C112" t="s">
        <v>29</v>
      </c>
      <c r="D112" t="s">
        <v>111</v>
      </c>
      <c r="E112" t="s">
        <v>84</v>
      </c>
      <c r="F112" t="s">
        <v>167</v>
      </c>
      <c r="G112" t="s">
        <v>820</v>
      </c>
      <c r="H112" t="s">
        <v>308</v>
      </c>
      <c r="I112" t="s">
        <v>594</v>
      </c>
      <c r="J112" t="s">
        <v>108</v>
      </c>
      <c r="K112" t="s">
        <v>108</v>
      </c>
      <c r="L112" t="s">
        <v>315</v>
      </c>
      <c r="M112" t="s">
        <v>84</v>
      </c>
      <c r="N112" t="s">
        <v>56</v>
      </c>
      <c r="O112" t="s">
        <v>36</v>
      </c>
      <c r="Q112" t="s">
        <v>111</v>
      </c>
      <c r="R112" t="s">
        <v>594</v>
      </c>
      <c r="S112" t="s">
        <v>594</v>
      </c>
      <c r="T112" t="s">
        <v>594</v>
      </c>
      <c r="V112" t="s">
        <v>49</v>
      </c>
      <c r="X112" t="s">
        <v>606</v>
      </c>
      <c r="Z112" t="s">
        <v>84</v>
      </c>
      <c r="AA112" t="s">
        <v>84</v>
      </c>
      <c r="AB112" t="s">
        <v>36</v>
      </c>
      <c r="AC112" t="s">
        <v>578</v>
      </c>
      <c r="AD112" t="s">
        <v>36</v>
      </c>
      <c r="AE112" t="s">
        <v>578</v>
      </c>
      <c r="AF112" t="s">
        <v>86</v>
      </c>
      <c r="AG112" t="s">
        <v>311</v>
      </c>
      <c r="AH112" t="s">
        <v>160</v>
      </c>
      <c r="AI112" s="4">
        <f ca="1">data[[#This Row],[Expiry Date]]-TODAY()</f>
        <v>29</v>
      </c>
      <c r="AJ112" s="4">
        <f ca="1">data[[#This Row],[Maturity ( Days)]]/365</f>
        <v>7.9452054794520555E-2</v>
      </c>
      <c r="AK112" s="4" t="str">
        <f ca="1">IF(data[[#This Row],[Option Type]]="put","p","c")</f>
        <v>p</v>
      </c>
      <c r="AL112" s="4">
        <f ca="1">(data[[#This Row],[Bid]]*data[[#This Row],[Asksize]]+data[[#This Row],[Ask]]*data[[#This Row],[Bidsize]])/(data[[#This Row],[Bidsize]]+data[[#This Row],[Asksize]])</f>
        <v>85.75</v>
      </c>
      <c r="AM112" s="4">
        <f ca="1">VALUE(data[[#This Row],[Strike]])</f>
        <v>3990</v>
      </c>
      <c r="AN112" s="56">
        <f ca="1"/>
        <v>87.053996367454147</v>
      </c>
      <c r="AO112" s="57" t="str">
        <f ca="1"/>
        <v>p</v>
      </c>
      <c r="AP112" s="57">
        <f ca="1"/>
        <v>0.27014844396863813</v>
      </c>
      <c r="AQ112" s="58">
        <f ca="1"/>
        <v>-0.38446409612234844</v>
      </c>
      <c r="AR112" s="58">
        <f ca="1"/>
        <v>1.2333462648249601E-3</v>
      </c>
      <c r="AS112" s="58">
        <f ca="1"/>
        <v>4.3783027593724277</v>
      </c>
      <c r="AT112" s="56">
        <f ca="1"/>
        <v>-199.40909239463667</v>
      </c>
      <c r="AU112" s="56">
        <f ca="1"/>
        <v>-130.9905928225273</v>
      </c>
    </row>
    <row r="113" spans="1:47" x14ac:dyDescent="0.3">
      <c r="A113" t="s">
        <v>488</v>
      </c>
      <c r="B113" t="s">
        <v>489</v>
      </c>
      <c r="C113" t="s">
        <v>29</v>
      </c>
      <c r="D113" t="s">
        <v>91</v>
      </c>
      <c r="E113" t="s">
        <v>84</v>
      </c>
      <c r="F113" t="s">
        <v>127</v>
      </c>
      <c r="G113" t="s">
        <v>821</v>
      </c>
      <c r="H113" t="s">
        <v>822</v>
      </c>
      <c r="I113" t="s">
        <v>608</v>
      </c>
      <c r="J113" t="s">
        <v>184</v>
      </c>
      <c r="K113" t="s">
        <v>83</v>
      </c>
      <c r="L113" t="s">
        <v>315</v>
      </c>
      <c r="M113" t="s">
        <v>84</v>
      </c>
      <c r="N113" t="s">
        <v>56</v>
      </c>
      <c r="O113" t="s">
        <v>36</v>
      </c>
      <c r="Q113" t="s">
        <v>91</v>
      </c>
      <c r="R113" t="s">
        <v>608</v>
      </c>
      <c r="S113" t="s">
        <v>608</v>
      </c>
      <c r="T113" t="s">
        <v>608</v>
      </c>
      <c r="V113" t="s">
        <v>49</v>
      </c>
      <c r="X113" t="s">
        <v>606</v>
      </c>
      <c r="Z113" t="s">
        <v>84</v>
      </c>
      <c r="AA113" t="s">
        <v>84</v>
      </c>
      <c r="AB113" t="s">
        <v>36</v>
      </c>
      <c r="AC113" t="s">
        <v>578</v>
      </c>
      <c r="AD113" t="s">
        <v>36</v>
      </c>
      <c r="AE113" t="s">
        <v>578</v>
      </c>
      <c r="AF113" t="s">
        <v>86</v>
      </c>
      <c r="AG113" t="s">
        <v>311</v>
      </c>
      <c r="AH113" t="s">
        <v>160</v>
      </c>
      <c r="AI113" s="4">
        <f ca="1">data[[#This Row],[Expiry Date]]-TODAY()</f>
        <v>29</v>
      </c>
      <c r="AJ113" s="4">
        <f ca="1">data[[#This Row],[Maturity ( Days)]]/365</f>
        <v>7.9452054794520555E-2</v>
      </c>
      <c r="AK113" s="4" t="str">
        <f ca="1">IF(data[[#This Row],[Option Type]]="put","p","c")</f>
        <v>p</v>
      </c>
      <c r="AL113" s="4">
        <f ca="1">(data[[#This Row],[Bid]]*data[[#This Row],[Asksize]]+data[[#This Row],[Ask]]*data[[#This Row],[Bidsize]])/(data[[#This Row],[Bidsize]]+data[[#This Row],[Asksize]])</f>
        <v>89.453846153846158</v>
      </c>
      <c r="AM113" s="4">
        <f ca="1">VALUE(data[[#This Row],[Strike]])</f>
        <v>4000</v>
      </c>
      <c r="AN113" s="56">
        <f ca="1"/>
        <v>90.800599589242211</v>
      </c>
      <c r="AO113" s="57" t="str">
        <f ca="1"/>
        <v>p</v>
      </c>
      <c r="AP113" s="57">
        <f ca="1"/>
        <v>0.26912341629244424</v>
      </c>
      <c r="AQ113" s="58">
        <f ca="1"/>
        <v>-0.39681136296397124</v>
      </c>
      <c r="AR113" s="58">
        <f ca="1"/>
        <v>1.2491525468434125E-3</v>
      </c>
      <c r="AS113" s="58">
        <f ca="1"/>
        <v>4.4175885266443764</v>
      </c>
      <c r="AT113" s="56">
        <f ca="1"/>
        <v>-200.31041901282387</v>
      </c>
      <c r="AU113" s="56">
        <f ca="1"/>
        <v>-135.27290913871994</v>
      </c>
    </row>
    <row r="114" spans="1:47" x14ac:dyDescent="0.3">
      <c r="A114" t="s">
        <v>505</v>
      </c>
      <c r="B114" t="s">
        <v>506</v>
      </c>
      <c r="C114" t="s">
        <v>57</v>
      </c>
      <c r="D114" t="s">
        <v>94</v>
      </c>
      <c r="E114" t="s">
        <v>84</v>
      </c>
      <c r="F114" t="s">
        <v>507</v>
      </c>
      <c r="G114" t="s">
        <v>823</v>
      </c>
      <c r="H114" t="s">
        <v>784</v>
      </c>
      <c r="I114" t="s">
        <v>609</v>
      </c>
      <c r="J114" t="s">
        <v>111</v>
      </c>
      <c r="K114" t="s">
        <v>111</v>
      </c>
      <c r="L114" t="s">
        <v>315</v>
      </c>
      <c r="M114" t="s">
        <v>84</v>
      </c>
      <c r="N114" t="s">
        <v>56</v>
      </c>
      <c r="O114" t="s">
        <v>36</v>
      </c>
      <c r="Q114" t="s">
        <v>94</v>
      </c>
      <c r="R114" t="s">
        <v>609</v>
      </c>
      <c r="S114" t="s">
        <v>609</v>
      </c>
      <c r="T114" t="s">
        <v>609</v>
      </c>
      <c r="V114" t="s">
        <v>49</v>
      </c>
      <c r="X114" t="s">
        <v>606</v>
      </c>
      <c r="Z114" t="s">
        <v>84</v>
      </c>
      <c r="AA114" t="s">
        <v>84</v>
      </c>
      <c r="AB114" t="s">
        <v>36</v>
      </c>
      <c r="AC114" t="s">
        <v>578</v>
      </c>
      <c r="AD114" t="s">
        <v>36</v>
      </c>
      <c r="AE114" t="s">
        <v>578</v>
      </c>
      <c r="AF114" t="s">
        <v>86</v>
      </c>
      <c r="AG114" t="s">
        <v>311</v>
      </c>
      <c r="AH114" t="s">
        <v>160</v>
      </c>
      <c r="AI114" s="4">
        <f ca="1">data[[#This Row],[Expiry Date]]-TODAY()</f>
        <v>29</v>
      </c>
      <c r="AJ114" s="4">
        <f ca="1">data[[#This Row],[Maturity ( Days)]]/365</f>
        <v>7.9452054794520555E-2</v>
      </c>
      <c r="AK114" s="4" t="str">
        <f ca="1">IF(data[[#This Row],[Option Type]]="put","p","c")</f>
        <v>c</v>
      </c>
      <c r="AL114" s="4">
        <f ca="1">(data[[#This Row],[Bid]]*data[[#This Row],[Asksize]]+data[[#This Row],[Ask]]*data[[#This Row],[Bidsize]])/(data[[#This Row],[Bidsize]]+data[[#This Row],[Asksize]])</f>
        <v>125.95</v>
      </c>
      <c r="AM114" s="4">
        <f ca="1">VALUE(data[[#This Row],[Strike]])</f>
        <v>4040</v>
      </c>
      <c r="AN114" s="56">
        <f ca="1"/>
        <v>124.25038057370921</v>
      </c>
      <c r="AO114" s="57" t="str">
        <f ca="1"/>
        <v>c</v>
      </c>
      <c r="AP114" s="57">
        <f ca="1"/>
        <v>0.24030960069854035</v>
      </c>
      <c r="AQ114" s="58">
        <f ca="1"/>
        <v>0.55467070109851446</v>
      </c>
      <c r="AR114" s="58">
        <f ca="1"/>
        <v>1.4340145760535668E-3</v>
      </c>
      <c r="AS114" s="58">
        <f ca="1"/>
        <v>4.5283812549375178</v>
      </c>
      <c r="AT114" s="56">
        <f ca="1"/>
        <v>-193.46029804191542</v>
      </c>
      <c r="AU114" s="56">
        <f ca="1"/>
        <v>169.14674332623474</v>
      </c>
    </row>
    <row r="115" spans="1:47" x14ac:dyDescent="0.3">
      <c r="A115" t="s">
        <v>512</v>
      </c>
      <c r="B115" t="s">
        <v>513</v>
      </c>
      <c r="C115" t="s">
        <v>57</v>
      </c>
      <c r="D115" t="s">
        <v>111</v>
      </c>
      <c r="E115" t="s">
        <v>84</v>
      </c>
      <c r="F115" t="s">
        <v>110</v>
      </c>
      <c r="G115" t="s">
        <v>824</v>
      </c>
      <c r="H115" t="s">
        <v>825</v>
      </c>
      <c r="I115" t="s">
        <v>611</v>
      </c>
      <c r="J115" t="s">
        <v>111</v>
      </c>
      <c r="K115" t="s">
        <v>111</v>
      </c>
      <c r="L115" t="s">
        <v>315</v>
      </c>
      <c r="M115" t="s">
        <v>84</v>
      </c>
      <c r="N115" t="s">
        <v>56</v>
      </c>
      <c r="O115" t="s">
        <v>36</v>
      </c>
      <c r="Q115" t="s">
        <v>114</v>
      </c>
      <c r="R115" t="s">
        <v>314</v>
      </c>
      <c r="S115" t="s">
        <v>314</v>
      </c>
      <c r="T115" t="s">
        <v>611</v>
      </c>
      <c r="V115" t="s">
        <v>49</v>
      </c>
      <c r="X115" t="s">
        <v>578</v>
      </c>
      <c r="Z115" t="s">
        <v>84</v>
      </c>
      <c r="AA115" t="s">
        <v>84</v>
      </c>
      <c r="AB115" t="s">
        <v>36</v>
      </c>
      <c r="AC115" t="s">
        <v>578</v>
      </c>
      <c r="AD115" t="s">
        <v>36</v>
      </c>
      <c r="AE115" t="s">
        <v>578</v>
      </c>
      <c r="AF115" t="s">
        <v>86</v>
      </c>
      <c r="AG115" t="s">
        <v>311</v>
      </c>
      <c r="AH115" t="s">
        <v>160</v>
      </c>
      <c r="AI115" s="4">
        <f ca="1">data[[#This Row],[Expiry Date]]-TODAY()</f>
        <v>29</v>
      </c>
      <c r="AJ115" s="4">
        <f ca="1">data[[#This Row],[Maturity ( Days)]]/365</f>
        <v>7.9452054794520555E-2</v>
      </c>
      <c r="AK115" s="4" t="str">
        <f ca="1">IF(data[[#This Row],[Option Type]]="put","p","c")</f>
        <v>c</v>
      </c>
      <c r="AL115" s="4">
        <f ca="1">(data[[#This Row],[Bid]]*data[[#This Row],[Asksize]]+data[[#This Row],[Ask]]*data[[#This Row],[Bidsize]])/(data[[#This Row],[Bidsize]]+data[[#This Row],[Asksize]])</f>
        <v>120.1</v>
      </c>
      <c r="AM115" s="4">
        <f ca="1">VALUE(data[[#This Row],[Strike]])</f>
        <v>4050</v>
      </c>
      <c r="AN115" s="56">
        <f ca="1"/>
        <v>118.4421268097658</v>
      </c>
      <c r="AO115" s="57" t="str">
        <f ca="1"/>
        <v>c</v>
      </c>
      <c r="AP115" s="57">
        <f ca="1"/>
        <v>0.23897470590310185</v>
      </c>
      <c r="AQ115" s="58">
        <f ca="1"/>
        <v>0.54028848753402958</v>
      </c>
      <c r="AR115" s="58">
        <f ca="1"/>
        <v>1.4482858501430407E-3</v>
      </c>
      <c r="AS115" s="58">
        <f ca="1"/>
        <v>4.5480425572832566</v>
      </c>
      <c r="AT115" s="56">
        <f ca="1"/>
        <v>-193.08389708463471</v>
      </c>
      <c r="AU115" s="56">
        <f ca="1"/>
        <v>164.96623150364985</v>
      </c>
    </row>
    <row r="116" spans="1:47" x14ac:dyDescent="0.3">
      <c r="A116" t="s">
        <v>514</v>
      </c>
      <c r="B116" t="s">
        <v>515</v>
      </c>
      <c r="C116" t="s">
        <v>57</v>
      </c>
      <c r="D116" t="s">
        <v>111</v>
      </c>
      <c r="E116" t="s">
        <v>84</v>
      </c>
      <c r="F116" t="s">
        <v>516</v>
      </c>
      <c r="G116" t="s">
        <v>826</v>
      </c>
      <c r="H116" t="s">
        <v>827</v>
      </c>
      <c r="I116" t="s">
        <v>643</v>
      </c>
      <c r="J116" t="s">
        <v>111</v>
      </c>
      <c r="K116" t="s">
        <v>111</v>
      </c>
      <c r="L116" t="s">
        <v>315</v>
      </c>
      <c r="M116" t="s">
        <v>84</v>
      </c>
      <c r="N116" t="s">
        <v>56</v>
      </c>
      <c r="O116" t="s">
        <v>36</v>
      </c>
      <c r="Q116" t="s">
        <v>100</v>
      </c>
      <c r="R116" t="s">
        <v>612</v>
      </c>
      <c r="S116" t="s">
        <v>612</v>
      </c>
      <c r="T116" t="s">
        <v>643</v>
      </c>
      <c r="V116" t="s">
        <v>49</v>
      </c>
      <c r="X116" t="s">
        <v>578</v>
      </c>
      <c r="Z116" t="s">
        <v>84</v>
      </c>
      <c r="AA116" t="s">
        <v>84</v>
      </c>
      <c r="AB116" t="s">
        <v>36</v>
      </c>
      <c r="AC116" t="s">
        <v>578</v>
      </c>
      <c r="AD116" t="s">
        <v>36</v>
      </c>
      <c r="AE116" t="s">
        <v>578</v>
      </c>
      <c r="AF116" t="s">
        <v>86</v>
      </c>
      <c r="AG116" t="s">
        <v>311</v>
      </c>
      <c r="AH116" t="s">
        <v>160</v>
      </c>
      <c r="AI116" s="4">
        <f ca="1">data[[#This Row],[Expiry Date]]-TODAY()</f>
        <v>29</v>
      </c>
      <c r="AJ116" s="4">
        <f ca="1">data[[#This Row],[Maturity ( Days)]]/365</f>
        <v>7.9452054794520555E-2</v>
      </c>
      <c r="AK116" s="4" t="str">
        <f ca="1">IF(data[[#This Row],[Option Type]]="put","p","c")</f>
        <v>c</v>
      </c>
      <c r="AL116" s="4">
        <f ca="1">(data[[#This Row],[Bid]]*data[[#This Row],[Asksize]]+data[[#This Row],[Ask]]*data[[#This Row],[Bidsize]])/(data[[#This Row],[Bidsize]]+data[[#This Row],[Asksize]])</f>
        <v>114.35</v>
      </c>
      <c r="AM116" s="4">
        <f ca="1">VALUE(data[[#This Row],[Strike]])</f>
        <v>4060</v>
      </c>
      <c r="AN116" s="56">
        <f ca="1"/>
        <v>112.73453566371518</v>
      </c>
      <c r="AO116" s="57" t="str">
        <f ca="1"/>
        <v>c</v>
      </c>
      <c r="AP116" s="57">
        <f ca="1"/>
        <v>0.23755021885726771</v>
      </c>
      <c r="AQ116" s="58">
        <f ca="1"/>
        <v>0.52572766295238227</v>
      </c>
      <c r="AR116" s="58">
        <f ca="1"/>
        <v>1.4613983161294111E-3</v>
      </c>
      <c r="AS116" s="58">
        <f ca="1"/>
        <v>4.5618640012373595</v>
      </c>
      <c r="AT116" s="56">
        <f ca="1"/>
        <v>-192.38644103509731</v>
      </c>
      <c r="AU116" s="56">
        <f ca="1"/>
        <v>160.72008441141119</v>
      </c>
    </row>
    <row r="117" spans="1:47" x14ac:dyDescent="0.3">
      <c r="A117" t="s">
        <v>519</v>
      </c>
      <c r="B117" t="s">
        <v>520</v>
      </c>
      <c r="C117" t="s">
        <v>57</v>
      </c>
      <c r="D117" t="s">
        <v>95</v>
      </c>
      <c r="E117" t="s">
        <v>84</v>
      </c>
      <c r="F117" t="s">
        <v>521</v>
      </c>
      <c r="G117" t="s">
        <v>613</v>
      </c>
      <c r="H117" t="s">
        <v>828</v>
      </c>
      <c r="I117" t="s">
        <v>613</v>
      </c>
      <c r="J117" t="s">
        <v>111</v>
      </c>
      <c r="K117" t="s">
        <v>111</v>
      </c>
      <c r="L117" t="s">
        <v>315</v>
      </c>
      <c r="M117" t="s">
        <v>84</v>
      </c>
      <c r="N117" t="s">
        <v>56</v>
      </c>
      <c r="O117" t="s">
        <v>36</v>
      </c>
      <c r="Q117" t="s">
        <v>95</v>
      </c>
      <c r="R117" t="s">
        <v>613</v>
      </c>
      <c r="S117" t="s">
        <v>613</v>
      </c>
      <c r="T117" t="s">
        <v>613</v>
      </c>
      <c r="V117" t="s">
        <v>49</v>
      </c>
      <c r="X117" t="s">
        <v>606</v>
      </c>
      <c r="Z117" t="s">
        <v>84</v>
      </c>
      <c r="AA117" t="s">
        <v>84</v>
      </c>
      <c r="AB117" t="s">
        <v>36</v>
      </c>
      <c r="AC117" t="s">
        <v>578</v>
      </c>
      <c r="AD117" t="s">
        <v>36</v>
      </c>
      <c r="AE117" t="s">
        <v>578</v>
      </c>
      <c r="AF117" t="s">
        <v>86</v>
      </c>
      <c r="AG117" t="s">
        <v>311</v>
      </c>
      <c r="AH117" t="s">
        <v>160</v>
      </c>
      <c r="AI117" s="4">
        <f ca="1">data[[#This Row],[Expiry Date]]-TODAY()</f>
        <v>29</v>
      </c>
      <c r="AJ117" s="4">
        <f ca="1">data[[#This Row],[Maturity ( Days)]]/365</f>
        <v>7.9452054794520555E-2</v>
      </c>
      <c r="AK117" s="4" t="str">
        <f ca="1">IF(data[[#This Row],[Option Type]]="put","p","c")</f>
        <v>c</v>
      </c>
      <c r="AL117" s="4">
        <f ca="1">(data[[#This Row],[Bid]]*data[[#This Row],[Asksize]]+data[[#This Row],[Ask]]*data[[#This Row],[Bidsize]])/(data[[#This Row],[Bidsize]]+data[[#This Row],[Asksize]])</f>
        <v>108.75</v>
      </c>
      <c r="AM117" s="4">
        <f ca="1">VALUE(data[[#This Row],[Strike]])</f>
        <v>4070</v>
      </c>
      <c r="AN117" s="56">
        <f ca="1"/>
        <v>107.17763041551484</v>
      </c>
      <c r="AO117" s="57" t="str">
        <f ca="1"/>
        <v>c</v>
      </c>
      <c r="AP117" s="57">
        <f ca="1"/>
        <v>0.23614138004065341</v>
      </c>
      <c r="AQ117" s="58">
        <f ca="1"/>
        <v>0.51099450131908897</v>
      </c>
      <c r="AR117" s="58">
        <f ca="1"/>
        <v>1.4726221428221426E-3</v>
      </c>
      <c r="AS117" s="58">
        <f ca="1"/>
        <v>4.5696371848471511</v>
      </c>
      <c r="AT117" s="56">
        <f ca="1"/>
        <v>-191.44595960657043</v>
      </c>
      <c r="AU117" s="56">
        <f ca="1"/>
        <v>156.40635557290656</v>
      </c>
    </row>
    <row r="118" spans="1:47" x14ac:dyDescent="0.3">
      <c r="A118" t="s">
        <v>524</v>
      </c>
      <c r="B118" t="s">
        <v>525</v>
      </c>
      <c r="C118" t="s">
        <v>57</v>
      </c>
      <c r="D118" t="s">
        <v>111</v>
      </c>
      <c r="E118" t="s">
        <v>84</v>
      </c>
      <c r="F118" t="s">
        <v>526</v>
      </c>
      <c r="G118" t="s">
        <v>829</v>
      </c>
      <c r="H118" t="s">
        <v>310</v>
      </c>
      <c r="I118" t="s">
        <v>614</v>
      </c>
      <c r="J118" t="s">
        <v>109</v>
      </c>
      <c r="K118" t="s">
        <v>109</v>
      </c>
      <c r="L118" t="s">
        <v>315</v>
      </c>
      <c r="M118" t="s">
        <v>84</v>
      </c>
      <c r="N118" t="s">
        <v>56</v>
      </c>
      <c r="O118" t="s">
        <v>36</v>
      </c>
      <c r="Q118" t="s">
        <v>130</v>
      </c>
      <c r="R118" t="s">
        <v>615</v>
      </c>
      <c r="S118" t="s">
        <v>615</v>
      </c>
      <c r="T118" t="s">
        <v>614</v>
      </c>
      <c r="V118" t="s">
        <v>49</v>
      </c>
      <c r="X118" t="s">
        <v>578</v>
      </c>
      <c r="Z118" t="s">
        <v>84</v>
      </c>
      <c r="AA118" t="s">
        <v>84</v>
      </c>
      <c r="AB118" t="s">
        <v>36</v>
      </c>
      <c r="AC118" t="s">
        <v>578</v>
      </c>
      <c r="AD118" t="s">
        <v>36</v>
      </c>
      <c r="AE118" t="s">
        <v>578</v>
      </c>
      <c r="AF118" t="s">
        <v>86</v>
      </c>
      <c r="AG118" t="s">
        <v>311</v>
      </c>
      <c r="AH118" t="s">
        <v>160</v>
      </c>
      <c r="AI118" s="4">
        <f ca="1">data[[#This Row],[Expiry Date]]-TODAY()</f>
        <v>29</v>
      </c>
      <c r="AJ118" s="4">
        <f ca="1">data[[#This Row],[Maturity ( Days)]]/365</f>
        <v>7.9452054794520555E-2</v>
      </c>
      <c r="AK118" s="4" t="str">
        <f ca="1">IF(data[[#This Row],[Option Type]]="put","p","c")</f>
        <v>c</v>
      </c>
      <c r="AL118" s="4">
        <f ca="1">(data[[#This Row],[Bid]]*data[[#This Row],[Asksize]]+data[[#This Row],[Ask]]*data[[#This Row],[Bidsize]])/(data[[#This Row],[Bidsize]]+data[[#This Row],[Asksize]])</f>
        <v>103.25</v>
      </c>
      <c r="AM118" s="4">
        <f ca="1">VALUE(data[[#This Row],[Strike]])</f>
        <v>4080</v>
      </c>
      <c r="AN118" s="56">
        <f ca="1"/>
        <v>101.72135228039679</v>
      </c>
      <c r="AO118" s="57" t="str">
        <f ca="1"/>
        <v>c</v>
      </c>
      <c r="AP118" s="57">
        <f ca="1"/>
        <v>0.23463392363584293</v>
      </c>
      <c r="AQ118" s="58">
        <f ca="1"/>
        <v>0.49609389786187286</v>
      </c>
      <c r="AR118" s="58">
        <f ca="1"/>
        <v>1.4825753284281322E-3</v>
      </c>
      <c r="AS118" s="58">
        <f ca="1"/>
        <v>4.5711541637610527</v>
      </c>
      <c r="AT118" s="56">
        <f ca="1"/>
        <v>-190.16864218372314</v>
      </c>
      <c r="AU118" s="56">
        <f ca="1"/>
        <v>152.03059895695517</v>
      </c>
    </row>
    <row r="119" spans="1:47" x14ac:dyDescent="0.3">
      <c r="A119" t="s">
        <v>529</v>
      </c>
      <c r="B119" t="s">
        <v>530</v>
      </c>
      <c r="C119" t="s">
        <v>57</v>
      </c>
      <c r="D119" t="s">
        <v>109</v>
      </c>
      <c r="E119" t="s">
        <v>84</v>
      </c>
      <c r="F119" t="s">
        <v>531</v>
      </c>
      <c r="G119" t="s">
        <v>830</v>
      </c>
      <c r="H119" t="s">
        <v>634</v>
      </c>
      <c r="I119" t="s">
        <v>617</v>
      </c>
      <c r="J119" t="s">
        <v>109</v>
      </c>
      <c r="K119" t="s">
        <v>283</v>
      </c>
      <c r="L119" t="s">
        <v>315</v>
      </c>
      <c r="M119" t="s">
        <v>84</v>
      </c>
      <c r="N119" t="s">
        <v>56</v>
      </c>
      <c r="O119" t="s">
        <v>36</v>
      </c>
      <c r="Q119" t="s">
        <v>276</v>
      </c>
      <c r="R119" t="s">
        <v>286</v>
      </c>
      <c r="S119" t="s">
        <v>286</v>
      </c>
      <c r="T119" t="s">
        <v>618</v>
      </c>
      <c r="V119" t="s">
        <v>49</v>
      </c>
      <c r="X119" t="s">
        <v>606</v>
      </c>
      <c r="Z119" t="s">
        <v>84</v>
      </c>
      <c r="AA119" t="s">
        <v>84</v>
      </c>
      <c r="AB119" t="s">
        <v>36</v>
      </c>
      <c r="AC119" t="s">
        <v>578</v>
      </c>
      <c r="AD119" t="s">
        <v>36</v>
      </c>
      <c r="AE119" t="s">
        <v>578</v>
      </c>
      <c r="AF119" t="s">
        <v>86</v>
      </c>
      <c r="AG119" t="s">
        <v>311</v>
      </c>
      <c r="AH119" t="s">
        <v>160</v>
      </c>
      <c r="AI119" s="4">
        <f ca="1">data[[#This Row],[Expiry Date]]-TODAY()</f>
        <v>29</v>
      </c>
      <c r="AJ119" s="4">
        <f ca="1">data[[#This Row],[Maturity ( Days)]]/365</f>
        <v>7.9452054794520555E-2</v>
      </c>
      <c r="AK119" s="4" t="str">
        <f ca="1">IF(data[[#This Row],[Option Type]]="put","p","c")</f>
        <v>c</v>
      </c>
      <c r="AL119" s="4">
        <f ca="1">(data[[#This Row],[Bid]]*data[[#This Row],[Asksize]]+data[[#This Row],[Ask]]*data[[#This Row],[Bidsize]])/(data[[#This Row],[Bidsize]]+data[[#This Row],[Asksize]])</f>
        <v>97.767567567567568</v>
      </c>
      <c r="AM119" s="4">
        <f ca="1">VALUE(data[[#This Row],[Strike]])</f>
        <v>4090</v>
      </c>
      <c r="AN119" s="56">
        <f ca="1"/>
        <v>96.283317309722406</v>
      </c>
      <c r="AO119" s="57" t="str">
        <f ca="1"/>
        <v>c</v>
      </c>
      <c r="AP119" s="57">
        <f ca="1"/>
        <v>0.23284275265871923</v>
      </c>
      <c r="AQ119" s="58">
        <f ca="1"/>
        <v>0.48098879464138705</v>
      </c>
      <c r="AR119" s="58">
        <f ca="1"/>
        <v>1.492355086532649E-3</v>
      </c>
      <c r="AS119" s="58">
        <f ca="1"/>
        <v>4.5661817238739095</v>
      </c>
      <c r="AT119" s="56">
        <f ca="1"/>
        <v>-188.40401074294968</v>
      </c>
      <c r="AU119" s="56">
        <f ca="1"/>
        <v>147.58739509827049</v>
      </c>
    </row>
    <row r="120" spans="1:47" x14ac:dyDescent="0.3">
      <c r="A120" t="s">
        <v>534</v>
      </c>
      <c r="B120" t="s">
        <v>535</v>
      </c>
      <c r="C120" t="s">
        <v>57</v>
      </c>
      <c r="D120" t="s">
        <v>94</v>
      </c>
      <c r="E120" t="s">
        <v>84</v>
      </c>
      <c r="F120" t="s">
        <v>140</v>
      </c>
      <c r="G120" t="s">
        <v>831</v>
      </c>
      <c r="H120" t="s">
        <v>832</v>
      </c>
      <c r="I120" t="s">
        <v>619</v>
      </c>
      <c r="J120" t="s">
        <v>109</v>
      </c>
      <c r="K120" t="s">
        <v>109</v>
      </c>
      <c r="L120" t="s">
        <v>315</v>
      </c>
      <c r="M120" t="s">
        <v>84</v>
      </c>
      <c r="N120" t="s">
        <v>56</v>
      </c>
      <c r="O120" t="s">
        <v>36</v>
      </c>
      <c r="Q120" t="s">
        <v>101</v>
      </c>
      <c r="R120" t="s">
        <v>619</v>
      </c>
      <c r="S120" t="s">
        <v>619</v>
      </c>
      <c r="T120" t="s">
        <v>619</v>
      </c>
      <c r="V120" t="s">
        <v>49</v>
      </c>
      <c r="X120" t="s">
        <v>606</v>
      </c>
      <c r="Z120" t="s">
        <v>84</v>
      </c>
      <c r="AA120" t="s">
        <v>84</v>
      </c>
      <c r="AB120" t="s">
        <v>36</v>
      </c>
      <c r="AC120" t="s">
        <v>578</v>
      </c>
      <c r="AD120" t="s">
        <v>36</v>
      </c>
      <c r="AE120" t="s">
        <v>578</v>
      </c>
      <c r="AF120" t="s">
        <v>86</v>
      </c>
      <c r="AG120" t="s">
        <v>311</v>
      </c>
      <c r="AH120" t="s">
        <v>160</v>
      </c>
      <c r="AI120" s="4">
        <f ca="1">data[[#This Row],[Expiry Date]]-TODAY()</f>
        <v>29</v>
      </c>
      <c r="AJ120" s="4">
        <f ca="1">data[[#This Row],[Maturity ( Days)]]/365</f>
        <v>7.9452054794520555E-2</v>
      </c>
      <c r="AK120" s="4" t="str">
        <f ca="1">IF(data[[#This Row],[Option Type]]="put","p","c")</f>
        <v>c</v>
      </c>
      <c r="AL120" s="4">
        <f ca="1">(data[[#This Row],[Bid]]*data[[#This Row],[Asksize]]+data[[#This Row],[Ask]]*data[[#This Row],[Bidsize]])/(data[[#This Row],[Bidsize]]+data[[#This Row],[Asksize]])</f>
        <v>92.55</v>
      </c>
      <c r="AM120" s="4">
        <f ca="1">VALUE(data[[#This Row],[Strike]])</f>
        <v>4100</v>
      </c>
      <c r="AN120" s="56">
        <f ca="1"/>
        <v>91.110708363483127</v>
      </c>
      <c r="AO120" s="57" t="str">
        <f ca="1"/>
        <v>c</v>
      </c>
      <c r="AP120" s="57">
        <f ca="1"/>
        <v>0.23130396736008582</v>
      </c>
      <c r="AQ120" s="58">
        <f ca="1"/>
        <v>0.46578111215236156</v>
      </c>
      <c r="AR120" s="58">
        <f ca="1"/>
        <v>1.4984552751664063E-3</v>
      </c>
      <c r="AS120" s="58">
        <f ca="1"/>
        <v>4.5545467402247448</v>
      </c>
      <c r="AT120" s="56">
        <f ca="1"/>
        <v>-186.57335860030531</v>
      </c>
      <c r="AU120" s="56">
        <f ca="1"/>
        <v>143.09001357254604</v>
      </c>
    </row>
    <row r="121" spans="1:47" x14ac:dyDescent="0.3">
      <c r="A121" t="s">
        <v>538</v>
      </c>
      <c r="B121" t="s">
        <v>539</v>
      </c>
      <c r="C121" t="s">
        <v>57</v>
      </c>
      <c r="D121" t="s">
        <v>111</v>
      </c>
      <c r="E121" t="s">
        <v>84</v>
      </c>
      <c r="F121" t="s">
        <v>540</v>
      </c>
      <c r="G121" t="s">
        <v>833</v>
      </c>
      <c r="H121" t="s">
        <v>834</v>
      </c>
      <c r="I121" t="s">
        <v>604</v>
      </c>
      <c r="J121" t="s">
        <v>83</v>
      </c>
      <c r="K121" t="s">
        <v>184</v>
      </c>
      <c r="L121" t="s">
        <v>315</v>
      </c>
      <c r="M121" t="s">
        <v>84</v>
      </c>
      <c r="N121" t="s">
        <v>56</v>
      </c>
      <c r="O121" t="s">
        <v>36</v>
      </c>
      <c r="Q121" t="s">
        <v>111</v>
      </c>
      <c r="R121" t="s">
        <v>604</v>
      </c>
      <c r="S121" t="s">
        <v>604</v>
      </c>
      <c r="T121" t="s">
        <v>604</v>
      </c>
      <c r="V121" t="s">
        <v>49</v>
      </c>
      <c r="X121" t="s">
        <v>606</v>
      </c>
      <c r="Z121" t="s">
        <v>84</v>
      </c>
      <c r="AA121" t="s">
        <v>84</v>
      </c>
      <c r="AB121" t="s">
        <v>36</v>
      </c>
      <c r="AC121" t="s">
        <v>578</v>
      </c>
      <c r="AD121" t="s">
        <v>36</v>
      </c>
      <c r="AE121" t="s">
        <v>578</v>
      </c>
      <c r="AF121" t="s">
        <v>86</v>
      </c>
      <c r="AG121" t="s">
        <v>311</v>
      </c>
      <c r="AH121" t="s">
        <v>160</v>
      </c>
      <c r="AI121" s="4">
        <f ca="1">data[[#This Row],[Expiry Date]]-TODAY()</f>
        <v>29</v>
      </c>
      <c r="AJ121" s="4">
        <f ca="1">data[[#This Row],[Maturity ( Days)]]/365</f>
        <v>7.9452054794520555E-2</v>
      </c>
      <c r="AK121" s="4" t="str">
        <f ca="1">IF(data[[#This Row],[Option Type]]="put","p","c")</f>
        <v>c</v>
      </c>
      <c r="AL121" s="4">
        <f ca="1">(data[[#This Row],[Bid]]*data[[#This Row],[Asksize]]+data[[#This Row],[Ask]]*data[[#This Row],[Bidsize]])/(data[[#This Row],[Bidsize]]+data[[#This Row],[Asksize]])</f>
        <v>80.046153846153842</v>
      </c>
      <c r="AM121" s="4">
        <f ca="1">VALUE(data[[#This Row],[Strike]])</f>
        <v>4125</v>
      </c>
      <c r="AN121" s="56">
        <f ca="1"/>
        <v>78.721596284214684</v>
      </c>
      <c r="AO121" s="57" t="str">
        <f ca="1"/>
        <v>c</v>
      </c>
      <c r="AP121" s="57">
        <f ca="1"/>
        <v>0.22717612500393855</v>
      </c>
      <c r="AQ121" s="58">
        <f ca="1"/>
        <v>0.42718415729668269</v>
      </c>
      <c r="AR121" s="58">
        <f ca="1"/>
        <v>1.5057402724823884E-3</v>
      </c>
      <c r="AS121" s="58">
        <f ca="1"/>
        <v>4.4950140135554184</v>
      </c>
      <c r="AT121" s="56">
        <f ca="1"/>
        <v>-180.60417174773801</v>
      </c>
      <c r="AU121" s="56">
        <f ca="1"/>
        <v>131.61703949897358</v>
      </c>
    </row>
    <row r="122" spans="1:47" x14ac:dyDescent="0.3">
      <c r="A122" t="s">
        <v>550</v>
      </c>
      <c r="B122" t="s">
        <v>551</v>
      </c>
      <c r="C122" t="s">
        <v>57</v>
      </c>
      <c r="D122" t="s">
        <v>96</v>
      </c>
      <c r="E122" t="s">
        <v>84</v>
      </c>
      <c r="F122" t="s">
        <v>113</v>
      </c>
      <c r="G122" t="s">
        <v>835</v>
      </c>
      <c r="H122" t="s">
        <v>836</v>
      </c>
      <c r="I122" t="s">
        <v>620</v>
      </c>
      <c r="J122" t="s">
        <v>159</v>
      </c>
      <c r="K122" t="s">
        <v>159</v>
      </c>
      <c r="L122" t="s">
        <v>315</v>
      </c>
      <c r="M122" t="s">
        <v>84</v>
      </c>
      <c r="N122" t="s">
        <v>56</v>
      </c>
      <c r="O122" t="s">
        <v>36</v>
      </c>
      <c r="Q122" t="s">
        <v>96</v>
      </c>
      <c r="R122" t="s">
        <v>620</v>
      </c>
      <c r="S122" t="s">
        <v>620</v>
      </c>
      <c r="T122" t="s">
        <v>620</v>
      </c>
      <c r="V122" t="s">
        <v>49</v>
      </c>
      <c r="X122" t="s">
        <v>606</v>
      </c>
      <c r="Z122" t="s">
        <v>84</v>
      </c>
      <c r="AA122" t="s">
        <v>84</v>
      </c>
      <c r="AB122" t="s">
        <v>36</v>
      </c>
      <c r="AC122" t="s">
        <v>578</v>
      </c>
      <c r="AD122" t="s">
        <v>36</v>
      </c>
      <c r="AE122" t="s">
        <v>578</v>
      </c>
      <c r="AF122" t="s">
        <v>86</v>
      </c>
      <c r="AG122" t="s">
        <v>311</v>
      </c>
      <c r="AH122" t="s">
        <v>160</v>
      </c>
      <c r="AI122" s="4">
        <f ca="1">data[[#This Row],[Expiry Date]]-TODAY()</f>
        <v>29</v>
      </c>
      <c r="AJ122" s="4">
        <f ca="1">data[[#This Row],[Maturity ( Days)]]/365</f>
        <v>7.9452054794520555E-2</v>
      </c>
      <c r="AK122" s="4" t="str">
        <f ca="1">IF(data[[#This Row],[Option Type]]="put","p","c")</f>
        <v>c</v>
      </c>
      <c r="AL122" s="4">
        <f ca="1">(data[[#This Row],[Bid]]*data[[#This Row],[Asksize]]+data[[#This Row],[Ask]]*data[[#This Row],[Bidsize]])/(data[[#This Row],[Bidsize]]+data[[#This Row],[Asksize]])</f>
        <v>48.949999999999996</v>
      </c>
      <c r="AM122" s="4">
        <f ca="1">VALUE(data[[#This Row],[Strike]])</f>
        <v>4200</v>
      </c>
      <c r="AN122" s="56">
        <f ca="1"/>
        <v>47.975764195090733</v>
      </c>
      <c r="AO122" s="57" t="str">
        <f ca="1"/>
        <v>c</v>
      </c>
      <c r="AP122" s="57">
        <f ca="1"/>
        <v>0.21595462320308187</v>
      </c>
      <c r="AQ122" s="58">
        <f ca="1"/>
        <v>0.31123999300507832</v>
      </c>
      <c r="AR122" s="58">
        <f ca="1"/>
        <v>1.4270197248171786E-3</v>
      </c>
      <c r="AS122" s="58">
        <f ca="1"/>
        <v>4.0495874184606775</v>
      </c>
      <c r="AT122" s="56">
        <f ca="1"/>
        <v>-154.11556149256975</v>
      </c>
      <c r="AU122" s="56">
        <f ca="1"/>
        <v>96.63884581737166</v>
      </c>
    </row>
    <row r="123" spans="1:47" x14ac:dyDescent="0.3">
      <c r="A123" t="s">
        <v>558</v>
      </c>
      <c r="B123" t="s">
        <v>559</v>
      </c>
      <c r="C123" t="s">
        <v>57</v>
      </c>
      <c r="D123" t="s">
        <v>91</v>
      </c>
      <c r="E123" t="s">
        <v>84</v>
      </c>
      <c r="F123" t="s">
        <v>128</v>
      </c>
      <c r="G123" t="s">
        <v>291</v>
      </c>
      <c r="H123" t="s">
        <v>837</v>
      </c>
      <c r="I123" t="s">
        <v>621</v>
      </c>
      <c r="J123" t="s">
        <v>289</v>
      </c>
      <c r="K123" t="s">
        <v>295</v>
      </c>
      <c r="L123" t="s">
        <v>315</v>
      </c>
      <c r="M123" t="s">
        <v>84</v>
      </c>
      <c r="N123" t="s">
        <v>56</v>
      </c>
      <c r="O123" t="s">
        <v>36</v>
      </c>
      <c r="Q123" t="s">
        <v>91</v>
      </c>
      <c r="R123" t="s">
        <v>621</v>
      </c>
      <c r="S123" t="s">
        <v>621</v>
      </c>
      <c r="T123" t="s">
        <v>621</v>
      </c>
      <c r="V123" t="s">
        <v>49</v>
      </c>
      <c r="X123" t="s">
        <v>606</v>
      </c>
      <c r="Z123" t="s">
        <v>84</v>
      </c>
      <c r="AA123" t="s">
        <v>84</v>
      </c>
      <c r="AB123" t="s">
        <v>36</v>
      </c>
      <c r="AC123" t="s">
        <v>578</v>
      </c>
      <c r="AD123" t="s">
        <v>36</v>
      </c>
      <c r="AE123" t="s">
        <v>578</v>
      </c>
      <c r="AF123" t="s">
        <v>86</v>
      </c>
      <c r="AG123" t="s">
        <v>311</v>
      </c>
      <c r="AH123" t="s">
        <v>160</v>
      </c>
      <c r="AI123" s="4">
        <f ca="1">data[[#This Row],[Expiry Date]]-TODAY()</f>
        <v>29</v>
      </c>
      <c r="AJ123" s="4">
        <f ca="1">data[[#This Row],[Maturity ( Days)]]/365</f>
        <v>7.9452054794520555E-2</v>
      </c>
      <c r="AK123" s="4" t="str">
        <f ca="1">IF(data[[#This Row],[Option Type]]="put","p","c")</f>
        <v>c</v>
      </c>
      <c r="AL123" s="4">
        <f ca="1">(data[[#This Row],[Bid]]*data[[#This Row],[Asksize]]+data[[#This Row],[Ask]]*data[[#This Row],[Bidsize]])/(data[[#This Row],[Bidsize]]+data[[#This Row],[Asksize]])</f>
        <v>6.91015625</v>
      </c>
      <c r="AM123" s="4">
        <f ca="1">VALUE(data[[#This Row],[Strike]])</f>
        <v>4400</v>
      </c>
      <c r="AN123" s="56">
        <f ca="1"/>
        <v>6.6804073961417885</v>
      </c>
      <c r="AO123" s="57" t="str">
        <f ca="1"/>
        <v>c</v>
      </c>
      <c r="AP123" s="57">
        <f ca="1"/>
        <v>0.18664661795041662</v>
      </c>
      <c r="AQ123" s="58">
        <f ca="1"/>
        <v>7.1762257352994643E-2</v>
      </c>
      <c r="AR123" s="58">
        <f ca="1"/>
        <v>6.393897675790373E-4</v>
      </c>
      <c r="AS123" s="58">
        <f ca="1"/>
        <v>1.568209581908236</v>
      </c>
      <c r="AT123" s="56">
        <f ca="1"/>
        <v>-51.246648234802379</v>
      </c>
      <c r="AU123" s="56">
        <f ca="1"/>
        <v>22.629738369545077</v>
      </c>
    </row>
    <row r="124" spans="1:47" x14ac:dyDescent="0.3">
      <c r="A124" t="s">
        <v>560</v>
      </c>
      <c r="B124" t="s">
        <v>561</v>
      </c>
      <c r="C124" t="s">
        <v>57</v>
      </c>
      <c r="D124" t="s">
        <v>91</v>
      </c>
      <c r="E124" t="s">
        <v>84</v>
      </c>
      <c r="F124" t="s">
        <v>562</v>
      </c>
      <c r="G124" t="s">
        <v>646</v>
      </c>
      <c r="H124" t="s">
        <v>838</v>
      </c>
      <c r="I124" t="s">
        <v>622</v>
      </c>
      <c r="J124" t="s">
        <v>629</v>
      </c>
      <c r="K124" t="s">
        <v>642</v>
      </c>
      <c r="L124" t="s">
        <v>315</v>
      </c>
      <c r="M124" t="s">
        <v>84</v>
      </c>
      <c r="N124" t="s">
        <v>56</v>
      </c>
      <c r="O124" t="s">
        <v>36</v>
      </c>
      <c r="Q124" t="s">
        <v>91</v>
      </c>
      <c r="R124" t="s">
        <v>622</v>
      </c>
      <c r="S124" t="s">
        <v>622</v>
      </c>
      <c r="T124" t="s">
        <v>622</v>
      </c>
      <c r="V124" t="s">
        <v>49</v>
      </c>
      <c r="X124" t="s">
        <v>606</v>
      </c>
      <c r="Z124" t="s">
        <v>84</v>
      </c>
      <c r="AA124" t="s">
        <v>84</v>
      </c>
      <c r="AB124" t="s">
        <v>36</v>
      </c>
      <c r="AC124" t="s">
        <v>578</v>
      </c>
      <c r="AD124" t="s">
        <v>36</v>
      </c>
      <c r="AE124" t="s">
        <v>578</v>
      </c>
      <c r="AF124" t="s">
        <v>86</v>
      </c>
      <c r="AG124" t="s">
        <v>311</v>
      </c>
      <c r="AH124" t="s">
        <v>160</v>
      </c>
      <c r="AI124" s="4">
        <f ca="1">data[[#This Row],[Expiry Date]]-TODAY()</f>
        <v>29</v>
      </c>
      <c r="AJ124" s="4">
        <f ca="1">data[[#This Row],[Maturity ( Days)]]/365</f>
        <v>7.9452054794520555E-2</v>
      </c>
      <c r="AK124" s="4" t="str">
        <f ca="1">IF(data[[#This Row],[Option Type]]="put","p","c")</f>
        <v>c</v>
      </c>
      <c r="AL124" s="4">
        <f ca="1">(data[[#This Row],[Bid]]*data[[#This Row],[Asksize]]+data[[#This Row],[Ask]]*data[[#This Row],[Bidsize]])/(data[[#This Row],[Bidsize]]+data[[#This Row],[Asksize]])</f>
        <v>2.0295000000000001</v>
      </c>
      <c r="AM124" s="4">
        <f ca="1">VALUE(data[[#This Row],[Strike]])</f>
        <v>4500</v>
      </c>
      <c r="AN124" s="56">
        <f ca="1"/>
        <v>1.947844505888483</v>
      </c>
      <c r="AO124" s="57" t="str">
        <f ca="1"/>
        <v>c</v>
      </c>
      <c r="AP124" s="57">
        <f ca="1"/>
        <v>0.18061631427416081</v>
      </c>
      <c r="AQ124" s="58">
        <f ca="1"/>
        <v>2.5304828843650377E-2</v>
      </c>
      <c r="AR124" s="58">
        <f ca="1"/>
        <v>2.850495966319673E-4</v>
      </c>
      <c r="AS124" s="58">
        <f ca="1"/>
        <v>0.67654346418825317</v>
      </c>
      <c r="AT124" s="56">
        <f ca="1"/>
        <v>-21.344564939290386</v>
      </c>
      <c r="AU124" s="56">
        <f ca="1"/>
        <v>8.0120802077553019</v>
      </c>
    </row>
    <row r="125" spans="1:47" x14ac:dyDescent="0.3">
      <c r="A125" t="s">
        <v>575</v>
      </c>
      <c r="B125" t="s">
        <v>576</v>
      </c>
      <c r="C125" t="s">
        <v>57</v>
      </c>
      <c r="D125" t="s">
        <v>104</v>
      </c>
      <c r="E125" t="s">
        <v>84</v>
      </c>
      <c r="F125" t="s">
        <v>137</v>
      </c>
      <c r="G125" t="s">
        <v>84</v>
      </c>
      <c r="H125" t="s">
        <v>188</v>
      </c>
      <c r="I125" t="s">
        <v>599</v>
      </c>
      <c r="J125" t="s">
        <v>84</v>
      </c>
      <c r="K125" t="s">
        <v>623</v>
      </c>
      <c r="L125" t="s">
        <v>315</v>
      </c>
      <c r="M125" t="s">
        <v>84</v>
      </c>
      <c r="N125" t="s">
        <v>56</v>
      </c>
      <c r="O125" t="s">
        <v>36</v>
      </c>
      <c r="Q125" t="s">
        <v>104</v>
      </c>
      <c r="R125" t="s">
        <v>599</v>
      </c>
      <c r="S125" t="s">
        <v>599</v>
      </c>
      <c r="T125" t="s">
        <v>599</v>
      </c>
      <c r="V125" t="s">
        <v>49</v>
      </c>
      <c r="X125" t="s">
        <v>578</v>
      </c>
      <c r="Z125" t="s">
        <v>84</v>
      </c>
      <c r="AA125" t="s">
        <v>84</v>
      </c>
      <c r="AB125" t="s">
        <v>36</v>
      </c>
      <c r="AC125" t="s">
        <v>600</v>
      </c>
      <c r="AD125" t="s">
        <v>36</v>
      </c>
      <c r="AE125" t="s">
        <v>578</v>
      </c>
      <c r="AF125" t="s">
        <v>86</v>
      </c>
      <c r="AG125" t="s">
        <v>311</v>
      </c>
      <c r="AH125" t="s">
        <v>160</v>
      </c>
      <c r="AI125" s="4">
        <f ca="1">data[[#This Row],[Expiry Date]]-TODAY()</f>
        <v>29</v>
      </c>
      <c r="AJ125" s="4">
        <f ca="1">data[[#This Row],[Maturity ( Days)]]/365</f>
        <v>7.9452054794520555E-2</v>
      </c>
      <c r="AK125" s="4" t="str">
        <f ca="1">IF(data[[#This Row],[Option Type]]="put","p","c")</f>
        <v>c</v>
      </c>
      <c r="AL125" s="4">
        <f ca="1">(data[[#This Row],[Bid]]*data[[#This Row],[Asksize]]+data[[#This Row],[Ask]]*data[[#This Row],[Bidsize]])/(data[[#This Row],[Bidsize]]+data[[#This Row],[Asksize]])</f>
        <v>0</v>
      </c>
      <c r="AM125" s="4">
        <f ca="1">VALUE(data[[#This Row],[Strike]])</f>
        <v>5000</v>
      </c>
      <c r="AN125" s="56">
        <f ca="1"/>
        <v>4065.22</v>
      </c>
      <c r="AO125" s="57" t="str">
        <f ca="1"/>
        <v>c</v>
      </c>
      <c r="AP125" s="57">
        <f ca="1"/>
        <v>7.674237410144876E+20</v>
      </c>
      <c r="AQ125" s="58">
        <f ca="1"/>
        <v>1</v>
      </c>
      <c r="AR125" s="58">
        <f ca="1"/>
        <v>0</v>
      </c>
      <c r="AS125" s="58">
        <f ca="1"/>
        <v>0</v>
      </c>
      <c r="AT125" s="56">
        <f ca="1"/>
        <v>0</v>
      </c>
      <c r="AU125" s="56">
        <f ca="1"/>
        <v>0</v>
      </c>
    </row>
    <row r="126" spans="1:47" x14ac:dyDescent="0.3">
      <c r="AN126" s="56"/>
      <c r="AO126" s="57"/>
      <c r="AP126" s="57"/>
      <c r="AQ126" s="58"/>
      <c r="AR126" s="58"/>
      <c r="AS126" s="58"/>
      <c r="AT126" s="56"/>
      <c r="AU126" s="56"/>
    </row>
    <row r="127" spans="1:47" x14ac:dyDescent="0.3">
      <c r="AN127" s="56"/>
      <c r="AO127" s="57"/>
      <c r="AP127" s="57"/>
      <c r="AQ127" s="58"/>
      <c r="AR127" s="58"/>
      <c r="AS127" s="58"/>
      <c r="AT127" s="56"/>
      <c r="AU127" s="56"/>
    </row>
    <row r="128" spans="1:47" x14ac:dyDescent="0.3">
      <c r="AN128" s="56"/>
      <c r="AO128" s="57"/>
      <c r="AP128" s="57"/>
      <c r="AQ128" s="58"/>
      <c r="AR128" s="58"/>
      <c r="AS128" s="58"/>
      <c r="AT128" s="56"/>
      <c r="AU128" s="56"/>
    </row>
    <row r="129" spans="40:47" x14ac:dyDescent="0.3">
      <c r="AN129" s="56"/>
      <c r="AO129" s="57"/>
      <c r="AP129" s="57"/>
      <c r="AQ129" s="58"/>
      <c r="AR129" s="58"/>
      <c r="AS129" s="58"/>
      <c r="AT129" s="56"/>
      <c r="AU129" s="56"/>
    </row>
    <row r="130" spans="40:47" x14ac:dyDescent="0.3">
      <c r="AN130" s="56"/>
      <c r="AO130" s="57"/>
      <c r="AP130" s="57"/>
      <c r="AQ130" s="58"/>
      <c r="AR130" s="58"/>
      <c r="AS130" s="58"/>
      <c r="AT130" s="56"/>
      <c r="AU130" s="56"/>
    </row>
    <row r="131" spans="40:47" x14ac:dyDescent="0.3">
      <c r="AN131" s="56"/>
      <c r="AO131" s="57"/>
      <c r="AP131" s="57"/>
      <c r="AQ131" s="58"/>
      <c r="AR131" s="58"/>
      <c r="AS131" s="58"/>
      <c r="AT131" s="56"/>
      <c r="AU131" s="56"/>
    </row>
    <row r="132" spans="40:47" x14ac:dyDescent="0.3">
      <c r="AN132" s="56"/>
      <c r="AO132" s="57"/>
      <c r="AP132" s="57"/>
      <c r="AQ132" s="58"/>
      <c r="AR132" s="58"/>
      <c r="AS132" s="58"/>
      <c r="AT132" s="56"/>
      <c r="AU132" s="56"/>
    </row>
    <row r="133" spans="40:47" x14ac:dyDescent="0.3">
      <c r="AN133" s="56"/>
      <c r="AO133" s="57"/>
      <c r="AP133" s="57"/>
      <c r="AQ133" s="58"/>
      <c r="AR133" s="58"/>
      <c r="AS133" s="58"/>
      <c r="AT133" s="56"/>
      <c r="AU133" s="56"/>
    </row>
    <row r="134" spans="40:47" x14ac:dyDescent="0.3">
      <c r="AN134" s="56"/>
      <c r="AO134" s="57"/>
      <c r="AP134" s="57"/>
      <c r="AQ134" s="58"/>
      <c r="AR134" s="58"/>
      <c r="AS134" s="58"/>
      <c r="AT134" s="56"/>
      <c r="AU134" s="56"/>
    </row>
    <row r="135" spans="40:47" x14ac:dyDescent="0.3">
      <c r="AN135" s="56"/>
      <c r="AO135" s="57"/>
      <c r="AP135" s="57"/>
      <c r="AQ135" s="58"/>
      <c r="AR135" s="58"/>
      <c r="AS135" s="58"/>
      <c r="AT135" s="56"/>
      <c r="AU135" s="56"/>
    </row>
    <row r="136" spans="40:47" x14ac:dyDescent="0.3">
      <c r="AN136" s="56"/>
      <c r="AO136" s="57"/>
      <c r="AP136" s="57"/>
      <c r="AQ136" s="58"/>
      <c r="AR136" s="58"/>
      <c r="AS136" s="58"/>
      <c r="AT136" s="56"/>
      <c r="AU136" s="56"/>
    </row>
    <row r="137" spans="40:47" x14ac:dyDescent="0.3">
      <c r="AN137" s="56"/>
      <c r="AO137" s="57"/>
      <c r="AP137" s="57"/>
      <c r="AQ137" s="58"/>
      <c r="AR137" s="58"/>
      <c r="AS137" s="58"/>
      <c r="AT137" s="56"/>
      <c r="AU137" s="56"/>
    </row>
    <row r="138" spans="40:47" x14ac:dyDescent="0.3">
      <c r="AN138" s="56"/>
      <c r="AO138" s="57"/>
      <c r="AP138" s="57"/>
      <c r="AQ138" s="58"/>
      <c r="AR138" s="58"/>
      <c r="AS138" s="58"/>
      <c r="AT138" s="56"/>
      <c r="AU138" s="56"/>
    </row>
    <row r="139" spans="40:47" x14ac:dyDescent="0.3">
      <c r="AN139" s="56"/>
      <c r="AO139" s="57"/>
      <c r="AP139" s="57"/>
      <c r="AQ139" s="58"/>
      <c r="AR139" s="58"/>
      <c r="AS139" s="58"/>
      <c r="AT139" s="56"/>
      <c r="AU139" s="56"/>
    </row>
    <row r="140" spans="40:47" x14ac:dyDescent="0.3">
      <c r="AN140" s="56"/>
      <c r="AO140" s="57"/>
      <c r="AP140" s="57"/>
      <c r="AQ140" s="58"/>
      <c r="AR140" s="58"/>
      <c r="AS140" s="58"/>
      <c r="AT140" s="56"/>
      <c r="AU140" s="56"/>
    </row>
    <row r="141" spans="40:47" x14ac:dyDescent="0.3">
      <c r="AN141" s="56"/>
      <c r="AO141" s="57"/>
      <c r="AP141" s="57"/>
      <c r="AQ141" s="58"/>
      <c r="AR141" s="58"/>
      <c r="AS141" s="58"/>
      <c r="AT141" s="56"/>
      <c r="AU141" s="56"/>
    </row>
    <row r="142" spans="40:47" x14ac:dyDescent="0.3">
      <c r="AN142" s="56"/>
      <c r="AO142" s="57"/>
      <c r="AP142" s="57"/>
      <c r="AQ142" s="58"/>
      <c r="AR142" s="58"/>
      <c r="AS142" s="58"/>
      <c r="AT142" s="56"/>
      <c r="AU142" s="56"/>
    </row>
    <row r="143" spans="40:47" x14ac:dyDescent="0.3">
      <c r="AN143" s="56"/>
      <c r="AO143" s="57"/>
      <c r="AP143" s="57"/>
      <c r="AQ143" s="58"/>
      <c r="AR143" s="58"/>
      <c r="AS143" s="58"/>
      <c r="AT143" s="56"/>
      <c r="AU143" s="56"/>
    </row>
    <row r="144" spans="40:47" x14ac:dyDescent="0.3">
      <c r="AN144" s="56"/>
      <c r="AO144" s="57"/>
      <c r="AP144" s="57"/>
      <c r="AQ144" s="58"/>
      <c r="AR144" s="58"/>
      <c r="AS144" s="58"/>
      <c r="AT144" s="56"/>
      <c r="AU144" s="56"/>
    </row>
    <row r="145" spans="40:47" x14ac:dyDescent="0.3">
      <c r="AN145" s="56"/>
      <c r="AO145" s="57"/>
      <c r="AP145" s="57"/>
      <c r="AQ145" s="58"/>
      <c r="AR145" s="58"/>
      <c r="AS145" s="58"/>
      <c r="AT145" s="56"/>
      <c r="AU145" s="56"/>
    </row>
    <row r="146" spans="40:47" x14ac:dyDescent="0.3">
      <c r="AN146" s="56"/>
      <c r="AO146" s="57"/>
      <c r="AP146" s="57"/>
      <c r="AQ146" s="58"/>
      <c r="AR146" s="58"/>
      <c r="AS146" s="58"/>
      <c r="AT146" s="56"/>
      <c r="AU146" s="56"/>
    </row>
    <row r="147" spans="40:47" x14ac:dyDescent="0.3">
      <c r="AN147" s="56"/>
      <c r="AO147" s="57"/>
      <c r="AP147" s="57"/>
      <c r="AQ147" s="58"/>
      <c r="AR147" s="58"/>
      <c r="AS147" s="58"/>
      <c r="AT147" s="56"/>
      <c r="AU147" s="56"/>
    </row>
    <row r="148" spans="40:47" x14ac:dyDescent="0.3">
      <c r="AN148" s="56"/>
      <c r="AO148" s="57"/>
      <c r="AP148" s="57"/>
      <c r="AQ148" s="58"/>
      <c r="AR148" s="58"/>
      <c r="AS148" s="58"/>
      <c r="AT148" s="56"/>
      <c r="AU148" s="56"/>
    </row>
    <row r="149" spans="40:47" x14ac:dyDescent="0.3">
      <c r="AN149" s="56"/>
      <c r="AO149" s="57"/>
      <c r="AP149" s="57"/>
      <c r="AQ149" s="58"/>
      <c r="AR149" s="58"/>
      <c r="AS149" s="58"/>
      <c r="AT149" s="56"/>
      <c r="AU149" s="56"/>
    </row>
    <row r="150" spans="40:47" x14ac:dyDescent="0.3">
      <c r="AN150" s="56"/>
      <c r="AO150" s="57"/>
      <c r="AP150" s="57"/>
      <c r="AQ150" s="58"/>
      <c r="AR150" s="58"/>
      <c r="AS150" s="58"/>
      <c r="AT150" s="56"/>
      <c r="AU150" s="56"/>
    </row>
    <row r="151" spans="40:47" x14ac:dyDescent="0.3">
      <c r="AN151" s="56"/>
      <c r="AO151" s="57"/>
      <c r="AP151" s="57"/>
      <c r="AQ151" s="58"/>
      <c r="AR151" s="58"/>
      <c r="AS151" s="58"/>
      <c r="AT151" s="56"/>
      <c r="AU151" s="56"/>
    </row>
    <row r="152" spans="40:47" x14ac:dyDescent="0.3">
      <c r="AN152" s="56"/>
      <c r="AO152" s="57"/>
      <c r="AP152" s="57"/>
      <c r="AQ152" s="58"/>
      <c r="AR152" s="58"/>
      <c r="AS152" s="58"/>
      <c r="AT152" s="56"/>
      <c r="AU152" s="56"/>
    </row>
    <row r="153" spans="40:47" x14ac:dyDescent="0.3">
      <c r="AN153" s="56"/>
      <c r="AO153" s="57"/>
      <c r="AP153" s="57"/>
      <c r="AQ153" s="58"/>
      <c r="AR153" s="58"/>
      <c r="AS153" s="58"/>
      <c r="AT153" s="56"/>
      <c r="AU153" s="56"/>
    </row>
    <row r="154" spans="40:47" x14ac:dyDescent="0.3">
      <c r="AN154" s="56"/>
      <c r="AO154" s="57"/>
      <c r="AP154" s="57"/>
      <c r="AQ154" s="58"/>
      <c r="AR154" s="58"/>
      <c r="AS154" s="58"/>
      <c r="AT154" s="56"/>
      <c r="AU154" s="56"/>
    </row>
    <row r="155" spans="40:47" x14ac:dyDescent="0.3">
      <c r="AN155" s="56"/>
      <c r="AO155" s="57"/>
      <c r="AP155" s="57"/>
      <c r="AQ155" s="58"/>
      <c r="AR155" s="58"/>
      <c r="AS155" s="58"/>
      <c r="AT155" s="56"/>
      <c r="AU155" s="56"/>
    </row>
    <row r="156" spans="40:47" x14ac:dyDescent="0.3">
      <c r="AN156" s="56"/>
      <c r="AO156" s="57"/>
      <c r="AP156" s="57"/>
      <c r="AQ156" s="58"/>
      <c r="AR156" s="58"/>
      <c r="AS156" s="58"/>
      <c r="AT156" s="56"/>
      <c r="AU156" s="56"/>
    </row>
    <row r="157" spans="40:47" x14ac:dyDescent="0.3">
      <c r="AN157" s="56"/>
      <c r="AO157" s="57"/>
      <c r="AP157" s="57"/>
      <c r="AQ157" s="58"/>
      <c r="AR157" s="58"/>
      <c r="AS157" s="58"/>
      <c r="AT157" s="56"/>
      <c r="AU157" s="56"/>
    </row>
    <row r="158" spans="40:47" x14ac:dyDescent="0.3">
      <c r="AN158" s="56"/>
      <c r="AO158" s="57"/>
      <c r="AP158" s="57"/>
      <c r="AQ158" s="58"/>
      <c r="AR158" s="58"/>
      <c r="AS158" s="58"/>
      <c r="AT158" s="56"/>
      <c r="AU158" s="56"/>
    </row>
    <row r="159" spans="40:47" x14ac:dyDescent="0.3">
      <c r="AN159" s="56"/>
      <c r="AO159" s="57"/>
      <c r="AP159" s="57"/>
      <c r="AQ159" s="58"/>
      <c r="AR159" s="58"/>
      <c r="AS159" s="58"/>
      <c r="AT159" s="56"/>
      <c r="AU159" s="56"/>
    </row>
    <row r="160" spans="40:47" x14ac:dyDescent="0.3">
      <c r="AN160" s="56"/>
      <c r="AO160" s="57"/>
      <c r="AP160" s="57"/>
      <c r="AQ160" s="58"/>
      <c r="AR160" s="58"/>
      <c r="AS160" s="58"/>
      <c r="AT160" s="56"/>
      <c r="AU160" s="56"/>
    </row>
    <row r="161" spans="40:47" x14ac:dyDescent="0.3">
      <c r="AN161" s="56"/>
      <c r="AO161" s="57"/>
      <c r="AP161" s="57"/>
      <c r="AQ161" s="58"/>
      <c r="AR161" s="58"/>
      <c r="AS161" s="58"/>
      <c r="AT161" s="56"/>
      <c r="AU161" s="56"/>
    </row>
    <row r="162" spans="40:47" x14ac:dyDescent="0.3">
      <c r="AN162" s="56"/>
      <c r="AO162" s="57"/>
      <c r="AP162" s="57"/>
      <c r="AQ162" s="58"/>
      <c r="AR162" s="58"/>
      <c r="AS162" s="58"/>
      <c r="AT162" s="56"/>
      <c r="AU162" s="56"/>
    </row>
    <row r="163" spans="40:47" x14ac:dyDescent="0.3">
      <c r="AN163" s="56"/>
      <c r="AO163" s="57"/>
      <c r="AP163" s="57"/>
      <c r="AQ163" s="58"/>
      <c r="AR163" s="58"/>
      <c r="AS163" s="58"/>
      <c r="AT163" s="56"/>
      <c r="AU163" s="56"/>
    </row>
    <row r="164" spans="40:47" x14ac:dyDescent="0.3">
      <c r="AN164" s="56"/>
      <c r="AO164" s="57"/>
      <c r="AP164" s="57"/>
      <c r="AQ164" s="58"/>
      <c r="AR164" s="58"/>
      <c r="AS164" s="58"/>
      <c r="AT164" s="56"/>
      <c r="AU164" s="56"/>
    </row>
    <row r="165" spans="40:47" x14ac:dyDescent="0.3">
      <c r="AN165" s="56"/>
      <c r="AO165" s="57"/>
      <c r="AP165" s="57"/>
      <c r="AQ165" s="58"/>
      <c r="AR165" s="58"/>
      <c r="AS165" s="58"/>
      <c r="AT165" s="56"/>
      <c r="AU165" s="56"/>
    </row>
    <row r="166" spans="40:47" x14ac:dyDescent="0.3">
      <c r="AN166" s="56"/>
      <c r="AO166" s="57"/>
      <c r="AP166" s="57"/>
      <c r="AQ166" s="58"/>
      <c r="AR166" s="58"/>
      <c r="AS166" s="58"/>
      <c r="AT166" s="56"/>
      <c r="AU166" s="56"/>
    </row>
    <row r="167" spans="40:47" x14ac:dyDescent="0.3">
      <c r="AN167" s="56"/>
      <c r="AO167" s="57"/>
      <c r="AP167" s="57"/>
      <c r="AQ167" s="58"/>
      <c r="AR167" s="58"/>
      <c r="AS167" s="58"/>
      <c r="AT167" s="56"/>
      <c r="AU167" s="56"/>
    </row>
    <row r="168" spans="40:47" x14ac:dyDescent="0.3">
      <c r="AN168" s="56"/>
      <c r="AO168" s="57"/>
      <c r="AP168" s="57"/>
      <c r="AQ168" s="58"/>
      <c r="AR168" s="58"/>
      <c r="AS168" s="58"/>
      <c r="AT168" s="56"/>
      <c r="AU168" s="56"/>
    </row>
    <row r="169" spans="40:47" x14ac:dyDescent="0.3">
      <c r="AN169" s="56"/>
      <c r="AO169" s="57"/>
      <c r="AP169" s="57"/>
      <c r="AQ169" s="58"/>
      <c r="AR169" s="58"/>
      <c r="AS169" s="58"/>
      <c r="AT169" s="56"/>
      <c r="AU169" s="56"/>
    </row>
    <row r="170" spans="40:47" x14ac:dyDescent="0.3">
      <c r="AN170" s="56"/>
      <c r="AO170" s="57"/>
      <c r="AP170" s="57"/>
      <c r="AQ170" s="58"/>
      <c r="AR170" s="58"/>
      <c r="AS170" s="58"/>
      <c r="AT170" s="56"/>
      <c r="AU170" s="56"/>
    </row>
    <row r="171" spans="40:47" x14ac:dyDescent="0.3">
      <c r="AN171" s="56"/>
      <c r="AO171" s="57"/>
      <c r="AP171" s="57"/>
      <c r="AQ171" s="58"/>
      <c r="AR171" s="58"/>
      <c r="AS171" s="58"/>
      <c r="AT171" s="56"/>
      <c r="AU171" s="56"/>
    </row>
    <row r="172" spans="40:47" x14ac:dyDescent="0.3">
      <c r="AN172" s="56"/>
      <c r="AO172" s="57"/>
      <c r="AP172" s="57"/>
      <c r="AQ172" s="58"/>
      <c r="AR172" s="58"/>
      <c r="AS172" s="58"/>
      <c r="AT172" s="56"/>
      <c r="AU172" s="56"/>
    </row>
    <row r="173" spans="40:47" x14ac:dyDescent="0.3">
      <c r="AN173" s="56"/>
      <c r="AO173" s="57"/>
      <c r="AP173" s="57"/>
      <c r="AQ173" s="58"/>
      <c r="AR173" s="58"/>
      <c r="AS173" s="58"/>
      <c r="AT173" s="56"/>
      <c r="AU173" s="56"/>
    </row>
    <row r="174" spans="40:47" x14ac:dyDescent="0.3">
      <c r="AN174" s="56"/>
      <c r="AO174" s="57"/>
      <c r="AP174" s="57"/>
      <c r="AQ174" s="58"/>
      <c r="AR174" s="58"/>
      <c r="AS174" s="58"/>
      <c r="AT174" s="56"/>
      <c r="AU174" s="56"/>
    </row>
    <row r="175" spans="40:47" x14ac:dyDescent="0.3">
      <c r="AN175" s="56"/>
      <c r="AO175" s="57"/>
      <c r="AP175" s="57"/>
      <c r="AQ175" s="58"/>
      <c r="AR175" s="58"/>
      <c r="AS175" s="58"/>
      <c r="AT175" s="56"/>
      <c r="AU175" s="56"/>
    </row>
    <row r="176" spans="40:47" x14ac:dyDescent="0.3">
      <c r="AN176" s="56"/>
      <c r="AO176" s="57"/>
      <c r="AP176" s="57"/>
      <c r="AQ176" s="58"/>
      <c r="AR176" s="58"/>
      <c r="AS176" s="58"/>
      <c r="AT176" s="56"/>
      <c r="AU176" s="56"/>
    </row>
    <row r="177" spans="40:47" x14ac:dyDescent="0.3">
      <c r="AN177" s="56"/>
      <c r="AO177" s="57"/>
      <c r="AP177" s="57"/>
      <c r="AQ177" s="58"/>
      <c r="AR177" s="58"/>
      <c r="AS177" s="58"/>
      <c r="AT177" s="56"/>
      <c r="AU177" s="56"/>
    </row>
    <row r="178" spans="40:47" x14ac:dyDescent="0.3">
      <c r="AN178" s="56"/>
      <c r="AO178" s="57"/>
      <c r="AP178" s="57"/>
      <c r="AQ178" s="58"/>
      <c r="AR178" s="58"/>
      <c r="AS178" s="58"/>
      <c r="AT178" s="56"/>
      <c r="AU178" s="56"/>
    </row>
    <row r="179" spans="40:47" x14ac:dyDescent="0.3">
      <c r="AN179" s="56"/>
      <c r="AO179" s="57"/>
      <c r="AP179" s="57"/>
      <c r="AQ179" s="58"/>
      <c r="AR179" s="58"/>
      <c r="AS179" s="58"/>
      <c r="AT179" s="56"/>
      <c r="AU179" s="56"/>
    </row>
    <row r="180" spans="40:47" x14ac:dyDescent="0.3">
      <c r="AN180" s="56"/>
      <c r="AO180" s="57"/>
      <c r="AP180" s="57"/>
      <c r="AQ180" s="58"/>
      <c r="AR180" s="58"/>
      <c r="AS180" s="58"/>
      <c r="AT180" s="56"/>
      <c r="AU180" s="56"/>
    </row>
    <row r="181" spans="40:47" x14ac:dyDescent="0.3">
      <c r="AN181" s="56"/>
      <c r="AO181" s="57"/>
      <c r="AP181" s="57"/>
      <c r="AQ181" s="58"/>
      <c r="AR181" s="58"/>
      <c r="AS181" s="58"/>
      <c r="AT181" s="56"/>
      <c r="AU181" s="56"/>
    </row>
    <row r="182" spans="40:47" x14ac:dyDescent="0.3">
      <c r="AN182" s="56"/>
      <c r="AO182" s="57"/>
      <c r="AP182" s="57"/>
      <c r="AQ182" s="58"/>
      <c r="AR182" s="58"/>
      <c r="AS182" s="58"/>
      <c r="AT182" s="56"/>
      <c r="AU182" s="56"/>
    </row>
    <row r="183" spans="40:47" x14ac:dyDescent="0.3">
      <c r="AN183" s="56"/>
      <c r="AO183" s="57"/>
      <c r="AP183" s="57"/>
      <c r="AQ183" s="58"/>
      <c r="AR183" s="58"/>
      <c r="AS183" s="58"/>
      <c r="AT183" s="56"/>
      <c r="AU183" s="56"/>
    </row>
    <row r="184" spans="40:47" x14ac:dyDescent="0.3">
      <c r="AN184" s="56"/>
      <c r="AO184" s="57"/>
      <c r="AP184" s="57"/>
      <c r="AQ184" s="58"/>
      <c r="AR184" s="58"/>
      <c r="AS184" s="58"/>
      <c r="AT184" s="56"/>
      <c r="AU184" s="56"/>
    </row>
    <row r="185" spans="40:47" x14ac:dyDescent="0.3">
      <c r="AN185" s="56"/>
      <c r="AO185" s="57"/>
      <c r="AP185" s="57"/>
      <c r="AQ185" s="58"/>
      <c r="AR185" s="58"/>
      <c r="AS185" s="58"/>
      <c r="AT185" s="56"/>
      <c r="AU185" s="56"/>
    </row>
    <row r="186" spans="40:47" x14ac:dyDescent="0.3">
      <c r="AN186" s="56"/>
      <c r="AO186" s="57"/>
      <c r="AP186" s="57"/>
      <c r="AQ186" s="58"/>
      <c r="AR186" s="58"/>
      <c r="AS186" s="58"/>
      <c r="AT186" s="56"/>
      <c r="AU186" s="56"/>
    </row>
    <row r="187" spans="40:47" x14ac:dyDescent="0.3">
      <c r="AN187" s="56"/>
      <c r="AO187" s="57"/>
      <c r="AP187" s="57"/>
      <c r="AQ187" s="58"/>
      <c r="AR187" s="58"/>
      <c r="AS187" s="58"/>
      <c r="AT187" s="56"/>
      <c r="AU187" s="56"/>
    </row>
    <row r="188" spans="40:47" x14ac:dyDescent="0.3">
      <c r="AN188" s="56"/>
      <c r="AO188" s="57"/>
      <c r="AP188" s="57"/>
      <c r="AQ188" s="58"/>
      <c r="AR188" s="58"/>
      <c r="AS188" s="58"/>
      <c r="AT188" s="56"/>
      <c r="AU188" s="56"/>
    </row>
    <row r="189" spans="40:47" x14ac:dyDescent="0.3">
      <c r="AN189" s="56"/>
      <c r="AO189" s="57"/>
      <c r="AP189" s="57"/>
      <c r="AQ189" s="58"/>
      <c r="AR189" s="58"/>
      <c r="AS189" s="58"/>
      <c r="AT189" s="56"/>
      <c r="AU189" s="56"/>
    </row>
    <row r="190" spans="40:47" x14ac:dyDescent="0.3">
      <c r="AN190" s="56"/>
      <c r="AO190" s="57"/>
      <c r="AP190" s="57"/>
      <c r="AQ190" s="58"/>
      <c r="AR190" s="58"/>
      <c r="AS190" s="58"/>
      <c r="AT190" s="56"/>
      <c r="AU190" s="56"/>
    </row>
    <row r="191" spans="40:47" x14ac:dyDescent="0.3">
      <c r="AN191" s="56"/>
      <c r="AO191" s="57"/>
      <c r="AP191" s="57"/>
      <c r="AQ191" s="58"/>
      <c r="AR191" s="58"/>
      <c r="AS191" s="58"/>
      <c r="AT191" s="56"/>
      <c r="AU191" s="56"/>
    </row>
    <row r="192" spans="40:47" x14ac:dyDescent="0.3">
      <c r="AN192" s="56"/>
      <c r="AO192" s="57"/>
      <c r="AP192" s="57"/>
      <c r="AQ192" s="58"/>
      <c r="AR192" s="58"/>
      <c r="AS192" s="58"/>
      <c r="AT192" s="56"/>
      <c r="AU192" s="56"/>
    </row>
    <row r="193" spans="40:47" x14ac:dyDescent="0.3">
      <c r="AN193" s="56"/>
      <c r="AO193" s="57"/>
      <c r="AP193" s="57"/>
      <c r="AQ193" s="58"/>
      <c r="AR193" s="58"/>
      <c r="AS193" s="58"/>
      <c r="AT193" s="56"/>
      <c r="AU193" s="56"/>
    </row>
    <row r="194" spans="40:47" x14ac:dyDescent="0.3">
      <c r="AN194" s="56"/>
      <c r="AO194" s="57"/>
      <c r="AP194" s="57"/>
      <c r="AQ194" s="58"/>
      <c r="AR194" s="58"/>
      <c r="AS194" s="58"/>
      <c r="AT194" s="56"/>
      <c r="AU194" s="56"/>
    </row>
    <row r="195" spans="40:47" x14ac:dyDescent="0.3">
      <c r="AN195" s="56"/>
      <c r="AO195" s="57"/>
      <c r="AP195" s="57"/>
      <c r="AQ195" s="58"/>
      <c r="AR195" s="58"/>
      <c r="AS195" s="58"/>
      <c r="AT195" s="56"/>
      <c r="AU195" s="56"/>
    </row>
    <row r="196" spans="40:47" x14ac:dyDescent="0.3">
      <c r="AN196" s="56"/>
      <c r="AO196" s="57"/>
      <c r="AP196" s="57"/>
      <c r="AQ196" s="58"/>
      <c r="AR196" s="58"/>
      <c r="AS196" s="58"/>
      <c r="AT196" s="56"/>
      <c r="AU196" s="56"/>
    </row>
    <row r="197" spans="40:47" x14ac:dyDescent="0.3">
      <c r="AN197" s="56"/>
      <c r="AO197" s="57"/>
      <c r="AP197" s="57"/>
      <c r="AQ197" s="58"/>
      <c r="AR197" s="58"/>
      <c r="AS197" s="58"/>
      <c r="AT197" s="56"/>
      <c r="AU197" s="56"/>
    </row>
    <row r="198" spans="40:47" x14ac:dyDescent="0.3">
      <c r="AN198" s="56"/>
      <c r="AO198" s="57"/>
      <c r="AP198" s="57"/>
      <c r="AQ198" s="58"/>
      <c r="AR198" s="58"/>
      <c r="AS198" s="58"/>
      <c r="AT198" s="56"/>
      <c r="AU198" s="56"/>
    </row>
    <row r="199" spans="40:47" x14ac:dyDescent="0.3">
      <c r="AN199" s="56"/>
      <c r="AO199" s="57"/>
      <c r="AP199" s="57"/>
      <c r="AQ199" s="58"/>
      <c r="AR199" s="58"/>
      <c r="AS199" s="58"/>
      <c r="AT199" s="56"/>
      <c r="AU199" s="56"/>
    </row>
    <row r="200" spans="40:47" x14ac:dyDescent="0.3">
      <c r="AN200" s="56"/>
      <c r="AO200" s="57"/>
      <c r="AP200" s="57"/>
      <c r="AQ200" s="58"/>
      <c r="AR200" s="58"/>
      <c r="AS200" s="58"/>
      <c r="AT200" s="56"/>
      <c r="AU200" s="56"/>
    </row>
    <row r="201" spans="40:47" x14ac:dyDescent="0.3">
      <c r="AN201" s="56"/>
      <c r="AO201" s="57"/>
      <c r="AP201" s="57"/>
      <c r="AQ201" s="58"/>
      <c r="AR201" s="58"/>
      <c r="AS201" s="58"/>
      <c r="AT201" s="56"/>
      <c r="AU201" s="56"/>
    </row>
    <row r="202" spans="40:47" x14ac:dyDescent="0.3">
      <c r="AN202" s="56"/>
      <c r="AO202" s="57"/>
      <c r="AP202" s="57"/>
      <c r="AQ202" s="58"/>
      <c r="AR202" s="58"/>
      <c r="AS202" s="58"/>
      <c r="AT202" s="56"/>
      <c r="AU202" s="56"/>
    </row>
    <row r="203" spans="40:47" x14ac:dyDescent="0.3">
      <c r="AN203" s="56"/>
      <c r="AO203" s="57"/>
      <c r="AP203" s="57"/>
      <c r="AQ203" s="58"/>
      <c r="AR203" s="58"/>
      <c r="AS203" s="58"/>
      <c r="AT203" s="56"/>
      <c r="AU203" s="56"/>
    </row>
    <row r="204" spans="40:47" x14ac:dyDescent="0.3">
      <c r="AN204" s="56"/>
      <c r="AO204" s="57"/>
      <c r="AP204" s="57"/>
      <c r="AQ204" s="58"/>
      <c r="AR204" s="58"/>
      <c r="AS204" s="58"/>
      <c r="AT204" s="56"/>
      <c r="AU204" s="56"/>
    </row>
    <row r="205" spans="40:47" x14ac:dyDescent="0.3">
      <c r="AN205" s="56"/>
      <c r="AO205" s="57"/>
      <c r="AP205" s="57"/>
      <c r="AQ205" s="58"/>
      <c r="AR205" s="58"/>
      <c r="AS205" s="58"/>
      <c r="AT205" s="56"/>
      <c r="AU205" s="56"/>
    </row>
    <row r="206" spans="40:47" x14ac:dyDescent="0.3">
      <c r="AN206" s="56"/>
      <c r="AO206" s="57"/>
      <c r="AP206" s="57"/>
      <c r="AQ206" s="58"/>
      <c r="AR206" s="58"/>
      <c r="AS206" s="58"/>
      <c r="AT206" s="56"/>
      <c r="AU206" s="56"/>
    </row>
    <row r="207" spans="40:47" x14ac:dyDescent="0.3">
      <c r="AN207" s="56"/>
      <c r="AO207" s="57"/>
      <c r="AP207" s="57"/>
      <c r="AQ207" s="58"/>
      <c r="AR207" s="58"/>
      <c r="AS207" s="58"/>
      <c r="AT207" s="56"/>
      <c r="AU207" s="56"/>
    </row>
    <row r="208" spans="40:47" x14ac:dyDescent="0.3">
      <c r="AN208" s="56"/>
      <c r="AO208" s="57"/>
      <c r="AP208" s="57"/>
      <c r="AQ208" s="58"/>
      <c r="AR208" s="58"/>
      <c r="AS208" s="58"/>
      <c r="AT208" s="56"/>
      <c r="AU208" s="56"/>
    </row>
    <row r="209" spans="40:47" x14ac:dyDescent="0.3">
      <c r="AN209" s="56"/>
      <c r="AO209" s="57"/>
      <c r="AP209" s="57"/>
      <c r="AQ209" s="58"/>
      <c r="AR209" s="58"/>
      <c r="AS209" s="58"/>
      <c r="AT209" s="56"/>
      <c r="AU209" s="56"/>
    </row>
    <row r="210" spans="40:47" x14ac:dyDescent="0.3">
      <c r="AN210" s="56"/>
      <c r="AO210" s="57"/>
      <c r="AP210" s="57"/>
      <c r="AQ210" s="58"/>
      <c r="AR210" s="58"/>
      <c r="AS210" s="58"/>
      <c r="AT210" s="56"/>
      <c r="AU210" s="56"/>
    </row>
    <row r="211" spans="40:47" x14ac:dyDescent="0.3">
      <c r="AN211" s="56"/>
      <c r="AO211" s="57"/>
      <c r="AP211" s="57"/>
      <c r="AQ211" s="58"/>
      <c r="AR211" s="58"/>
      <c r="AS211" s="58"/>
      <c r="AT211" s="56"/>
      <c r="AU211" s="56"/>
    </row>
    <row r="212" spans="40:47" x14ac:dyDescent="0.3">
      <c r="AN212" s="56"/>
      <c r="AO212" s="57"/>
      <c r="AP212" s="57"/>
      <c r="AQ212" s="58"/>
      <c r="AR212" s="58"/>
      <c r="AS212" s="58"/>
      <c r="AT212" s="56"/>
      <c r="AU212" s="56"/>
    </row>
    <row r="213" spans="40:47" x14ac:dyDescent="0.3">
      <c r="AN213" s="56"/>
      <c r="AO213" s="57"/>
      <c r="AP213" s="57"/>
      <c r="AQ213" s="58"/>
      <c r="AR213" s="58"/>
      <c r="AS213" s="58"/>
      <c r="AT213" s="56"/>
      <c r="AU213" s="56"/>
    </row>
    <row r="214" spans="40:47" x14ac:dyDescent="0.3">
      <c r="AN214" s="56"/>
      <c r="AO214" s="57"/>
      <c r="AP214" s="57"/>
      <c r="AQ214" s="58"/>
      <c r="AR214" s="58"/>
      <c r="AS214" s="58"/>
      <c r="AT214" s="56"/>
      <c r="AU214" s="56"/>
    </row>
    <row r="215" spans="40:47" x14ac:dyDescent="0.3">
      <c r="AN215" s="56"/>
      <c r="AO215" s="57"/>
      <c r="AP215" s="57"/>
      <c r="AQ215" s="58"/>
      <c r="AR215" s="58"/>
      <c r="AS215" s="58"/>
      <c r="AT215" s="56"/>
      <c r="AU215" s="56"/>
    </row>
    <row r="216" spans="40:47" x14ac:dyDescent="0.3">
      <c r="AN216" s="56"/>
      <c r="AO216" s="57"/>
      <c r="AP216" s="57"/>
      <c r="AQ216" s="58"/>
      <c r="AR216" s="58"/>
      <c r="AS216" s="58"/>
      <c r="AT216" s="56"/>
      <c r="AU216" s="56"/>
    </row>
    <row r="217" spans="40:47" x14ac:dyDescent="0.3">
      <c r="AN217" s="56"/>
      <c r="AO217" s="57"/>
      <c r="AP217" s="57"/>
      <c r="AQ217" s="58"/>
      <c r="AR217" s="58"/>
      <c r="AS217" s="58"/>
      <c r="AT217" s="56"/>
      <c r="AU217" s="56"/>
    </row>
    <row r="218" spans="40:47" x14ac:dyDescent="0.3">
      <c r="AN218" s="56"/>
      <c r="AO218" s="57"/>
      <c r="AP218" s="57"/>
      <c r="AQ218" s="58"/>
      <c r="AR218" s="58"/>
      <c r="AS218" s="58"/>
      <c r="AT218" s="56"/>
      <c r="AU218" s="56"/>
    </row>
    <row r="219" spans="40:47" x14ac:dyDescent="0.3">
      <c r="AN219" s="56"/>
      <c r="AO219" s="57"/>
      <c r="AP219" s="57"/>
      <c r="AQ219" s="58"/>
      <c r="AR219" s="58"/>
      <c r="AS219" s="58"/>
      <c r="AT219" s="56"/>
      <c r="AU219" s="56"/>
    </row>
    <row r="220" spans="40:47" x14ac:dyDescent="0.3">
      <c r="AN220" s="56"/>
      <c r="AO220" s="57"/>
      <c r="AP220" s="57"/>
      <c r="AQ220" s="58"/>
      <c r="AR220" s="58"/>
      <c r="AS220" s="58"/>
      <c r="AT220" s="56"/>
      <c r="AU220" s="56"/>
    </row>
    <row r="221" spans="40:47" x14ac:dyDescent="0.3">
      <c r="AN221" s="56"/>
      <c r="AO221" s="57"/>
      <c r="AP221" s="57"/>
      <c r="AQ221" s="58"/>
      <c r="AR221" s="58"/>
      <c r="AS221" s="58"/>
      <c r="AT221" s="56"/>
      <c r="AU221" s="56"/>
    </row>
    <row r="222" spans="40:47" x14ac:dyDescent="0.3">
      <c r="AN222" s="56"/>
      <c r="AO222" s="57"/>
      <c r="AP222" s="57"/>
      <c r="AQ222" s="58"/>
      <c r="AR222" s="58"/>
      <c r="AS222" s="58"/>
      <c r="AT222" s="56"/>
      <c r="AU222" s="56"/>
    </row>
    <row r="223" spans="40:47" x14ac:dyDescent="0.3">
      <c r="AN223" s="56"/>
      <c r="AO223" s="57"/>
      <c r="AP223" s="57"/>
      <c r="AQ223" s="58"/>
      <c r="AR223" s="58"/>
      <c r="AS223" s="58"/>
      <c r="AT223" s="56"/>
      <c r="AU223" s="56"/>
    </row>
    <row r="224" spans="40:47" x14ac:dyDescent="0.3">
      <c r="AN224" s="56"/>
      <c r="AO224" s="57"/>
      <c r="AP224" s="57"/>
      <c r="AQ224" s="58"/>
      <c r="AR224" s="58"/>
      <c r="AS224" s="58"/>
      <c r="AT224" s="56"/>
      <c r="AU224" s="56"/>
    </row>
    <row r="225" spans="40:47" x14ac:dyDescent="0.3">
      <c r="AN225" s="56"/>
      <c r="AO225" s="57"/>
      <c r="AP225" s="59"/>
      <c r="AQ225" s="58"/>
      <c r="AR225" s="58"/>
      <c r="AS225" s="58"/>
      <c r="AT225" s="56"/>
      <c r="AU225" s="56"/>
    </row>
    <row r="226" spans="40:47" x14ac:dyDescent="0.3">
      <c r="AN226" s="56"/>
      <c r="AO226" s="57"/>
      <c r="AP226" s="59"/>
      <c r="AQ226" s="58"/>
      <c r="AR226" s="58"/>
      <c r="AS226" s="58"/>
      <c r="AT226" s="56"/>
      <c r="AU226" s="56"/>
    </row>
    <row r="227" spans="40:47" x14ac:dyDescent="0.3">
      <c r="AN227" s="56"/>
      <c r="AO227" s="57"/>
      <c r="AP227" s="59"/>
      <c r="AQ227" s="58"/>
      <c r="AR227" s="58"/>
      <c r="AS227" s="58"/>
      <c r="AT227" s="56"/>
      <c r="AU227" s="56"/>
    </row>
    <row r="228" spans="40:47" x14ac:dyDescent="0.3">
      <c r="AN228" s="56"/>
      <c r="AO228" s="57"/>
      <c r="AP228" s="59"/>
      <c r="AQ228" s="58"/>
      <c r="AR228" s="58"/>
      <c r="AS228" s="58"/>
      <c r="AT228" s="56"/>
      <c r="AU228" s="56"/>
    </row>
    <row r="229" spans="40:47" x14ac:dyDescent="0.3">
      <c r="AN229" s="56"/>
      <c r="AO229" s="57"/>
      <c r="AP229" s="59"/>
      <c r="AQ229" s="58"/>
      <c r="AR229" s="58"/>
      <c r="AS229" s="58"/>
      <c r="AT229" s="56"/>
      <c r="AU229" s="56"/>
    </row>
    <row r="230" spans="40:47" x14ac:dyDescent="0.3">
      <c r="AN230" s="56"/>
      <c r="AO230" s="57"/>
      <c r="AP230" s="59"/>
      <c r="AQ230" s="58"/>
      <c r="AR230" s="58"/>
      <c r="AS230" s="58"/>
      <c r="AT230" s="56"/>
      <c r="AU230" s="56"/>
    </row>
    <row r="231" spans="40:47" x14ac:dyDescent="0.3">
      <c r="AN231" s="56"/>
      <c r="AO231" s="57"/>
      <c r="AP231" s="59"/>
      <c r="AQ231" s="58"/>
      <c r="AR231" s="58"/>
      <c r="AS231" s="58"/>
      <c r="AT231" s="56"/>
      <c r="AU231" s="56"/>
    </row>
    <row r="232" spans="40:47" x14ac:dyDescent="0.3">
      <c r="AN232" s="56"/>
      <c r="AO232" s="57"/>
      <c r="AP232" s="59"/>
      <c r="AQ232" s="58"/>
      <c r="AR232" s="58"/>
      <c r="AS232" s="58"/>
      <c r="AT232" s="56"/>
      <c r="AU232" s="56"/>
    </row>
    <row r="233" spans="40:47" x14ac:dyDescent="0.3">
      <c r="AN233" s="56"/>
      <c r="AO233" s="57"/>
      <c r="AP233" s="59"/>
      <c r="AQ233" s="58"/>
      <c r="AR233" s="58"/>
      <c r="AS233" s="58"/>
      <c r="AT233" s="56"/>
      <c r="AU233" s="56"/>
    </row>
    <row r="234" spans="40:47" x14ac:dyDescent="0.3">
      <c r="AN234" s="56"/>
      <c r="AO234" s="57"/>
      <c r="AP234" s="59"/>
      <c r="AQ234" s="58"/>
      <c r="AR234" s="58"/>
      <c r="AS234" s="58"/>
      <c r="AT234" s="56"/>
      <c r="AU234" s="56"/>
    </row>
    <row r="235" spans="40:47" x14ac:dyDescent="0.3">
      <c r="AN235" s="56"/>
      <c r="AO235" s="57"/>
      <c r="AP235" s="59"/>
      <c r="AQ235" s="58"/>
      <c r="AR235" s="58"/>
      <c r="AS235" s="58"/>
      <c r="AT235" s="56"/>
      <c r="AU235" s="56"/>
    </row>
    <row r="236" spans="40:47" x14ac:dyDescent="0.3">
      <c r="AN236" s="56"/>
      <c r="AO236" s="57"/>
      <c r="AP236" s="59"/>
      <c r="AQ236" s="58"/>
      <c r="AR236" s="58"/>
      <c r="AS236" s="58"/>
      <c r="AT236" s="56"/>
      <c r="AU236" s="56"/>
    </row>
    <row r="237" spans="40:47" x14ac:dyDescent="0.3">
      <c r="AN237" s="56"/>
      <c r="AO237" s="57"/>
      <c r="AP237" s="59"/>
      <c r="AQ237" s="58"/>
      <c r="AR237" s="58"/>
      <c r="AS237" s="58"/>
      <c r="AT237" s="56"/>
      <c r="AU237" s="56"/>
    </row>
    <row r="238" spans="40:47" x14ac:dyDescent="0.3">
      <c r="AN238" s="56"/>
      <c r="AO238" s="57"/>
      <c r="AP238" s="59"/>
      <c r="AQ238" s="58"/>
      <c r="AR238" s="58"/>
      <c r="AS238" s="58"/>
      <c r="AT238" s="56"/>
      <c r="AU238" s="56"/>
    </row>
    <row r="239" spans="40:47" x14ac:dyDescent="0.3">
      <c r="AN239" s="56"/>
      <c r="AO239" s="57"/>
      <c r="AP239" s="59"/>
      <c r="AQ239" s="58"/>
      <c r="AR239" s="58"/>
      <c r="AS239" s="58"/>
      <c r="AT239" s="56"/>
      <c r="AU239" s="56"/>
    </row>
    <row r="240" spans="40:47" x14ac:dyDescent="0.3">
      <c r="AN240" s="56"/>
      <c r="AO240" s="57"/>
      <c r="AP240" s="59"/>
      <c r="AQ240" s="58"/>
      <c r="AR240" s="58"/>
      <c r="AS240" s="58"/>
      <c r="AT240" s="56"/>
      <c r="AU240" s="56"/>
    </row>
    <row r="241" spans="40:47" x14ac:dyDescent="0.3">
      <c r="AN241" s="56"/>
      <c r="AO241" s="57"/>
      <c r="AP241" s="59"/>
      <c r="AQ241" s="58"/>
      <c r="AR241" s="58"/>
      <c r="AS241" s="58"/>
      <c r="AT241" s="56"/>
      <c r="AU241" s="56"/>
    </row>
    <row r="242" spans="40:47" x14ac:dyDescent="0.3">
      <c r="AN242" s="56"/>
      <c r="AO242" s="57"/>
      <c r="AP242" s="59"/>
      <c r="AQ242" s="58"/>
      <c r="AR242" s="58"/>
      <c r="AS242" s="58"/>
      <c r="AT242" s="56"/>
      <c r="AU242" s="56"/>
    </row>
    <row r="243" spans="40:47" x14ac:dyDescent="0.3">
      <c r="AN243" s="56"/>
      <c r="AO243" s="57"/>
      <c r="AP243" s="59"/>
      <c r="AQ243" s="58"/>
      <c r="AR243" s="58"/>
      <c r="AS243" s="58"/>
      <c r="AT243" s="56"/>
      <c r="AU243" s="56"/>
    </row>
    <row r="244" spans="40:47" x14ac:dyDescent="0.3">
      <c r="AN244" s="56"/>
      <c r="AO244" s="57"/>
      <c r="AP244" s="59"/>
      <c r="AQ244" s="58"/>
      <c r="AR244" s="58"/>
      <c r="AS244" s="58"/>
      <c r="AT244" s="56"/>
      <c r="AU244" s="56"/>
    </row>
    <row r="245" spans="40:47" x14ac:dyDescent="0.3">
      <c r="AN245" s="56"/>
      <c r="AO245" s="57"/>
      <c r="AP245" s="59"/>
      <c r="AQ245" s="58"/>
      <c r="AR245" s="58"/>
      <c r="AS245" s="58"/>
      <c r="AT245" s="56"/>
      <c r="AU245" s="56"/>
    </row>
    <row r="246" spans="40:47" x14ac:dyDescent="0.3">
      <c r="AN246" s="57"/>
      <c r="AO246" s="57"/>
      <c r="AP246" s="57"/>
      <c r="AQ246" s="57"/>
      <c r="AR246" s="57"/>
      <c r="AS246" s="57"/>
      <c r="AT246" s="57"/>
      <c r="AU246" s="57"/>
    </row>
    <row r="247" spans="40:47" x14ac:dyDescent="0.3">
      <c r="AN247" s="57"/>
      <c r="AO247" s="57"/>
      <c r="AP247" s="57"/>
      <c r="AQ247" s="57"/>
      <c r="AR247" s="57"/>
      <c r="AS247" s="57"/>
      <c r="AT247" s="57"/>
      <c r="AU247" s="57"/>
    </row>
    <row r="248" spans="40:47" x14ac:dyDescent="0.3">
      <c r="AN248" s="57"/>
      <c r="AO248" s="57"/>
      <c r="AP248" s="57"/>
      <c r="AQ248" s="57"/>
      <c r="AR248" s="57"/>
      <c r="AS248" s="57"/>
      <c r="AT248" s="57"/>
      <c r="AU248" s="57"/>
    </row>
    <row r="249" spans="40:47" x14ac:dyDescent="0.3">
      <c r="AN249" s="57"/>
      <c r="AO249" s="57"/>
      <c r="AP249" s="57"/>
      <c r="AQ249" s="57"/>
      <c r="AR249" s="57"/>
      <c r="AS249" s="57"/>
      <c r="AT249" s="57"/>
      <c r="AU249" s="57"/>
    </row>
    <row r="250" spans="40:47" x14ac:dyDescent="0.3">
      <c r="AN250" s="57"/>
      <c r="AO250" s="57"/>
      <c r="AP250" s="57"/>
      <c r="AQ250" s="57"/>
      <c r="AR250" s="57"/>
      <c r="AS250" s="57"/>
      <c r="AT250" s="57"/>
      <c r="AU250" s="57"/>
    </row>
    <row r="251" spans="40:47" x14ac:dyDescent="0.3">
      <c r="AN251" s="57"/>
      <c r="AO251" s="57"/>
      <c r="AP251" s="57"/>
      <c r="AQ251" s="57"/>
      <c r="AR251" s="57"/>
      <c r="AS251" s="57"/>
      <c r="AT251" s="57"/>
      <c r="AU251" s="57"/>
    </row>
    <row r="252" spans="40:47" x14ac:dyDescent="0.3">
      <c r="AN252" s="57"/>
      <c r="AO252" s="57"/>
      <c r="AP252" s="57"/>
      <c r="AQ252" s="57"/>
      <c r="AR252" s="57"/>
      <c r="AS252" s="57"/>
      <c r="AT252" s="57"/>
      <c r="AU252" s="57"/>
    </row>
    <row r="253" spans="40:47" x14ac:dyDescent="0.3">
      <c r="AN253" s="57"/>
      <c r="AO253" s="57"/>
      <c r="AP253" s="57"/>
      <c r="AQ253" s="57"/>
      <c r="AR253" s="57"/>
      <c r="AS253" s="57"/>
      <c r="AT253" s="57"/>
      <c r="AU253" s="57"/>
    </row>
    <row r="254" spans="40:47" x14ac:dyDescent="0.3">
      <c r="AN254" s="57"/>
      <c r="AO254" s="57"/>
      <c r="AP254" s="57"/>
      <c r="AQ254" s="57"/>
      <c r="AR254" s="57"/>
      <c r="AS254" s="57"/>
      <c r="AT254" s="57"/>
      <c r="AU254" s="57"/>
    </row>
    <row r="255" spans="40:47" x14ac:dyDescent="0.3">
      <c r="AN255" s="57"/>
      <c r="AO255" s="57"/>
      <c r="AP255" s="57"/>
      <c r="AQ255" s="57"/>
      <c r="AR255" s="57"/>
      <c r="AS255" s="57"/>
      <c r="AT255" s="57"/>
      <c r="AU255" s="57"/>
    </row>
    <row r="256" spans="40:47" x14ac:dyDescent="0.3">
      <c r="AN256" s="57"/>
      <c r="AO256" s="57"/>
      <c r="AP256" s="57"/>
      <c r="AQ256" s="57"/>
      <c r="AR256" s="57"/>
      <c r="AS256" s="57"/>
      <c r="AT256" s="57"/>
      <c r="AU256" s="57"/>
    </row>
    <row r="257" spans="40:47" x14ac:dyDescent="0.3">
      <c r="AN257" s="57"/>
      <c r="AO257" s="57"/>
      <c r="AP257" s="57"/>
      <c r="AQ257" s="57"/>
      <c r="AR257" s="57"/>
      <c r="AS257" s="57"/>
      <c r="AT257" s="57"/>
      <c r="AU257" s="57"/>
    </row>
    <row r="258" spans="40:47" x14ac:dyDescent="0.3">
      <c r="AN258" s="57"/>
      <c r="AO258" s="57"/>
      <c r="AP258" s="57"/>
      <c r="AQ258" s="57"/>
      <c r="AR258" s="57"/>
      <c r="AS258" s="57"/>
      <c r="AT258" s="57"/>
      <c r="AU258" s="57"/>
    </row>
    <row r="259" spans="40:47" x14ac:dyDescent="0.3">
      <c r="AN259" s="57"/>
      <c r="AO259" s="57"/>
      <c r="AP259" s="57"/>
      <c r="AQ259" s="57"/>
      <c r="AR259" s="57"/>
      <c r="AS259" s="57"/>
      <c r="AT259" s="57"/>
      <c r="AU259" s="57"/>
    </row>
    <row r="260" spans="40:47" x14ac:dyDescent="0.3">
      <c r="AN260" s="57"/>
      <c r="AO260" s="57"/>
      <c r="AP260" s="57"/>
      <c r="AQ260" s="57"/>
      <c r="AR260" s="57"/>
      <c r="AS260" s="57"/>
      <c r="AT260" s="57"/>
      <c r="AU260" s="57"/>
    </row>
    <row r="261" spans="40:47" x14ac:dyDescent="0.3">
      <c r="AN261" s="57"/>
      <c r="AO261" s="57"/>
      <c r="AP261" s="57"/>
      <c r="AQ261" s="57"/>
      <c r="AR261" s="57"/>
      <c r="AS261" s="57"/>
      <c r="AT261" s="57"/>
      <c r="AU261" s="57"/>
    </row>
    <row r="262" spans="40:47" x14ac:dyDescent="0.3">
      <c r="AN262" s="57"/>
      <c r="AO262" s="57"/>
      <c r="AP262" s="57"/>
      <c r="AQ262" s="57"/>
      <c r="AR262" s="57"/>
      <c r="AS262" s="57"/>
      <c r="AT262" s="57"/>
      <c r="AU262" s="57"/>
    </row>
    <row r="263" spans="40:47" x14ac:dyDescent="0.3">
      <c r="AN263" s="57"/>
      <c r="AO263" s="57"/>
      <c r="AP263" s="57"/>
      <c r="AQ263" s="57"/>
      <c r="AR263" s="57"/>
      <c r="AS263" s="57"/>
      <c r="AT263" s="57"/>
      <c r="AU263" s="57"/>
    </row>
    <row r="264" spans="40:47" x14ac:dyDescent="0.3">
      <c r="AN264" s="57"/>
      <c r="AO264" s="57"/>
      <c r="AP264" s="57"/>
      <c r="AQ264" s="57"/>
      <c r="AR264" s="57"/>
      <c r="AS264" s="57"/>
      <c r="AT264" s="57"/>
      <c r="AU264" s="57"/>
    </row>
    <row r="265" spans="40:47" x14ac:dyDescent="0.3">
      <c r="AN265" s="57"/>
      <c r="AO265" s="57"/>
      <c r="AP265" s="57"/>
      <c r="AQ265" s="57"/>
      <c r="AR265" s="57"/>
      <c r="AS265" s="57"/>
      <c r="AT265" s="57"/>
      <c r="AU265" s="57"/>
    </row>
    <row r="266" spans="40:47" x14ac:dyDescent="0.3">
      <c r="AN266" s="57"/>
      <c r="AO266" s="57"/>
      <c r="AP266" s="57"/>
      <c r="AQ266" s="57"/>
      <c r="AR266" s="57"/>
      <c r="AS266" s="57"/>
      <c r="AT266" s="57"/>
      <c r="AU266" s="57"/>
    </row>
    <row r="267" spans="40:47" x14ac:dyDescent="0.3">
      <c r="AN267" s="57"/>
      <c r="AO267" s="57"/>
      <c r="AP267" s="57"/>
      <c r="AQ267" s="57"/>
      <c r="AR267" s="57"/>
      <c r="AS267" s="57"/>
      <c r="AT267" s="57"/>
      <c r="AU267" s="57"/>
    </row>
    <row r="268" spans="40:47" x14ac:dyDescent="0.3">
      <c r="AN268" s="57"/>
      <c r="AO268" s="57"/>
      <c r="AP268" s="57"/>
      <c r="AQ268" s="57"/>
      <c r="AR268" s="57"/>
      <c r="AS268" s="57"/>
      <c r="AT268" s="57"/>
      <c r="AU268" s="57"/>
    </row>
    <row r="269" spans="40:47" x14ac:dyDescent="0.3">
      <c r="AN269" s="57"/>
      <c r="AO269" s="57"/>
      <c r="AP269" s="57"/>
      <c r="AQ269" s="57"/>
      <c r="AR269" s="57"/>
      <c r="AS269" s="57"/>
      <c r="AT269" s="57"/>
      <c r="AU269" s="57"/>
    </row>
    <row r="270" spans="40:47" x14ac:dyDescent="0.3">
      <c r="AN270" s="57"/>
      <c r="AO270" s="57"/>
      <c r="AP270" s="57"/>
      <c r="AQ270" s="57"/>
      <c r="AR270" s="57"/>
      <c r="AS270" s="57"/>
      <c r="AT270" s="57"/>
      <c r="AU270" s="57"/>
    </row>
    <row r="271" spans="40:47" x14ac:dyDescent="0.3">
      <c r="AN271" s="57"/>
      <c r="AO271" s="57"/>
      <c r="AP271" s="57"/>
      <c r="AQ271" s="57"/>
      <c r="AR271" s="57"/>
      <c r="AS271" s="57"/>
      <c r="AT271" s="57"/>
      <c r="AU271" s="57"/>
    </row>
    <row r="272" spans="40:47" x14ac:dyDescent="0.3">
      <c r="AN272" s="57"/>
      <c r="AO272" s="57"/>
      <c r="AP272" s="57"/>
      <c r="AQ272" s="57"/>
      <c r="AR272" s="57"/>
      <c r="AS272" s="57"/>
      <c r="AT272" s="57"/>
      <c r="AU272" s="57"/>
    </row>
    <row r="273" spans="40:47" x14ac:dyDescent="0.3">
      <c r="AN273" s="57"/>
      <c r="AO273" s="57"/>
      <c r="AP273" s="57"/>
      <c r="AQ273" s="57"/>
      <c r="AR273" s="57"/>
      <c r="AS273" s="57"/>
      <c r="AT273" s="57"/>
      <c r="AU273" s="57"/>
    </row>
    <row r="274" spans="40:47" x14ac:dyDescent="0.3">
      <c r="AN274" s="57"/>
      <c r="AO274" s="57"/>
      <c r="AP274" s="57"/>
      <c r="AQ274" s="57"/>
      <c r="AR274" s="57"/>
      <c r="AS274" s="57"/>
      <c r="AT274" s="57"/>
      <c r="AU274" s="57"/>
    </row>
    <row r="275" spans="40:47" x14ac:dyDescent="0.3">
      <c r="AN275" s="57"/>
      <c r="AO275" s="57"/>
      <c r="AP275" s="57"/>
      <c r="AQ275" s="57"/>
      <c r="AR275" s="57"/>
      <c r="AS275" s="57"/>
      <c r="AT275" s="57"/>
      <c r="AU275" s="57"/>
    </row>
    <row r="276" spans="40:47" x14ac:dyDescent="0.3">
      <c r="AN276" s="57"/>
      <c r="AO276" s="57"/>
      <c r="AP276" s="57"/>
      <c r="AQ276" s="57"/>
      <c r="AR276" s="57"/>
      <c r="AS276" s="57"/>
      <c r="AT276" s="57"/>
      <c r="AU276" s="57"/>
    </row>
    <row r="277" spans="40:47" x14ac:dyDescent="0.3">
      <c r="AN277" s="57"/>
      <c r="AO277" s="57"/>
      <c r="AP277" s="57"/>
      <c r="AQ277" s="57"/>
      <c r="AR277" s="57"/>
      <c r="AS277" s="57"/>
      <c r="AT277" s="57"/>
      <c r="AU277" s="57"/>
    </row>
    <row r="278" spans="40:47" x14ac:dyDescent="0.3">
      <c r="AN278" s="57"/>
      <c r="AO278" s="57"/>
      <c r="AP278" s="57"/>
      <c r="AQ278" s="57"/>
      <c r="AR278" s="57"/>
      <c r="AS278" s="57"/>
      <c r="AT278" s="57"/>
      <c r="AU278" s="57"/>
    </row>
    <row r="279" spans="40:47" x14ac:dyDescent="0.3">
      <c r="AN279" s="57"/>
      <c r="AO279" s="57"/>
      <c r="AP279" s="57"/>
      <c r="AQ279" s="57"/>
      <c r="AR279" s="57"/>
      <c r="AS279" s="57"/>
      <c r="AT279" s="57"/>
      <c r="AU279" s="57"/>
    </row>
    <row r="280" spans="40:47" x14ac:dyDescent="0.3">
      <c r="AN280" s="57"/>
      <c r="AO280" s="57"/>
      <c r="AP280" s="57"/>
      <c r="AQ280" s="57"/>
      <c r="AR280" s="57"/>
      <c r="AS280" s="57"/>
      <c r="AT280" s="57"/>
      <c r="AU280" s="57"/>
    </row>
    <row r="281" spans="40:47" x14ac:dyDescent="0.3">
      <c r="AN281" s="57"/>
      <c r="AO281" s="57"/>
      <c r="AP281" s="57"/>
      <c r="AQ281" s="57"/>
      <c r="AR281" s="57"/>
      <c r="AS281" s="57"/>
      <c r="AT281" s="57"/>
      <c r="AU281" s="57"/>
    </row>
    <row r="282" spans="40:47" x14ac:dyDescent="0.3">
      <c r="AN282" s="57"/>
      <c r="AO282" s="57"/>
      <c r="AP282" s="57"/>
      <c r="AQ282" s="57"/>
      <c r="AR282" s="57"/>
      <c r="AS282" s="57"/>
      <c r="AT282" s="57"/>
      <c r="AU282" s="57"/>
    </row>
    <row r="283" spans="40:47" x14ac:dyDescent="0.3">
      <c r="AN283" s="57"/>
      <c r="AO283" s="57"/>
      <c r="AP283" s="57"/>
      <c r="AQ283" s="57"/>
      <c r="AR283" s="57"/>
      <c r="AS283" s="57"/>
      <c r="AT283" s="57"/>
      <c r="AU283" s="57"/>
    </row>
    <row r="284" spans="40:47" x14ac:dyDescent="0.3">
      <c r="AN284" s="57"/>
      <c r="AO284" s="57"/>
      <c r="AP284" s="57"/>
      <c r="AQ284" s="57"/>
      <c r="AR284" s="57"/>
      <c r="AS284" s="57"/>
      <c r="AT284" s="57"/>
      <c r="AU284" s="57"/>
    </row>
    <row r="285" spans="40:47" x14ac:dyDescent="0.3">
      <c r="AN285" s="57"/>
      <c r="AO285" s="57"/>
      <c r="AP285" s="57"/>
      <c r="AQ285" s="57"/>
      <c r="AR285" s="57"/>
      <c r="AS285" s="57"/>
      <c r="AT285" s="57"/>
      <c r="AU285" s="57"/>
    </row>
    <row r="286" spans="40:47" x14ac:dyDescent="0.3">
      <c r="AN286" s="57"/>
      <c r="AO286" s="57"/>
      <c r="AP286" s="57"/>
      <c r="AQ286" s="57"/>
      <c r="AR286" s="57"/>
      <c r="AS286" s="57"/>
      <c r="AT286" s="57"/>
      <c r="AU286" s="57"/>
    </row>
    <row r="287" spans="40:47" x14ac:dyDescent="0.3">
      <c r="AN287" s="57"/>
      <c r="AO287" s="57"/>
      <c r="AP287" s="57"/>
      <c r="AQ287" s="57"/>
      <c r="AR287" s="57"/>
      <c r="AS287" s="57"/>
      <c r="AT287" s="57"/>
      <c r="AU287" s="57"/>
    </row>
    <row r="288" spans="40:47" x14ac:dyDescent="0.3">
      <c r="AN288" s="57"/>
      <c r="AO288" s="57"/>
      <c r="AP288" s="57"/>
      <c r="AQ288" s="57"/>
      <c r="AR288" s="57"/>
      <c r="AS288" s="57"/>
      <c r="AT288" s="57"/>
      <c r="AU288" s="57"/>
    </row>
    <row r="289" spans="40:47" x14ac:dyDescent="0.3">
      <c r="AN289" s="57"/>
      <c r="AO289" s="57"/>
      <c r="AP289" s="57"/>
      <c r="AQ289" s="57"/>
      <c r="AR289" s="57"/>
      <c r="AS289" s="57"/>
      <c r="AT289" s="57"/>
      <c r="AU289" s="57"/>
    </row>
    <row r="290" spans="40:47" x14ac:dyDescent="0.3">
      <c r="AN290" s="57"/>
      <c r="AO290" s="57"/>
      <c r="AP290" s="57"/>
      <c r="AQ290" s="57"/>
      <c r="AR290" s="57"/>
      <c r="AS290" s="57"/>
      <c r="AT290" s="57"/>
      <c r="AU290" s="57"/>
    </row>
    <row r="291" spans="40:47" x14ac:dyDescent="0.3">
      <c r="AN291" s="57"/>
      <c r="AO291" s="57"/>
      <c r="AP291" s="57"/>
      <c r="AQ291" s="57"/>
      <c r="AR291" s="57"/>
      <c r="AS291" s="57"/>
      <c r="AT291" s="57"/>
      <c r="AU291" s="57"/>
    </row>
    <row r="292" spans="40:47" x14ac:dyDescent="0.3">
      <c r="AN292" s="57"/>
      <c r="AO292" s="57"/>
      <c r="AP292" s="57"/>
      <c r="AQ292" s="57"/>
      <c r="AR292" s="57"/>
      <c r="AS292" s="57"/>
      <c r="AT292" s="57"/>
      <c r="AU292" s="57"/>
    </row>
    <row r="293" spans="40:47" x14ac:dyDescent="0.3">
      <c r="AN293" s="57"/>
      <c r="AO293" s="57"/>
      <c r="AP293" s="57"/>
      <c r="AQ293" s="57"/>
      <c r="AR293" s="57"/>
      <c r="AS293" s="57"/>
      <c r="AT293" s="57"/>
      <c r="AU293" s="57"/>
    </row>
    <row r="294" spans="40:47" x14ac:dyDescent="0.3">
      <c r="AN294" s="57"/>
      <c r="AO294" s="57"/>
      <c r="AP294" s="57"/>
      <c r="AQ294" s="57"/>
      <c r="AR294" s="57"/>
      <c r="AS294" s="57"/>
      <c r="AT294" s="57"/>
      <c r="AU294" s="57"/>
    </row>
    <row r="295" spans="40:47" x14ac:dyDescent="0.3">
      <c r="AN295" s="57"/>
      <c r="AO295" s="57"/>
      <c r="AP295" s="57"/>
      <c r="AQ295" s="57"/>
      <c r="AR295" s="57"/>
      <c r="AS295" s="57"/>
      <c r="AT295" s="57"/>
      <c r="AU295" s="57"/>
    </row>
    <row r="296" spans="40:47" x14ac:dyDescent="0.3">
      <c r="AN296" s="57"/>
      <c r="AO296" s="57"/>
      <c r="AP296" s="57"/>
      <c r="AQ296" s="57"/>
      <c r="AR296" s="57"/>
      <c r="AS296" s="57"/>
      <c r="AT296" s="57"/>
      <c r="AU296" s="57"/>
    </row>
    <row r="297" spans="40:47" x14ac:dyDescent="0.3">
      <c r="AN297" s="57"/>
      <c r="AO297" s="57"/>
      <c r="AP297" s="57"/>
      <c r="AQ297" s="57"/>
      <c r="AR297" s="57"/>
      <c r="AS297" s="57"/>
      <c r="AT297" s="57"/>
      <c r="AU297" s="57"/>
    </row>
    <row r="298" spans="40:47" x14ac:dyDescent="0.3">
      <c r="AN298" s="57"/>
      <c r="AO298" s="57"/>
      <c r="AP298" s="57"/>
      <c r="AQ298" s="57"/>
      <c r="AR298" s="57"/>
      <c r="AS298" s="57"/>
      <c r="AT298" s="57"/>
      <c r="AU298" s="57"/>
    </row>
    <row r="299" spans="40:47" x14ac:dyDescent="0.3">
      <c r="AN299" s="57"/>
      <c r="AO299" s="57"/>
      <c r="AP299" s="57"/>
      <c r="AQ299" s="57"/>
      <c r="AR299" s="57"/>
      <c r="AS299" s="57"/>
      <c r="AT299" s="57"/>
      <c r="AU299" s="57"/>
    </row>
    <row r="300" spans="40:47" x14ac:dyDescent="0.3">
      <c r="AN300" s="57"/>
      <c r="AO300" s="57"/>
      <c r="AP300" s="57"/>
      <c r="AQ300" s="57"/>
      <c r="AR300" s="57"/>
      <c r="AS300" s="57"/>
      <c r="AT300" s="57"/>
      <c r="AU300" s="57"/>
    </row>
    <row r="301" spans="40:47" x14ac:dyDescent="0.3">
      <c r="AN301" s="57"/>
      <c r="AO301" s="57"/>
      <c r="AP301" s="57"/>
      <c r="AQ301" s="57"/>
      <c r="AR301" s="57"/>
      <c r="AS301" s="57"/>
      <c r="AT301" s="57"/>
      <c r="AU301" s="57"/>
    </row>
    <row r="302" spans="40:47" x14ac:dyDescent="0.3">
      <c r="AN302" s="57"/>
      <c r="AO302" s="57"/>
      <c r="AP302" s="57"/>
      <c r="AQ302" s="57"/>
      <c r="AR302" s="57"/>
      <c r="AS302" s="57"/>
      <c r="AT302" s="57"/>
      <c r="AU302" s="57"/>
    </row>
    <row r="303" spans="40:47" x14ac:dyDescent="0.3">
      <c r="AN303" s="57"/>
      <c r="AO303" s="57"/>
      <c r="AP303" s="57"/>
      <c r="AQ303" s="57"/>
      <c r="AR303" s="57"/>
      <c r="AS303" s="57"/>
      <c r="AT303" s="57"/>
      <c r="AU303" s="57"/>
    </row>
    <row r="304" spans="40:47" x14ac:dyDescent="0.3">
      <c r="AN304" s="57"/>
      <c r="AO304" s="57"/>
      <c r="AP304" s="57"/>
      <c r="AQ304" s="57"/>
      <c r="AR304" s="57"/>
      <c r="AS304" s="57"/>
      <c r="AT304" s="57"/>
      <c r="AU304" s="57"/>
    </row>
    <row r="305" spans="40:47" x14ac:dyDescent="0.3">
      <c r="AN305" s="57"/>
      <c r="AO305" s="57"/>
      <c r="AP305" s="57"/>
      <c r="AQ305" s="57"/>
      <c r="AR305" s="57"/>
      <c r="AS305" s="57"/>
      <c r="AT305" s="57"/>
      <c r="AU305" s="57"/>
    </row>
    <row r="306" spans="40:47" x14ac:dyDescent="0.3">
      <c r="AN306" s="57"/>
      <c r="AO306" s="57"/>
      <c r="AP306" s="57"/>
      <c r="AQ306" s="57"/>
      <c r="AR306" s="57"/>
      <c r="AS306" s="57"/>
      <c r="AT306" s="57"/>
      <c r="AU306" s="57"/>
    </row>
    <row r="307" spans="40:47" x14ac:dyDescent="0.3">
      <c r="AN307" s="57"/>
      <c r="AO307" s="57"/>
      <c r="AP307" s="57"/>
      <c r="AQ307" s="57"/>
      <c r="AR307" s="57"/>
      <c r="AS307" s="57"/>
      <c r="AT307" s="57"/>
      <c r="AU307" s="57"/>
    </row>
    <row r="308" spans="40:47" x14ac:dyDescent="0.3">
      <c r="AN308" s="57"/>
      <c r="AO308" s="57"/>
      <c r="AP308" s="57"/>
      <c r="AQ308" s="57"/>
      <c r="AR308" s="57"/>
      <c r="AS308" s="57"/>
      <c r="AT308" s="57"/>
      <c r="AU308" s="57"/>
    </row>
    <row r="309" spans="40:47" x14ac:dyDescent="0.3">
      <c r="AN309" s="57"/>
      <c r="AO309" s="57"/>
      <c r="AP309" s="57"/>
      <c r="AQ309" s="57"/>
      <c r="AR309" s="57"/>
      <c r="AS309" s="57"/>
      <c r="AT309" s="57"/>
      <c r="AU309" s="57"/>
    </row>
    <row r="310" spans="40:47" x14ac:dyDescent="0.3">
      <c r="AN310" s="57"/>
      <c r="AO310" s="57"/>
      <c r="AP310" s="57"/>
      <c r="AQ310" s="57"/>
      <c r="AR310" s="57"/>
      <c r="AS310" s="57"/>
      <c r="AT310" s="57"/>
      <c r="AU310" s="57"/>
    </row>
    <row r="311" spans="40:47" x14ac:dyDescent="0.3">
      <c r="AN311" s="57"/>
      <c r="AO311" s="57"/>
      <c r="AP311" s="57"/>
      <c r="AQ311" s="57"/>
      <c r="AR311" s="57"/>
      <c r="AS311" s="57"/>
      <c r="AT311" s="57"/>
      <c r="AU311" s="57"/>
    </row>
    <row r="312" spans="40:47" x14ac:dyDescent="0.3">
      <c r="AN312" s="57"/>
      <c r="AO312" s="57"/>
      <c r="AP312" s="57"/>
      <c r="AQ312" s="57"/>
      <c r="AR312" s="57"/>
      <c r="AS312" s="57"/>
      <c r="AT312" s="57"/>
      <c r="AU312" s="57"/>
    </row>
    <row r="313" spans="40:47" x14ac:dyDescent="0.3">
      <c r="AN313" s="57"/>
      <c r="AO313" s="57"/>
      <c r="AP313" s="57"/>
      <c r="AQ313" s="57"/>
      <c r="AR313" s="57"/>
      <c r="AS313" s="57"/>
      <c r="AT313" s="57"/>
      <c r="AU313" s="57"/>
    </row>
    <row r="314" spans="40:47" x14ac:dyDescent="0.3">
      <c r="AN314" s="57"/>
      <c r="AO314" s="57"/>
      <c r="AP314" s="57"/>
      <c r="AQ314" s="57"/>
      <c r="AR314" s="57"/>
      <c r="AS314" s="57"/>
      <c r="AT314" s="57"/>
      <c r="AU314" s="57"/>
    </row>
    <row r="315" spans="40:47" x14ac:dyDescent="0.3">
      <c r="AN315" s="57"/>
      <c r="AO315" s="57"/>
      <c r="AP315" s="57"/>
      <c r="AQ315" s="57"/>
      <c r="AR315" s="57"/>
      <c r="AS315" s="57"/>
      <c r="AT315" s="57"/>
      <c r="AU315" s="57"/>
    </row>
    <row r="316" spans="40:47" x14ac:dyDescent="0.3">
      <c r="AN316" s="57"/>
      <c r="AO316" s="57"/>
      <c r="AP316" s="57"/>
      <c r="AQ316" s="57"/>
      <c r="AR316" s="57"/>
      <c r="AS316" s="57"/>
      <c r="AT316" s="57"/>
      <c r="AU316" s="57"/>
    </row>
    <row r="317" spans="40:47" x14ac:dyDescent="0.3">
      <c r="AN317" s="57"/>
      <c r="AO317" s="57"/>
      <c r="AP317" s="57"/>
      <c r="AQ317" s="57"/>
      <c r="AR317" s="57"/>
      <c r="AS317" s="57"/>
      <c r="AT317" s="57"/>
      <c r="AU317" s="57"/>
    </row>
    <row r="318" spans="40:47" x14ac:dyDescent="0.3">
      <c r="AN318" s="57"/>
      <c r="AO318" s="57"/>
      <c r="AP318" s="57"/>
      <c r="AQ318" s="57"/>
      <c r="AR318" s="57"/>
      <c r="AS318" s="57"/>
      <c r="AT318" s="57"/>
      <c r="AU318" s="57"/>
    </row>
    <row r="319" spans="40:47" x14ac:dyDescent="0.3">
      <c r="AN319" s="57"/>
      <c r="AO319" s="57"/>
      <c r="AP319" s="57"/>
      <c r="AQ319" s="57"/>
      <c r="AR319" s="57"/>
      <c r="AS319" s="57"/>
      <c r="AT319" s="57"/>
      <c r="AU319" s="57"/>
    </row>
    <row r="320" spans="40:47" x14ac:dyDescent="0.3">
      <c r="AN320" s="57"/>
      <c r="AO320" s="57"/>
      <c r="AP320" s="57"/>
      <c r="AQ320" s="57"/>
      <c r="AR320" s="57"/>
      <c r="AS320" s="57"/>
      <c r="AT320" s="57"/>
      <c r="AU320" s="57"/>
    </row>
    <row r="321" spans="40:47" x14ac:dyDescent="0.3">
      <c r="AN321" s="57"/>
      <c r="AO321" s="57"/>
      <c r="AP321" s="57"/>
      <c r="AQ321" s="57"/>
      <c r="AR321" s="57"/>
      <c r="AS321" s="57"/>
      <c r="AT321" s="57"/>
      <c r="AU321" s="57"/>
    </row>
    <row r="322" spans="40:47" x14ac:dyDescent="0.3">
      <c r="AN322" s="57"/>
      <c r="AO322" s="57"/>
      <c r="AP322" s="57"/>
      <c r="AQ322" s="57"/>
      <c r="AR322" s="57"/>
      <c r="AS322" s="57"/>
      <c r="AT322" s="57"/>
      <c r="AU322" s="57"/>
    </row>
    <row r="323" spans="40:47" x14ac:dyDescent="0.3">
      <c r="AN323" s="57"/>
      <c r="AO323" s="57"/>
      <c r="AP323" s="57"/>
      <c r="AQ323" s="57"/>
      <c r="AR323" s="57"/>
      <c r="AS323" s="57"/>
      <c r="AT323" s="57"/>
      <c r="AU323" s="57"/>
    </row>
    <row r="324" spans="40:47" x14ac:dyDescent="0.3">
      <c r="AN324" s="57"/>
      <c r="AO324" s="57"/>
      <c r="AP324" s="57"/>
      <c r="AQ324" s="57"/>
      <c r="AR324" s="57"/>
      <c r="AS324" s="57"/>
      <c r="AT324" s="57"/>
      <c r="AU324" s="57"/>
    </row>
    <row r="325" spans="40:47" x14ac:dyDescent="0.3">
      <c r="AN325" s="57"/>
      <c r="AO325" s="57"/>
      <c r="AP325" s="57"/>
      <c r="AQ325" s="57"/>
      <c r="AR325" s="57"/>
      <c r="AS325" s="57"/>
      <c r="AT325" s="57"/>
      <c r="AU325" s="57"/>
    </row>
    <row r="326" spans="40:47" x14ac:dyDescent="0.3">
      <c r="AN326" s="57"/>
      <c r="AO326" s="57"/>
      <c r="AP326" s="57"/>
      <c r="AQ326" s="57"/>
      <c r="AR326" s="57"/>
      <c r="AS326" s="57"/>
      <c r="AT326" s="57"/>
      <c r="AU326" s="57"/>
    </row>
    <row r="327" spans="40:47" x14ac:dyDescent="0.3">
      <c r="AN327" s="57"/>
      <c r="AO327" s="57"/>
      <c r="AP327" s="57"/>
      <c r="AQ327" s="57"/>
      <c r="AR327" s="57"/>
      <c r="AS327" s="57"/>
      <c r="AT327" s="57"/>
      <c r="AU327" s="57"/>
    </row>
    <row r="328" spans="40:47" x14ac:dyDescent="0.3">
      <c r="AN328" s="57"/>
      <c r="AO328" s="57"/>
      <c r="AP328" s="57"/>
      <c r="AQ328" s="57"/>
      <c r="AR328" s="57"/>
      <c r="AS328" s="57"/>
      <c r="AT328" s="57"/>
      <c r="AU328" s="57"/>
    </row>
    <row r="329" spans="40:47" x14ac:dyDescent="0.3">
      <c r="AN329" s="57"/>
      <c r="AO329" s="57"/>
      <c r="AP329" s="57"/>
      <c r="AQ329" s="57"/>
      <c r="AR329" s="57"/>
      <c r="AS329" s="57"/>
      <c r="AT329" s="57"/>
      <c r="AU329" s="57"/>
    </row>
    <row r="330" spans="40:47" x14ac:dyDescent="0.3">
      <c r="AN330" s="57"/>
      <c r="AO330" s="57"/>
      <c r="AP330" s="57"/>
      <c r="AQ330" s="57"/>
      <c r="AR330" s="57"/>
      <c r="AS330" s="57"/>
      <c r="AT330" s="57"/>
      <c r="AU330" s="57"/>
    </row>
    <row r="331" spans="40:47" x14ac:dyDescent="0.3">
      <c r="AN331" s="57"/>
      <c r="AO331" s="57"/>
      <c r="AP331" s="57"/>
      <c r="AQ331" s="57"/>
      <c r="AR331" s="57"/>
      <c r="AS331" s="57"/>
      <c r="AT331" s="57"/>
      <c r="AU331" s="57"/>
    </row>
    <row r="332" spans="40:47" x14ac:dyDescent="0.3">
      <c r="AN332" s="57"/>
      <c r="AO332" s="57"/>
      <c r="AP332" s="57"/>
      <c r="AQ332" s="57"/>
      <c r="AR332" s="57"/>
      <c r="AS332" s="57"/>
      <c r="AT332" s="57"/>
      <c r="AU332" s="57"/>
    </row>
    <row r="333" spans="40:47" x14ac:dyDescent="0.3">
      <c r="AN333" s="57"/>
      <c r="AO333" s="57"/>
      <c r="AP333" s="57"/>
      <c r="AQ333" s="57"/>
      <c r="AR333" s="57"/>
      <c r="AS333" s="57"/>
      <c r="AT333" s="57"/>
      <c r="AU333" s="57"/>
    </row>
    <row r="334" spans="40:47" x14ac:dyDescent="0.3">
      <c r="AN334" s="57"/>
      <c r="AO334" s="57"/>
      <c r="AP334" s="57"/>
      <c r="AQ334" s="57"/>
      <c r="AR334" s="57"/>
      <c r="AS334" s="57"/>
      <c r="AT334" s="57"/>
      <c r="AU334" s="57"/>
    </row>
    <row r="335" spans="40:47" x14ac:dyDescent="0.3">
      <c r="AN335" s="57"/>
      <c r="AO335" s="57"/>
      <c r="AP335" s="57"/>
      <c r="AQ335" s="57"/>
      <c r="AR335" s="57"/>
      <c r="AS335" s="57"/>
      <c r="AT335" s="57"/>
      <c r="AU335" s="57"/>
    </row>
    <row r="336" spans="40:47" x14ac:dyDescent="0.3">
      <c r="AN336" s="57"/>
      <c r="AO336" s="57"/>
      <c r="AP336" s="57"/>
      <c r="AQ336" s="57"/>
      <c r="AR336" s="57"/>
      <c r="AS336" s="57"/>
      <c r="AT336" s="57"/>
      <c r="AU336" s="57"/>
    </row>
    <row r="337" spans="40:47" x14ac:dyDescent="0.3">
      <c r="AN337" s="57"/>
      <c r="AO337" s="57"/>
      <c r="AP337" s="57"/>
      <c r="AQ337" s="57"/>
      <c r="AR337" s="57"/>
      <c r="AS337" s="57"/>
      <c r="AT337" s="57"/>
      <c r="AU337" s="57"/>
    </row>
    <row r="338" spans="40:47" x14ac:dyDescent="0.3">
      <c r="AN338" s="57"/>
      <c r="AO338" s="57"/>
      <c r="AP338" s="57"/>
      <c r="AQ338" s="57"/>
      <c r="AR338" s="57"/>
      <c r="AS338" s="57"/>
      <c r="AT338" s="57"/>
      <c r="AU338" s="57"/>
    </row>
    <row r="339" spans="40:47" x14ac:dyDescent="0.3">
      <c r="AN339" s="57"/>
      <c r="AO339" s="57"/>
      <c r="AP339" s="57"/>
      <c r="AQ339" s="57"/>
      <c r="AR339" s="57"/>
      <c r="AS339" s="57"/>
      <c r="AT339" s="57"/>
      <c r="AU339" s="57"/>
    </row>
    <row r="340" spans="40:47" x14ac:dyDescent="0.3">
      <c r="AN340" s="57"/>
      <c r="AO340" s="57"/>
      <c r="AP340" s="57"/>
      <c r="AQ340" s="57"/>
      <c r="AR340" s="57"/>
      <c r="AS340" s="57"/>
      <c r="AT340" s="57"/>
      <c r="AU340" s="57"/>
    </row>
    <row r="341" spans="40:47" x14ac:dyDescent="0.3">
      <c r="AN341" s="57"/>
      <c r="AO341" s="57"/>
      <c r="AP341" s="57"/>
      <c r="AQ341" s="57"/>
      <c r="AR341" s="57"/>
      <c r="AS341" s="57"/>
      <c r="AT341" s="57"/>
      <c r="AU341" s="57"/>
    </row>
    <row r="342" spans="40:47" x14ac:dyDescent="0.3">
      <c r="AN342" s="57"/>
      <c r="AO342" s="57"/>
      <c r="AP342" s="57"/>
      <c r="AQ342" s="57"/>
      <c r="AR342" s="57"/>
      <c r="AS342" s="57"/>
      <c r="AT342" s="57"/>
      <c r="AU342" s="57"/>
    </row>
    <row r="343" spans="40:47" x14ac:dyDescent="0.3">
      <c r="AN343" s="57"/>
      <c r="AO343" s="57"/>
      <c r="AP343" s="57"/>
      <c r="AQ343" s="57"/>
      <c r="AR343" s="57"/>
      <c r="AS343" s="57"/>
      <c r="AT343" s="57"/>
      <c r="AU343" s="57"/>
    </row>
    <row r="344" spans="40:47" x14ac:dyDescent="0.3">
      <c r="AN344" s="57"/>
      <c r="AO344" s="57"/>
      <c r="AP344" s="57"/>
      <c r="AQ344" s="57"/>
      <c r="AR344" s="57"/>
      <c r="AS344" s="57"/>
      <c r="AT344" s="57"/>
      <c r="AU344" s="57"/>
    </row>
    <row r="345" spans="40:47" x14ac:dyDescent="0.3">
      <c r="AN345" s="57"/>
      <c r="AO345" s="57"/>
      <c r="AP345" s="57"/>
      <c r="AQ345" s="57"/>
      <c r="AR345" s="57"/>
      <c r="AS345" s="57"/>
      <c r="AT345" s="57"/>
      <c r="AU345" s="57"/>
    </row>
    <row r="346" spans="40:47" x14ac:dyDescent="0.3">
      <c r="AN346" s="57"/>
      <c r="AO346" s="57"/>
      <c r="AP346" s="57"/>
      <c r="AQ346" s="57"/>
      <c r="AR346" s="57"/>
      <c r="AS346" s="57"/>
      <c r="AT346" s="57"/>
      <c r="AU346" s="57"/>
    </row>
    <row r="347" spans="40:47" x14ac:dyDescent="0.3">
      <c r="AN347" s="57"/>
      <c r="AO347" s="57"/>
      <c r="AP347" s="57"/>
      <c r="AQ347" s="57"/>
      <c r="AR347" s="57"/>
      <c r="AS347" s="57"/>
      <c r="AT347" s="57"/>
      <c r="AU347" s="57"/>
    </row>
    <row r="348" spans="40:47" x14ac:dyDescent="0.3">
      <c r="AN348" s="57"/>
      <c r="AO348" s="57"/>
      <c r="AP348" s="57"/>
      <c r="AQ348" s="57"/>
      <c r="AR348" s="57"/>
      <c r="AS348" s="57"/>
      <c r="AT348" s="57"/>
      <c r="AU348" s="57"/>
    </row>
    <row r="349" spans="40:47" x14ac:dyDescent="0.3">
      <c r="AN349" s="57"/>
      <c r="AO349" s="57"/>
      <c r="AP349" s="57"/>
      <c r="AQ349" s="57"/>
      <c r="AR349" s="57"/>
      <c r="AS349" s="57"/>
      <c r="AT349" s="57"/>
      <c r="AU349" s="57"/>
    </row>
    <row r="350" spans="40:47" x14ac:dyDescent="0.3">
      <c r="AN350" s="57"/>
      <c r="AO350" s="57"/>
      <c r="AP350" s="57"/>
      <c r="AQ350" s="57"/>
      <c r="AR350" s="57"/>
      <c r="AS350" s="57"/>
      <c r="AT350" s="57"/>
      <c r="AU350" s="57"/>
    </row>
    <row r="351" spans="40:47" x14ac:dyDescent="0.3">
      <c r="AN351" s="57"/>
      <c r="AO351" s="57"/>
      <c r="AP351" s="57"/>
      <c r="AQ351" s="57"/>
      <c r="AR351" s="57"/>
      <c r="AS351" s="57"/>
      <c r="AT351" s="57"/>
      <c r="AU351" s="57"/>
    </row>
    <row r="352" spans="40:47" x14ac:dyDescent="0.3">
      <c r="AN352" s="57"/>
      <c r="AO352" s="57"/>
      <c r="AP352" s="57"/>
      <c r="AQ352" s="57"/>
      <c r="AR352" s="57"/>
      <c r="AS352" s="57"/>
      <c r="AT352" s="57"/>
      <c r="AU352" s="57"/>
    </row>
    <row r="353" spans="40:47" x14ac:dyDescent="0.3">
      <c r="AN353" s="57"/>
      <c r="AO353" s="57"/>
      <c r="AP353" s="57"/>
      <c r="AQ353" s="57"/>
      <c r="AR353" s="57"/>
      <c r="AS353" s="57"/>
      <c r="AT353" s="57"/>
      <c r="AU353" s="57"/>
    </row>
    <row r="354" spans="40:47" x14ac:dyDescent="0.3">
      <c r="AN354" s="57"/>
      <c r="AO354" s="57"/>
      <c r="AP354" s="57"/>
      <c r="AQ354" s="57"/>
      <c r="AR354" s="57"/>
      <c r="AS354" s="57"/>
      <c r="AT354" s="57"/>
      <c r="AU354" s="57"/>
    </row>
    <row r="355" spans="40:47" x14ac:dyDescent="0.3">
      <c r="AN355" s="57"/>
      <c r="AO355" s="57"/>
      <c r="AP355" s="57"/>
      <c r="AQ355" s="57"/>
      <c r="AR355" s="57"/>
      <c r="AS355" s="57"/>
      <c r="AT355" s="57"/>
      <c r="AU355" s="57"/>
    </row>
    <row r="356" spans="40:47" x14ac:dyDescent="0.3">
      <c r="AN356" s="57"/>
      <c r="AO356" s="57"/>
      <c r="AP356" s="57"/>
      <c r="AQ356" s="57"/>
      <c r="AR356" s="57"/>
      <c r="AS356" s="57"/>
      <c r="AT356" s="57"/>
      <c r="AU356" s="57"/>
    </row>
    <row r="357" spans="40:47" x14ac:dyDescent="0.3">
      <c r="AN357" s="57"/>
      <c r="AO357" s="57"/>
      <c r="AP357" s="57"/>
      <c r="AQ357" s="57"/>
      <c r="AR357" s="57"/>
      <c r="AS357" s="57"/>
      <c r="AT357" s="57"/>
      <c r="AU357" s="57"/>
    </row>
    <row r="358" spans="40:47" x14ac:dyDescent="0.3">
      <c r="AN358" s="57"/>
      <c r="AO358" s="57"/>
      <c r="AP358" s="57"/>
      <c r="AQ358" s="57"/>
      <c r="AR358" s="57"/>
      <c r="AS358" s="57"/>
      <c r="AT358" s="57"/>
      <c r="AU358" s="57"/>
    </row>
    <row r="359" spans="40:47" x14ac:dyDescent="0.3">
      <c r="AN359" s="57"/>
      <c r="AO359" s="57"/>
      <c r="AP359" s="57"/>
      <c r="AQ359" s="57"/>
      <c r="AR359" s="57"/>
      <c r="AS359" s="57"/>
      <c r="AT359" s="57"/>
      <c r="AU359" s="57"/>
    </row>
    <row r="360" spans="40:47" x14ac:dyDescent="0.3">
      <c r="AN360" s="57"/>
      <c r="AO360" s="57"/>
      <c r="AP360" s="57"/>
      <c r="AQ360" s="57"/>
      <c r="AR360" s="57"/>
      <c r="AS360" s="57"/>
      <c r="AT360" s="57"/>
      <c r="AU360" s="57"/>
    </row>
    <row r="361" spans="40:47" x14ac:dyDescent="0.3">
      <c r="AN361" s="57"/>
      <c r="AO361" s="57"/>
      <c r="AP361" s="57"/>
      <c r="AQ361" s="57"/>
      <c r="AR361" s="57"/>
      <c r="AS361" s="57"/>
      <c r="AT361" s="57"/>
      <c r="AU361" s="57"/>
    </row>
    <row r="362" spans="40:47" x14ac:dyDescent="0.3">
      <c r="AN362" s="57"/>
      <c r="AO362" s="57"/>
      <c r="AP362" s="57"/>
      <c r="AQ362" s="57"/>
      <c r="AR362" s="57"/>
      <c r="AS362" s="57"/>
      <c r="AT362" s="57"/>
      <c r="AU362" s="57"/>
    </row>
    <row r="363" spans="40:47" x14ac:dyDescent="0.3">
      <c r="AN363" s="57"/>
      <c r="AO363" s="57"/>
      <c r="AP363" s="57"/>
      <c r="AQ363" s="57"/>
      <c r="AR363" s="57"/>
      <c r="AS363" s="57"/>
      <c r="AT363" s="57"/>
      <c r="AU363" s="57"/>
    </row>
    <row r="364" spans="40:47" x14ac:dyDescent="0.3">
      <c r="AN364" s="57"/>
      <c r="AO364" s="57"/>
      <c r="AP364" s="57"/>
      <c r="AQ364" s="57"/>
      <c r="AR364" s="57"/>
      <c r="AS364" s="57"/>
      <c r="AT364" s="57"/>
      <c r="AU364" s="57"/>
    </row>
    <row r="365" spans="40:47" x14ac:dyDescent="0.3">
      <c r="AN365" s="57"/>
      <c r="AO365" s="57"/>
      <c r="AP365" s="57"/>
      <c r="AQ365" s="57"/>
      <c r="AR365" s="57"/>
      <c r="AS365" s="57"/>
      <c r="AT365" s="57"/>
      <c r="AU365" s="57"/>
    </row>
    <row r="366" spans="40:47" x14ac:dyDescent="0.3">
      <c r="AN366" s="57"/>
      <c r="AO366" s="57"/>
      <c r="AP366" s="57"/>
      <c r="AQ366" s="57"/>
      <c r="AR366" s="57"/>
      <c r="AS366" s="57"/>
      <c r="AT366" s="57"/>
      <c r="AU366" s="57"/>
    </row>
    <row r="367" spans="40:47" x14ac:dyDescent="0.3">
      <c r="AN367" s="57"/>
      <c r="AO367" s="57"/>
      <c r="AP367" s="57"/>
      <c r="AQ367" s="57"/>
      <c r="AR367" s="57"/>
      <c r="AS367" s="57"/>
      <c r="AT367" s="57"/>
      <c r="AU367" s="57"/>
    </row>
    <row r="368" spans="40:47" x14ac:dyDescent="0.3">
      <c r="AN368" s="57"/>
      <c r="AO368" s="57"/>
      <c r="AP368" s="57"/>
      <c r="AQ368" s="57"/>
      <c r="AR368" s="57"/>
      <c r="AS368" s="57"/>
      <c r="AT368" s="57"/>
      <c r="AU368" s="57"/>
    </row>
    <row r="369" spans="40:47" x14ac:dyDescent="0.3">
      <c r="AN369" s="57"/>
      <c r="AO369" s="57"/>
      <c r="AP369" s="57"/>
      <c r="AQ369" s="57"/>
      <c r="AR369" s="57"/>
      <c r="AS369" s="57"/>
      <c r="AT369" s="57"/>
      <c r="AU369" s="57"/>
    </row>
    <row r="370" spans="40:47" x14ac:dyDescent="0.3">
      <c r="AN370" s="57"/>
      <c r="AO370" s="57"/>
      <c r="AP370" s="57"/>
      <c r="AQ370" s="57"/>
      <c r="AR370" s="57"/>
      <c r="AS370" s="57"/>
      <c r="AT370" s="57"/>
      <c r="AU370" s="57"/>
    </row>
    <row r="371" spans="40:47" x14ac:dyDescent="0.3">
      <c r="AN371" s="57"/>
      <c r="AO371" s="57"/>
      <c r="AP371" s="57"/>
      <c r="AQ371" s="57"/>
      <c r="AR371" s="57"/>
      <c r="AS371" s="57"/>
      <c r="AT371" s="57"/>
      <c r="AU371" s="57"/>
    </row>
    <row r="372" spans="40:47" x14ac:dyDescent="0.3">
      <c r="AN372" s="57"/>
      <c r="AO372" s="57"/>
      <c r="AP372" s="57"/>
      <c r="AQ372" s="57"/>
      <c r="AR372" s="57"/>
      <c r="AS372" s="57"/>
      <c r="AT372" s="57"/>
      <c r="AU372" s="57"/>
    </row>
    <row r="373" spans="40:47" x14ac:dyDescent="0.3">
      <c r="AN373" s="57"/>
      <c r="AO373" s="57"/>
      <c r="AP373" s="57"/>
      <c r="AQ373" s="57"/>
      <c r="AR373" s="57"/>
      <c r="AS373" s="57"/>
      <c r="AT373" s="57"/>
      <c r="AU373" s="57"/>
    </row>
    <row r="374" spans="40:47" x14ac:dyDescent="0.3">
      <c r="AN374" s="57"/>
      <c r="AO374" s="57"/>
      <c r="AP374" s="57"/>
      <c r="AQ374" s="57"/>
      <c r="AR374" s="57"/>
      <c r="AS374" s="57"/>
      <c r="AT374" s="57"/>
      <c r="AU374" s="57"/>
    </row>
    <row r="375" spans="40:47" x14ac:dyDescent="0.3">
      <c r="AN375" s="57"/>
      <c r="AO375" s="57"/>
      <c r="AP375" s="57"/>
      <c r="AQ375" s="57"/>
      <c r="AR375" s="57"/>
      <c r="AS375" s="57"/>
      <c r="AT375" s="57"/>
      <c r="AU375" s="57"/>
    </row>
    <row r="376" spans="40:47" x14ac:dyDescent="0.3">
      <c r="AN376" s="57"/>
      <c r="AO376" s="57"/>
      <c r="AP376" s="57"/>
      <c r="AQ376" s="57"/>
      <c r="AR376" s="57"/>
      <c r="AS376" s="57"/>
      <c r="AT376" s="57"/>
      <c r="AU376" s="57"/>
    </row>
    <row r="377" spans="40:47" x14ac:dyDescent="0.3">
      <c r="AN377" s="57"/>
      <c r="AO377" s="57"/>
      <c r="AP377" s="57"/>
      <c r="AQ377" s="57"/>
      <c r="AR377" s="57"/>
      <c r="AS377" s="57"/>
      <c r="AT377" s="57"/>
      <c r="AU377" s="57"/>
    </row>
    <row r="378" spans="40:47" x14ac:dyDescent="0.3">
      <c r="AN378" s="57"/>
      <c r="AO378" s="57"/>
      <c r="AP378" s="57"/>
      <c r="AQ378" s="57"/>
      <c r="AR378" s="57"/>
      <c r="AS378" s="57"/>
      <c r="AT378" s="57"/>
      <c r="AU378" s="57"/>
    </row>
    <row r="379" spans="40:47" x14ac:dyDescent="0.3">
      <c r="AN379" s="57"/>
      <c r="AO379" s="57"/>
      <c r="AP379" s="57"/>
      <c r="AQ379" s="57"/>
      <c r="AR379" s="57"/>
      <c r="AS379" s="57"/>
      <c r="AT379" s="57"/>
      <c r="AU379" s="57"/>
    </row>
    <row r="380" spans="40:47" x14ac:dyDescent="0.3">
      <c r="AN380" s="57"/>
      <c r="AO380" s="57"/>
      <c r="AP380" s="57"/>
      <c r="AQ380" s="57"/>
      <c r="AR380" s="57"/>
      <c r="AS380" s="57"/>
      <c r="AT380" s="57"/>
      <c r="AU380" s="57"/>
    </row>
    <row r="381" spans="40:47" x14ac:dyDescent="0.3">
      <c r="AN381" s="57"/>
      <c r="AO381" s="57"/>
      <c r="AP381" s="57"/>
      <c r="AQ381" s="57"/>
      <c r="AR381" s="57"/>
      <c r="AS381" s="57"/>
      <c r="AT381" s="57"/>
      <c r="AU381" s="57"/>
    </row>
    <row r="382" spans="40:47" x14ac:dyDescent="0.3">
      <c r="AN382" s="57"/>
      <c r="AO382" s="57"/>
      <c r="AP382" s="57"/>
      <c r="AQ382" s="57"/>
      <c r="AR382" s="57"/>
      <c r="AS382" s="57"/>
      <c r="AT382" s="57"/>
      <c r="AU382" s="57"/>
    </row>
    <row r="383" spans="40:47" x14ac:dyDescent="0.3">
      <c r="AN383" s="57"/>
      <c r="AO383" s="57"/>
      <c r="AP383" s="57"/>
      <c r="AQ383" s="57"/>
      <c r="AR383" s="57"/>
      <c r="AS383" s="57"/>
      <c r="AT383" s="57"/>
      <c r="AU383" s="57"/>
    </row>
    <row r="384" spans="40:47" x14ac:dyDescent="0.3">
      <c r="AN384" s="57"/>
      <c r="AO384" s="57"/>
      <c r="AP384" s="57"/>
      <c r="AQ384" s="57"/>
      <c r="AR384" s="57"/>
      <c r="AS384" s="57"/>
      <c r="AT384" s="57"/>
      <c r="AU384" s="57"/>
    </row>
    <row r="385" spans="40:47" x14ac:dyDescent="0.3">
      <c r="AN385" s="57"/>
      <c r="AO385" s="57"/>
      <c r="AP385" s="57"/>
      <c r="AQ385" s="57"/>
      <c r="AR385" s="57"/>
      <c r="AS385" s="57"/>
      <c r="AT385" s="57"/>
      <c r="AU385" s="57"/>
    </row>
    <row r="386" spans="40:47" x14ac:dyDescent="0.3">
      <c r="AN386" s="57"/>
      <c r="AO386" s="57"/>
      <c r="AP386" s="57"/>
      <c r="AQ386" s="57"/>
      <c r="AR386" s="57"/>
      <c r="AS386" s="57"/>
      <c r="AT386" s="57"/>
      <c r="AU386" s="57"/>
    </row>
    <row r="387" spans="40:47" x14ac:dyDescent="0.3">
      <c r="AN387" s="57"/>
      <c r="AO387" s="57"/>
      <c r="AP387" s="57"/>
      <c r="AQ387" s="57"/>
      <c r="AR387" s="57"/>
      <c r="AS387" s="57"/>
      <c r="AT387" s="57"/>
      <c r="AU387" s="57"/>
    </row>
    <row r="388" spans="40:47" x14ac:dyDescent="0.3">
      <c r="AN388" s="57"/>
      <c r="AO388" s="57"/>
      <c r="AP388" s="57"/>
      <c r="AQ388" s="57"/>
      <c r="AR388" s="57"/>
      <c r="AS388" s="57"/>
      <c r="AT388" s="57"/>
      <c r="AU388" s="57"/>
    </row>
    <row r="389" spans="40:47" x14ac:dyDescent="0.3">
      <c r="AN389" s="57"/>
      <c r="AO389" s="57"/>
      <c r="AP389" s="57"/>
      <c r="AQ389" s="57"/>
      <c r="AR389" s="57"/>
      <c r="AS389" s="57"/>
      <c r="AT389" s="57"/>
      <c r="AU389" s="57"/>
    </row>
    <row r="390" spans="40:47" x14ac:dyDescent="0.3">
      <c r="AN390" s="57"/>
      <c r="AO390" s="57"/>
      <c r="AP390" s="57"/>
      <c r="AQ390" s="57"/>
      <c r="AR390" s="57"/>
      <c r="AS390" s="57"/>
      <c r="AT390" s="57"/>
      <c r="AU390" s="57"/>
    </row>
    <row r="391" spans="40:47" x14ac:dyDescent="0.3">
      <c r="AN391" s="57"/>
      <c r="AO391" s="57"/>
      <c r="AP391" s="57"/>
      <c r="AQ391" s="57"/>
      <c r="AR391" s="57"/>
      <c r="AS391" s="57"/>
      <c r="AT391" s="57"/>
      <c r="AU391" s="57"/>
    </row>
    <row r="392" spans="40:47" x14ac:dyDescent="0.3">
      <c r="AN392" s="57"/>
      <c r="AO392" s="57"/>
      <c r="AP392" s="57"/>
      <c r="AQ392" s="57"/>
      <c r="AR392" s="57"/>
      <c r="AS392" s="57"/>
      <c r="AT392" s="57"/>
      <c r="AU392" s="57"/>
    </row>
    <row r="393" spans="40:47" x14ac:dyDescent="0.3">
      <c r="AN393" s="57"/>
      <c r="AO393" s="57"/>
      <c r="AP393" s="57"/>
      <c r="AQ393" s="57"/>
      <c r="AR393" s="57"/>
      <c r="AS393" s="57"/>
      <c r="AT393" s="57"/>
      <c r="AU393" s="57"/>
    </row>
    <row r="394" spans="40:47" x14ac:dyDescent="0.3">
      <c r="AN394" s="57"/>
      <c r="AO394" s="57"/>
      <c r="AP394" s="57"/>
      <c r="AQ394" s="57"/>
      <c r="AR394" s="57"/>
      <c r="AS394" s="57"/>
      <c r="AT394" s="57"/>
      <c r="AU394" s="57"/>
    </row>
    <row r="395" spans="40:47" x14ac:dyDescent="0.3">
      <c r="AN395" s="57"/>
      <c r="AO395" s="57"/>
      <c r="AP395" s="57"/>
      <c r="AQ395" s="57"/>
      <c r="AR395" s="57"/>
      <c r="AS395" s="57"/>
      <c r="AT395" s="57"/>
      <c r="AU395" s="57"/>
    </row>
    <row r="396" spans="40:47" x14ac:dyDescent="0.3">
      <c r="AN396" s="57"/>
      <c r="AO396" s="57"/>
      <c r="AP396" s="57"/>
      <c r="AQ396" s="57"/>
      <c r="AR396" s="57"/>
      <c r="AS396" s="57"/>
      <c r="AT396" s="57"/>
      <c r="AU396" s="57"/>
    </row>
    <row r="397" spans="40:47" x14ac:dyDescent="0.3">
      <c r="AN397" s="57"/>
      <c r="AO397" s="57"/>
      <c r="AP397" s="57"/>
      <c r="AQ397" s="57"/>
      <c r="AR397" s="57"/>
      <c r="AS397" s="57"/>
      <c r="AT397" s="57"/>
      <c r="AU397" s="57"/>
    </row>
    <row r="398" spans="40:47" x14ac:dyDescent="0.3">
      <c r="AN398" s="57"/>
      <c r="AO398" s="57"/>
      <c r="AP398" s="57"/>
      <c r="AQ398" s="57"/>
      <c r="AR398" s="57"/>
      <c r="AS398" s="57"/>
      <c r="AT398" s="57"/>
      <c r="AU398" s="57"/>
    </row>
    <row r="399" spans="40:47" x14ac:dyDescent="0.3">
      <c r="AN399" s="57"/>
      <c r="AO399" s="57"/>
      <c r="AP399" s="57"/>
      <c r="AQ399" s="57"/>
      <c r="AR399" s="57"/>
      <c r="AS399" s="57"/>
      <c r="AT399" s="57"/>
      <c r="AU399" s="57"/>
    </row>
    <row r="400" spans="40:47" x14ac:dyDescent="0.3">
      <c r="AN400" s="57"/>
      <c r="AO400" s="57"/>
      <c r="AP400" s="57"/>
      <c r="AQ400" s="57"/>
      <c r="AR400" s="57"/>
      <c r="AS400" s="57"/>
      <c r="AT400" s="57"/>
      <c r="AU400" s="57"/>
    </row>
    <row r="401" spans="40:47" x14ac:dyDescent="0.3">
      <c r="AN401" s="57"/>
      <c r="AO401" s="57"/>
      <c r="AP401" s="57"/>
      <c r="AQ401" s="57"/>
      <c r="AR401" s="57"/>
      <c r="AS401" s="57"/>
      <c r="AT401" s="57"/>
      <c r="AU401" s="57"/>
    </row>
    <row r="402" spans="40:47" x14ac:dyDescent="0.3">
      <c r="AN402" s="57"/>
      <c r="AO402" s="57"/>
      <c r="AP402" s="57"/>
      <c r="AQ402" s="57"/>
      <c r="AR402" s="57"/>
      <c r="AS402" s="57"/>
      <c r="AT402" s="57"/>
      <c r="AU402" s="57"/>
    </row>
    <row r="403" spans="40:47" x14ac:dyDescent="0.3">
      <c r="AN403" s="57"/>
      <c r="AO403" s="57"/>
      <c r="AP403" s="57"/>
      <c r="AQ403" s="57"/>
      <c r="AR403" s="57"/>
      <c r="AS403" s="57"/>
      <c r="AT403" s="57"/>
      <c r="AU403" s="57"/>
    </row>
    <row r="404" spans="40:47" x14ac:dyDescent="0.3">
      <c r="AN404" s="57"/>
      <c r="AO404" s="57"/>
      <c r="AP404" s="57"/>
      <c r="AQ404" s="57"/>
      <c r="AR404" s="57"/>
      <c r="AS404" s="57"/>
      <c r="AT404" s="57"/>
      <c r="AU404" s="57"/>
    </row>
    <row r="405" spans="40:47" x14ac:dyDescent="0.3">
      <c r="AN405" s="57"/>
      <c r="AO405" s="57"/>
      <c r="AP405" s="57"/>
      <c r="AQ405" s="57"/>
      <c r="AR405" s="57"/>
      <c r="AS405" s="57"/>
      <c r="AT405" s="57"/>
      <c r="AU405" s="57"/>
    </row>
    <row r="406" spans="40:47" x14ac:dyDescent="0.3">
      <c r="AN406" s="57"/>
      <c r="AO406" s="57"/>
      <c r="AP406" s="57"/>
      <c r="AQ406" s="57"/>
      <c r="AR406" s="57"/>
      <c r="AS406" s="57"/>
      <c r="AT406" s="57"/>
      <c r="AU406" s="57"/>
    </row>
    <row r="407" spans="40:47" x14ac:dyDescent="0.3">
      <c r="AN407" s="57"/>
      <c r="AO407" s="57"/>
      <c r="AP407" s="57"/>
      <c r="AQ407" s="57"/>
      <c r="AR407" s="57"/>
      <c r="AS407" s="57"/>
      <c r="AT407" s="57"/>
      <c r="AU407" s="57"/>
    </row>
    <row r="408" spans="40:47" x14ac:dyDescent="0.3">
      <c r="AN408" s="57"/>
      <c r="AO408" s="57"/>
      <c r="AP408" s="57"/>
      <c r="AQ408" s="57"/>
      <c r="AR408" s="57"/>
      <c r="AS408" s="57"/>
      <c r="AT408" s="57"/>
      <c r="AU408" s="57"/>
    </row>
    <row r="409" spans="40:47" x14ac:dyDescent="0.3">
      <c r="AN409" s="57"/>
      <c r="AO409" s="57"/>
      <c r="AP409" s="57"/>
      <c r="AQ409" s="57"/>
      <c r="AR409" s="57"/>
      <c r="AS409" s="57"/>
      <c r="AT409" s="57"/>
      <c r="AU409" s="57"/>
    </row>
    <row r="410" spans="40:47" x14ac:dyDescent="0.3">
      <c r="AN410" s="57"/>
      <c r="AO410" s="57"/>
      <c r="AP410" s="57"/>
      <c r="AQ410" s="57"/>
      <c r="AR410" s="57"/>
      <c r="AS410" s="57"/>
      <c r="AT410" s="57"/>
      <c r="AU410" s="57"/>
    </row>
    <row r="411" spans="40:47" x14ac:dyDescent="0.3">
      <c r="AN411" s="57"/>
      <c r="AO411" s="57"/>
      <c r="AP411" s="57"/>
      <c r="AQ411" s="57"/>
      <c r="AR411" s="57"/>
      <c r="AS411" s="57"/>
      <c r="AT411" s="57"/>
      <c r="AU411" s="57"/>
    </row>
    <row r="412" spans="40:47" x14ac:dyDescent="0.3">
      <c r="AN412" s="57"/>
      <c r="AO412" s="57"/>
      <c r="AP412" s="57"/>
      <c r="AQ412" s="57"/>
      <c r="AR412" s="57"/>
      <c r="AS412" s="57"/>
      <c r="AT412" s="57"/>
      <c r="AU412" s="57"/>
    </row>
    <row r="413" spans="40:47" x14ac:dyDescent="0.3">
      <c r="AN413" s="57"/>
      <c r="AO413" s="57"/>
      <c r="AP413" s="57"/>
      <c r="AQ413" s="57"/>
      <c r="AR413" s="57"/>
      <c r="AS413" s="57"/>
      <c r="AT413" s="57"/>
      <c r="AU413" s="57"/>
    </row>
    <row r="414" spans="40:47" x14ac:dyDescent="0.3">
      <c r="AN414" s="57"/>
      <c r="AO414" s="57"/>
      <c r="AP414" s="57"/>
      <c r="AQ414" s="57"/>
      <c r="AR414" s="57"/>
      <c r="AS414" s="57"/>
      <c r="AT414" s="57"/>
      <c r="AU414" s="57"/>
    </row>
    <row r="415" spans="40:47" x14ac:dyDescent="0.3">
      <c r="AN415" s="57"/>
      <c r="AO415" s="57"/>
      <c r="AP415" s="57"/>
      <c r="AQ415" s="57"/>
      <c r="AR415" s="57"/>
      <c r="AS415" s="57"/>
      <c r="AT415" s="57"/>
      <c r="AU415" s="57"/>
    </row>
    <row r="416" spans="40:47" x14ac:dyDescent="0.3">
      <c r="AN416" s="57"/>
      <c r="AO416" s="57"/>
      <c r="AP416" s="57"/>
      <c r="AQ416" s="57"/>
      <c r="AR416" s="57"/>
      <c r="AS416" s="57"/>
      <c r="AT416" s="57"/>
      <c r="AU416" s="57"/>
    </row>
    <row r="417" spans="40:47" x14ac:dyDescent="0.3">
      <c r="AN417" s="57"/>
      <c r="AO417" s="57"/>
      <c r="AP417" s="57"/>
      <c r="AQ417" s="57"/>
      <c r="AR417" s="57"/>
      <c r="AS417" s="57"/>
      <c r="AT417" s="57"/>
      <c r="AU417" s="57"/>
    </row>
    <row r="418" spans="40:47" x14ac:dyDescent="0.3">
      <c r="AN418" s="57"/>
      <c r="AO418" s="57"/>
      <c r="AP418" s="57"/>
      <c r="AQ418" s="57"/>
      <c r="AR418" s="57"/>
      <c r="AS418" s="57"/>
      <c r="AT418" s="57"/>
      <c r="AU418" s="57"/>
    </row>
    <row r="419" spans="40:47" x14ac:dyDescent="0.3">
      <c r="AN419" s="57"/>
      <c r="AO419" s="57"/>
      <c r="AP419" s="57"/>
      <c r="AQ419" s="57"/>
      <c r="AR419" s="57"/>
      <c r="AS419" s="57"/>
      <c r="AT419" s="57"/>
      <c r="AU419" s="57"/>
    </row>
    <row r="420" spans="40:47" x14ac:dyDescent="0.3">
      <c r="AN420" s="57"/>
      <c r="AO420" s="57"/>
      <c r="AP420" s="57"/>
      <c r="AQ420" s="57"/>
      <c r="AR420" s="57"/>
      <c r="AS420" s="57"/>
      <c r="AT420" s="57"/>
      <c r="AU420" s="57"/>
    </row>
    <row r="421" spans="40:47" x14ac:dyDescent="0.3">
      <c r="AN421" s="57"/>
      <c r="AO421" s="57"/>
      <c r="AP421" s="57"/>
      <c r="AQ421" s="57"/>
      <c r="AR421" s="57"/>
      <c r="AS421" s="57"/>
      <c r="AT421" s="57"/>
      <c r="AU421" s="57"/>
    </row>
    <row r="422" spans="40:47" x14ac:dyDescent="0.3">
      <c r="AN422" s="57"/>
      <c r="AO422" s="57"/>
      <c r="AP422" s="57"/>
      <c r="AQ422" s="57"/>
      <c r="AR422" s="57"/>
      <c r="AS422" s="57"/>
      <c r="AT422" s="57"/>
      <c r="AU422" s="57"/>
    </row>
    <row r="423" spans="40:47" x14ac:dyDescent="0.3">
      <c r="AN423" s="57"/>
      <c r="AO423" s="57"/>
      <c r="AP423" s="57"/>
      <c r="AQ423" s="57"/>
      <c r="AR423" s="57"/>
      <c r="AS423" s="57"/>
      <c r="AT423" s="57"/>
      <c r="AU423" s="57"/>
    </row>
    <row r="424" spans="40:47" x14ac:dyDescent="0.3">
      <c r="AN424" s="57"/>
      <c r="AO424" s="57"/>
      <c r="AP424" s="57"/>
      <c r="AQ424" s="57"/>
      <c r="AR424" s="57"/>
      <c r="AS424" s="57"/>
      <c r="AT424" s="57"/>
      <c r="AU424" s="57"/>
    </row>
    <row r="425" spans="40:47" x14ac:dyDescent="0.3">
      <c r="AN425" s="57"/>
      <c r="AO425" s="57"/>
      <c r="AP425" s="57"/>
      <c r="AQ425" s="57"/>
      <c r="AR425" s="57"/>
      <c r="AS425" s="57"/>
      <c r="AT425" s="57"/>
      <c r="AU425" s="57"/>
    </row>
    <row r="426" spans="40:47" x14ac:dyDescent="0.3">
      <c r="AN426" s="57"/>
      <c r="AO426" s="57"/>
      <c r="AP426" s="57"/>
      <c r="AQ426" s="57"/>
      <c r="AR426" s="57"/>
      <c r="AS426" s="57"/>
      <c r="AT426" s="57"/>
      <c r="AU426" s="57"/>
    </row>
    <row r="427" spans="40:47" x14ac:dyDescent="0.3">
      <c r="AN427" s="57"/>
      <c r="AO427" s="57"/>
      <c r="AP427" s="57"/>
      <c r="AQ427" s="57"/>
      <c r="AR427" s="57"/>
      <c r="AS427" s="57"/>
      <c r="AT427" s="57"/>
      <c r="AU427" s="57"/>
    </row>
    <row r="428" spans="40:47" x14ac:dyDescent="0.3">
      <c r="AN428" s="57"/>
      <c r="AO428" s="57"/>
      <c r="AP428" s="57"/>
      <c r="AQ428" s="57"/>
      <c r="AR428" s="57"/>
      <c r="AS428" s="57"/>
      <c r="AT428" s="57"/>
      <c r="AU428" s="57"/>
    </row>
    <row r="429" spans="40:47" x14ac:dyDescent="0.3">
      <c r="AN429" s="57"/>
      <c r="AO429" s="57"/>
      <c r="AP429" s="57"/>
      <c r="AQ429" s="57"/>
      <c r="AR429" s="57"/>
      <c r="AS429" s="57"/>
      <c r="AT429" s="57"/>
      <c r="AU429" s="57"/>
    </row>
    <row r="430" spans="40:47" x14ac:dyDescent="0.3">
      <c r="AN430" s="57"/>
      <c r="AO430" s="57"/>
      <c r="AP430" s="57"/>
      <c r="AQ430" s="57"/>
      <c r="AR430" s="57"/>
      <c r="AS430" s="57"/>
      <c r="AT430" s="57"/>
      <c r="AU430" s="57"/>
    </row>
    <row r="431" spans="40:47" x14ac:dyDescent="0.3">
      <c r="AN431" s="57"/>
      <c r="AO431" s="57"/>
      <c r="AP431" s="57"/>
      <c r="AQ431" s="57"/>
      <c r="AR431" s="57"/>
      <c r="AS431" s="57"/>
      <c r="AT431" s="57"/>
      <c r="AU431" s="57"/>
    </row>
    <row r="432" spans="40:47" x14ac:dyDescent="0.3">
      <c r="AN432" s="57"/>
      <c r="AO432" s="57"/>
      <c r="AP432" s="57"/>
      <c r="AQ432" s="57"/>
      <c r="AR432" s="57"/>
      <c r="AS432" s="57"/>
      <c r="AT432" s="57"/>
      <c r="AU432" s="57"/>
    </row>
    <row r="433" spans="40:47" x14ac:dyDescent="0.3">
      <c r="AN433" s="57"/>
      <c r="AO433" s="57"/>
      <c r="AP433" s="57"/>
      <c r="AQ433" s="57"/>
      <c r="AR433" s="57"/>
      <c r="AS433" s="57"/>
      <c r="AT433" s="57"/>
      <c r="AU433" s="57"/>
    </row>
    <row r="434" spans="40:47" x14ac:dyDescent="0.3">
      <c r="AN434" s="57"/>
      <c r="AO434" s="57"/>
      <c r="AP434" s="57"/>
      <c r="AQ434" s="57"/>
      <c r="AR434" s="57"/>
      <c r="AS434" s="57"/>
      <c r="AT434" s="57"/>
      <c r="AU434" s="57"/>
    </row>
    <row r="435" spans="40:47" x14ac:dyDescent="0.3">
      <c r="AN435" s="57"/>
      <c r="AO435" s="57"/>
      <c r="AP435" s="57"/>
      <c r="AQ435" s="57"/>
      <c r="AR435" s="57"/>
      <c r="AS435" s="57"/>
      <c r="AT435" s="57"/>
      <c r="AU435" s="57"/>
    </row>
    <row r="436" spans="40:47" x14ac:dyDescent="0.3">
      <c r="AN436" s="57"/>
      <c r="AO436" s="57"/>
      <c r="AP436" s="57"/>
      <c r="AQ436" s="57"/>
      <c r="AR436" s="57"/>
      <c r="AS436" s="57"/>
      <c r="AT436" s="57"/>
      <c r="AU436" s="57"/>
    </row>
    <row r="437" spans="40:47" x14ac:dyDescent="0.3">
      <c r="AN437" s="57"/>
      <c r="AO437" s="57"/>
      <c r="AP437" s="57"/>
      <c r="AQ437" s="57"/>
      <c r="AR437" s="57"/>
      <c r="AS437" s="57"/>
      <c r="AT437" s="57"/>
      <c r="AU437" s="57"/>
    </row>
    <row r="438" spans="40:47" x14ac:dyDescent="0.3">
      <c r="AN438" s="56"/>
      <c r="AO438" s="57"/>
      <c r="AP438" s="57"/>
      <c r="AQ438" s="57"/>
      <c r="AR438" s="57"/>
      <c r="AS438" s="57"/>
      <c r="AT438" s="57"/>
      <c r="AU438" s="57"/>
    </row>
    <row r="439" spans="40:47" x14ac:dyDescent="0.3">
      <c r="AN439" s="56"/>
      <c r="AO439" s="57"/>
      <c r="AP439" s="57"/>
      <c r="AQ439" s="57"/>
      <c r="AR439" s="57"/>
      <c r="AS439" s="57"/>
      <c r="AT439" s="57"/>
      <c r="AU439" s="57"/>
    </row>
    <row r="440" spans="40:47" x14ac:dyDescent="0.3">
      <c r="AN440" s="56"/>
      <c r="AO440" s="57"/>
      <c r="AP440" s="57"/>
      <c r="AQ440" s="57"/>
      <c r="AR440" s="57"/>
      <c r="AS440" s="57"/>
      <c r="AT440" s="57"/>
      <c r="AU440" s="57"/>
    </row>
    <row r="441" spans="40:47" x14ac:dyDescent="0.3">
      <c r="AN441" s="56"/>
      <c r="AO441" s="57"/>
      <c r="AP441" s="57"/>
      <c r="AQ441" s="57"/>
      <c r="AR441" s="57"/>
      <c r="AS441" s="57"/>
      <c r="AT441" s="57"/>
      <c r="AU441" s="57"/>
    </row>
    <row r="442" spans="40:47" x14ac:dyDescent="0.3">
      <c r="AN442" s="56"/>
      <c r="AO442" s="57"/>
      <c r="AP442" s="57"/>
      <c r="AQ442" s="57"/>
      <c r="AR442" s="57"/>
      <c r="AS442" s="57"/>
      <c r="AT442" s="57"/>
      <c r="AU442" s="57"/>
    </row>
    <row r="443" spans="40:47" x14ac:dyDescent="0.3">
      <c r="AN443" s="56"/>
      <c r="AO443" s="57"/>
      <c r="AP443" s="57"/>
      <c r="AQ443" s="57"/>
      <c r="AR443" s="57"/>
      <c r="AS443" s="57"/>
      <c r="AT443" s="57"/>
      <c r="AU443" s="57"/>
    </row>
    <row r="444" spans="40:47" x14ac:dyDescent="0.3">
      <c r="AN444" s="56"/>
      <c r="AO444" s="57"/>
      <c r="AP444" s="57"/>
      <c r="AQ444" s="57"/>
      <c r="AR444" s="57"/>
      <c r="AS444" s="57"/>
      <c r="AT444" s="57"/>
      <c r="AU444" s="57"/>
    </row>
    <row r="445" spans="40:47" x14ac:dyDescent="0.3">
      <c r="AN445" s="56"/>
      <c r="AO445" s="57"/>
      <c r="AP445" s="57"/>
      <c r="AQ445" s="57"/>
      <c r="AR445" s="57"/>
      <c r="AS445" s="57"/>
      <c r="AT445" s="57"/>
      <c r="AU445" s="57"/>
    </row>
    <row r="446" spans="40:47" x14ac:dyDescent="0.3">
      <c r="AN446" s="56"/>
      <c r="AO446" s="57"/>
      <c r="AP446" s="57"/>
      <c r="AQ446" s="57"/>
      <c r="AR446" s="57"/>
      <c r="AS446" s="57"/>
      <c r="AT446" s="57"/>
      <c r="AU446" s="57"/>
    </row>
    <row r="447" spans="40:47" x14ac:dyDescent="0.3">
      <c r="AN447" s="56"/>
      <c r="AO447" s="57"/>
      <c r="AP447" s="57"/>
      <c r="AQ447" s="57"/>
      <c r="AR447" s="57"/>
      <c r="AS447" s="57"/>
      <c r="AT447" s="57"/>
      <c r="AU447" s="57"/>
    </row>
    <row r="448" spans="40:47" x14ac:dyDescent="0.3">
      <c r="AN448" s="56"/>
      <c r="AO448" s="57"/>
      <c r="AP448" s="57"/>
      <c r="AQ448" s="57"/>
      <c r="AR448" s="57"/>
      <c r="AS448" s="57"/>
      <c r="AT448" s="57"/>
      <c r="AU448" s="57"/>
    </row>
    <row r="449" spans="40:47" x14ac:dyDescent="0.3">
      <c r="AN449" s="56"/>
      <c r="AO449" s="57"/>
      <c r="AP449" s="57"/>
      <c r="AQ449" s="57"/>
      <c r="AR449" s="57"/>
      <c r="AS449" s="57"/>
      <c r="AT449" s="57"/>
      <c r="AU449" s="57"/>
    </row>
    <row r="450" spans="40:47" x14ac:dyDescent="0.3">
      <c r="AN450" s="56"/>
      <c r="AO450" s="57"/>
      <c r="AP450" s="57"/>
      <c r="AQ450" s="57"/>
      <c r="AR450" s="57"/>
      <c r="AS450" s="57"/>
      <c r="AT450" s="57"/>
      <c r="AU450" s="57"/>
    </row>
    <row r="451" spans="40:47" x14ac:dyDescent="0.3">
      <c r="AN451" s="56"/>
      <c r="AO451" s="57"/>
      <c r="AP451" s="57"/>
      <c r="AQ451" s="57"/>
      <c r="AR451" s="57"/>
      <c r="AS451" s="57"/>
      <c r="AT451" s="57"/>
      <c r="AU451" s="57"/>
    </row>
    <row r="452" spans="40:47" x14ac:dyDescent="0.3">
      <c r="AN452" s="56"/>
      <c r="AO452" s="57"/>
      <c r="AP452" s="57"/>
      <c r="AQ452" s="57"/>
      <c r="AR452" s="57"/>
      <c r="AS452" s="57"/>
      <c r="AT452" s="57"/>
      <c r="AU452" s="57"/>
    </row>
    <row r="453" spans="40:47" x14ac:dyDescent="0.3">
      <c r="AN453" s="56"/>
      <c r="AO453" s="57"/>
      <c r="AP453" s="57"/>
      <c r="AQ453" s="57"/>
      <c r="AR453" s="57"/>
      <c r="AS453" s="57"/>
      <c r="AT453" s="57"/>
      <c r="AU453" s="57"/>
    </row>
    <row r="454" spans="40:47" x14ac:dyDescent="0.3">
      <c r="AN454" s="56"/>
      <c r="AO454" s="57"/>
      <c r="AP454" s="57"/>
      <c r="AQ454" s="57"/>
      <c r="AR454" s="57"/>
      <c r="AS454" s="57"/>
      <c r="AT454" s="57"/>
      <c r="AU454" s="57"/>
    </row>
    <row r="455" spans="40:47" x14ac:dyDescent="0.3">
      <c r="AN455" s="56"/>
      <c r="AO455" s="57"/>
      <c r="AP455" s="57"/>
      <c r="AQ455" s="57"/>
      <c r="AR455" s="57"/>
      <c r="AS455" s="57"/>
      <c r="AT455" s="57"/>
      <c r="AU455" s="57"/>
    </row>
    <row r="456" spans="40:47" x14ac:dyDescent="0.3">
      <c r="AN456" s="56"/>
      <c r="AO456" s="57"/>
      <c r="AP456" s="57"/>
      <c r="AQ456" s="57"/>
      <c r="AR456" s="57"/>
      <c r="AS456" s="57"/>
      <c r="AT456" s="57"/>
      <c r="AU456" s="57"/>
    </row>
    <row r="457" spans="40:47" x14ac:dyDescent="0.3">
      <c r="AN457" s="56"/>
      <c r="AO457" s="57"/>
      <c r="AP457" s="57"/>
      <c r="AQ457" s="57"/>
      <c r="AR457" s="57"/>
      <c r="AS457" s="57"/>
      <c r="AT457" s="57"/>
      <c r="AU457" s="57"/>
    </row>
    <row r="458" spans="40:47" x14ac:dyDescent="0.3">
      <c r="AN458" s="56"/>
      <c r="AO458" s="57"/>
      <c r="AP458" s="57"/>
      <c r="AQ458" s="57"/>
      <c r="AR458" s="57"/>
      <c r="AS458" s="57"/>
      <c r="AT458" s="57"/>
      <c r="AU458" s="57"/>
    </row>
    <row r="459" spans="40:47" x14ac:dyDescent="0.3">
      <c r="AN459" s="56"/>
      <c r="AO459" s="57"/>
      <c r="AP459" s="57"/>
      <c r="AQ459" s="57"/>
      <c r="AR459" s="57"/>
      <c r="AS459" s="57"/>
      <c r="AT459" s="57"/>
      <c r="AU459" s="57"/>
    </row>
    <row r="460" spans="40:47" x14ac:dyDescent="0.3">
      <c r="AN460" s="56"/>
      <c r="AO460" s="57"/>
      <c r="AP460" s="57"/>
      <c r="AQ460" s="57"/>
      <c r="AR460" s="57"/>
      <c r="AS460" s="57"/>
      <c r="AT460" s="57"/>
      <c r="AU460" s="57"/>
    </row>
    <row r="461" spans="40:47" x14ac:dyDescent="0.3">
      <c r="AN461" s="56"/>
      <c r="AO461" s="57"/>
      <c r="AP461" s="57"/>
      <c r="AQ461" s="57"/>
      <c r="AR461" s="57"/>
      <c r="AS461" s="57"/>
      <c r="AT461" s="57"/>
      <c r="AU461" s="57"/>
    </row>
    <row r="462" spans="40:47" x14ac:dyDescent="0.3">
      <c r="AN462" s="56"/>
      <c r="AO462" s="57"/>
      <c r="AP462" s="57"/>
      <c r="AQ462" s="57"/>
      <c r="AR462" s="57"/>
      <c r="AS462" s="57"/>
      <c r="AT462" s="57"/>
      <c r="AU462" s="57"/>
    </row>
    <row r="463" spans="40:47" x14ac:dyDescent="0.3">
      <c r="AN463" s="56"/>
      <c r="AO463" s="57"/>
      <c r="AP463" s="57"/>
      <c r="AQ463" s="57"/>
      <c r="AR463" s="57"/>
      <c r="AS463" s="57"/>
      <c r="AT463" s="57"/>
      <c r="AU463" s="57"/>
    </row>
    <row r="464" spans="40:47" x14ac:dyDescent="0.3">
      <c r="AN464" s="56"/>
      <c r="AO464" s="57"/>
      <c r="AP464" s="57"/>
      <c r="AQ464" s="57"/>
      <c r="AR464" s="57"/>
      <c r="AS464" s="57"/>
      <c r="AT464" s="57"/>
      <c r="AU464" s="57"/>
    </row>
    <row r="465" spans="40:47" x14ac:dyDescent="0.3">
      <c r="AN465" s="56"/>
      <c r="AO465" s="57"/>
      <c r="AP465" s="57"/>
      <c r="AQ465" s="57"/>
      <c r="AR465" s="57"/>
      <c r="AS465" s="57"/>
      <c r="AT465" s="57"/>
      <c r="AU465" s="57"/>
    </row>
    <row r="466" spans="40:47" x14ac:dyDescent="0.3">
      <c r="AN466" s="56"/>
      <c r="AO466" s="57"/>
      <c r="AP466" s="57"/>
      <c r="AQ466" s="57"/>
      <c r="AR466" s="57"/>
      <c r="AS466" s="57"/>
      <c r="AT466" s="57"/>
      <c r="AU466" s="57"/>
    </row>
    <row r="467" spans="40:47" x14ac:dyDescent="0.3">
      <c r="AN467" s="56"/>
      <c r="AO467" s="57"/>
      <c r="AP467" s="57"/>
      <c r="AQ467" s="57"/>
      <c r="AR467" s="57"/>
      <c r="AS467" s="57"/>
      <c r="AT467" s="57"/>
      <c r="AU467" s="57"/>
    </row>
    <row r="468" spans="40:47" x14ac:dyDescent="0.3">
      <c r="AN468" s="56"/>
      <c r="AO468" s="57"/>
      <c r="AP468" s="57"/>
      <c r="AQ468" s="57"/>
      <c r="AR468" s="57"/>
      <c r="AS468" s="57"/>
      <c r="AT468" s="57"/>
      <c r="AU468" s="57"/>
    </row>
    <row r="469" spans="40:47" x14ac:dyDescent="0.3">
      <c r="AN469" s="56"/>
      <c r="AO469" s="57"/>
      <c r="AP469" s="57"/>
      <c r="AQ469" s="57"/>
      <c r="AR469" s="57"/>
      <c r="AS469" s="57"/>
      <c r="AT469" s="57"/>
      <c r="AU469" s="57"/>
    </row>
    <row r="470" spans="40:47" x14ac:dyDescent="0.3">
      <c r="AN470" s="56"/>
      <c r="AO470" s="57"/>
      <c r="AP470" s="57"/>
      <c r="AQ470" s="57"/>
      <c r="AR470" s="57"/>
      <c r="AS470" s="57"/>
      <c r="AT470" s="57"/>
      <c r="AU470" s="57"/>
    </row>
    <row r="471" spans="40:47" x14ac:dyDescent="0.3">
      <c r="AN471" s="56"/>
      <c r="AO471" s="57"/>
      <c r="AP471" s="57"/>
      <c r="AQ471" s="57"/>
      <c r="AR471" s="57"/>
      <c r="AS471" s="57"/>
      <c r="AT471" s="57"/>
      <c r="AU471" s="57"/>
    </row>
    <row r="472" spans="40:47" x14ac:dyDescent="0.3">
      <c r="AN472" s="56"/>
      <c r="AO472" s="57"/>
      <c r="AP472" s="57"/>
      <c r="AQ472" s="57"/>
      <c r="AR472" s="57"/>
      <c r="AS472" s="57"/>
      <c r="AT472" s="57"/>
      <c r="AU472" s="57"/>
    </row>
    <row r="473" spans="40:47" x14ac:dyDescent="0.3">
      <c r="AN473" s="56"/>
      <c r="AO473" s="57"/>
      <c r="AP473" s="57"/>
      <c r="AQ473" s="57"/>
      <c r="AR473" s="57"/>
      <c r="AS473" s="57"/>
      <c r="AT473" s="57"/>
      <c r="AU473" s="57"/>
    </row>
    <row r="474" spans="40:47" x14ac:dyDescent="0.3">
      <c r="AN474" s="56"/>
      <c r="AO474" s="57"/>
      <c r="AP474" s="57"/>
      <c r="AQ474" s="57"/>
      <c r="AR474" s="57"/>
      <c r="AS474" s="57"/>
      <c r="AT474" s="57"/>
      <c r="AU474" s="57"/>
    </row>
    <row r="475" spans="40:47" x14ac:dyDescent="0.3">
      <c r="AN475" s="56"/>
      <c r="AO475" s="57"/>
      <c r="AP475" s="57"/>
      <c r="AQ475" s="57"/>
      <c r="AR475" s="57"/>
      <c r="AS475" s="57"/>
      <c r="AT475" s="57"/>
      <c r="AU475" s="57"/>
    </row>
    <row r="476" spans="40:47" x14ac:dyDescent="0.3">
      <c r="AN476" s="56"/>
      <c r="AO476" s="57"/>
      <c r="AP476" s="57"/>
      <c r="AQ476" s="57"/>
      <c r="AR476" s="57"/>
      <c r="AS476" s="57"/>
      <c r="AT476" s="57"/>
      <c r="AU476" s="57"/>
    </row>
    <row r="477" spans="40:47" x14ac:dyDescent="0.3">
      <c r="AN477" s="56"/>
      <c r="AO477" s="57"/>
      <c r="AP477" s="57"/>
      <c r="AQ477" s="57"/>
      <c r="AR477" s="57"/>
      <c r="AS477" s="57"/>
      <c r="AT477" s="57"/>
      <c r="AU477" s="57"/>
    </row>
    <row r="478" spans="40:47" x14ac:dyDescent="0.3">
      <c r="AN478" s="56"/>
      <c r="AO478" s="57"/>
      <c r="AP478" s="57"/>
      <c r="AQ478" s="57"/>
      <c r="AR478" s="57"/>
      <c r="AS478" s="57"/>
      <c r="AT478" s="57"/>
      <c r="AU478" s="57"/>
    </row>
    <row r="479" spans="40:47" x14ac:dyDescent="0.3">
      <c r="AN479" s="56"/>
      <c r="AO479" s="57"/>
      <c r="AP479" s="57"/>
      <c r="AQ479" s="57"/>
      <c r="AR479" s="57"/>
      <c r="AS479" s="57"/>
      <c r="AT479" s="57"/>
      <c r="AU479" s="57"/>
    </row>
    <row r="480" spans="40:47" x14ac:dyDescent="0.3">
      <c r="AN480" s="56"/>
      <c r="AO480" s="57"/>
      <c r="AP480" s="57"/>
      <c r="AQ480" s="57"/>
      <c r="AR480" s="57"/>
      <c r="AS480" s="57"/>
      <c r="AT480" s="57"/>
      <c r="AU480" s="57"/>
    </row>
    <row r="481" spans="40:47" x14ac:dyDescent="0.3">
      <c r="AN481" s="56"/>
      <c r="AO481" s="57"/>
      <c r="AP481" s="57"/>
      <c r="AQ481" s="57"/>
      <c r="AR481" s="57"/>
      <c r="AS481" s="57"/>
      <c r="AT481" s="57"/>
      <c r="AU481" s="57"/>
    </row>
    <row r="482" spans="40:47" x14ac:dyDescent="0.3">
      <c r="AN482" s="56"/>
      <c r="AO482" s="57"/>
      <c r="AP482" s="57"/>
      <c r="AQ482" s="57"/>
      <c r="AR482" s="57"/>
      <c r="AS482" s="57"/>
      <c r="AT482" s="57"/>
      <c r="AU482" s="57"/>
    </row>
    <row r="483" spans="40:47" x14ac:dyDescent="0.3">
      <c r="AN483" s="56"/>
      <c r="AO483" s="57"/>
      <c r="AP483" s="57"/>
      <c r="AQ483" s="57"/>
      <c r="AR483" s="57"/>
      <c r="AS483" s="57"/>
      <c r="AT483" s="57"/>
      <c r="AU483" s="57"/>
    </row>
    <row r="484" spans="40:47" x14ac:dyDescent="0.3">
      <c r="AN484" s="56"/>
      <c r="AO484" s="57"/>
      <c r="AP484" s="57"/>
      <c r="AQ484" s="57"/>
      <c r="AR484" s="57"/>
      <c r="AS484" s="57"/>
      <c r="AT484" s="57"/>
      <c r="AU484" s="57"/>
    </row>
    <row r="485" spans="40:47" x14ac:dyDescent="0.3">
      <c r="AN485" s="56"/>
      <c r="AO485" s="57"/>
      <c r="AP485" s="57"/>
      <c r="AQ485" s="57"/>
      <c r="AR485" s="57"/>
      <c r="AS485" s="57"/>
      <c r="AT485" s="57"/>
      <c r="AU485" s="57"/>
    </row>
    <row r="486" spans="40:47" x14ac:dyDescent="0.3">
      <c r="AN486" s="56"/>
      <c r="AO486" s="57"/>
      <c r="AP486" s="57"/>
      <c r="AQ486" s="57"/>
      <c r="AR486" s="57"/>
      <c r="AS486" s="57"/>
      <c r="AT486" s="57"/>
      <c r="AU486" s="57"/>
    </row>
    <row r="487" spans="40:47" x14ac:dyDescent="0.3">
      <c r="AN487" s="56"/>
      <c r="AO487" s="57"/>
      <c r="AP487" s="57"/>
      <c r="AQ487" s="57"/>
      <c r="AR487" s="57"/>
      <c r="AS487" s="57"/>
      <c r="AT487" s="57"/>
      <c r="AU487" s="57"/>
    </row>
    <row r="488" spans="40:47" x14ac:dyDescent="0.3">
      <c r="AN488" s="56"/>
      <c r="AO488" s="57"/>
      <c r="AP488" s="57"/>
      <c r="AQ488" s="57"/>
      <c r="AR488" s="57"/>
      <c r="AS488" s="57"/>
      <c r="AT488" s="57"/>
      <c r="AU488" s="57"/>
    </row>
    <row r="489" spans="40:47" x14ac:dyDescent="0.3">
      <c r="AN489" s="56"/>
      <c r="AO489" s="57"/>
      <c r="AP489" s="57"/>
      <c r="AQ489" s="57"/>
      <c r="AR489" s="57"/>
      <c r="AS489" s="57"/>
      <c r="AT489" s="57"/>
      <c r="AU489" s="57"/>
    </row>
    <row r="490" spans="40:47" x14ac:dyDescent="0.3">
      <c r="AN490" s="56"/>
      <c r="AO490" s="57"/>
      <c r="AP490" s="57"/>
      <c r="AQ490" s="57"/>
      <c r="AR490" s="57"/>
      <c r="AS490" s="57"/>
      <c r="AT490" s="57"/>
      <c r="AU490" s="57"/>
    </row>
    <row r="491" spans="40:47" x14ac:dyDescent="0.3">
      <c r="AN491" s="56"/>
      <c r="AO491" s="57"/>
      <c r="AP491" s="57"/>
      <c r="AQ491" s="57"/>
      <c r="AR491" s="57"/>
      <c r="AS491" s="57"/>
      <c r="AT491" s="57"/>
      <c r="AU491" s="57"/>
    </row>
    <row r="492" spans="40:47" x14ac:dyDescent="0.3">
      <c r="AN492" s="56"/>
      <c r="AO492" s="57"/>
      <c r="AP492" s="57"/>
      <c r="AQ492" s="57"/>
      <c r="AR492" s="57"/>
      <c r="AS492" s="57"/>
      <c r="AT492" s="57"/>
      <c r="AU492" s="57"/>
    </row>
    <row r="493" spans="40:47" x14ac:dyDescent="0.3">
      <c r="AN493" s="56"/>
      <c r="AO493" s="57"/>
      <c r="AP493" s="57"/>
      <c r="AQ493" s="57"/>
      <c r="AR493" s="57"/>
      <c r="AS493" s="57"/>
      <c r="AT493" s="57"/>
      <c r="AU493" s="57"/>
    </row>
    <row r="494" spans="40:47" x14ac:dyDescent="0.3">
      <c r="AN494" s="56"/>
      <c r="AO494" s="57"/>
      <c r="AP494" s="57"/>
      <c r="AQ494" s="57"/>
      <c r="AR494" s="57"/>
      <c r="AS494" s="57"/>
      <c r="AT494" s="57"/>
      <c r="AU494" s="57"/>
    </row>
    <row r="495" spans="40:47" x14ac:dyDescent="0.3">
      <c r="AN495" s="56"/>
      <c r="AO495" s="57"/>
      <c r="AP495" s="57"/>
      <c r="AQ495" s="57"/>
      <c r="AR495" s="57"/>
      <c r="AS495" s="57"/>
      <c r="AT495" s="57"/>
      <c r="AU495" s="57"/>
    </row>
    <row r="496" spans="40:47" x14ac:dyDescent="0.3">
      <c r="AN496" s="56"/>
      <c r="AO496" s="57"/>
      <c r="AP496" s="57"/>
      <c r="AQ496" s="57"/>
      <c r="AR496" s="57"/>
      <c r="AS496" s="57"/>
      <c r="AT496" s="57"/>
      <c r="AU496" s="57"/>
    </row>
    <row r="497" spans="40:47" x14ac:dyDescent="0.3">
      <c r="AN497" s="56"/>
      <c r="AO497" s="57"/>
      <c r="AP497" s="57"/>
      <c r="AQ497" s="57"/>
      <c r="AR497" s="57"/>
      <c r="AS497" s="57"/>
      <c r="AT497" s="57"/>
      <c r="AU497" s="57"/>
    </row>
    <row r="498" spans="40:47" x14ac:dyDescent="0.3">
      <c r="AN498" s="56"/>
      <c r="AO498" s="57"/>
      <c r="AP498" s="57"/>
      <c r="AQ498" s="57"/>
      <c r="AR498" s="57"/>
      <c r="AS498" s="57"/>
      <c r="AT498" s="57"/>
      <c r="AU498" s="57"/>
    </row>
    <row r="499" spans="40:47" x14ac:dyDescent="0.3">
      <c r="AN499" s="56"/>
      <c r="AO499" s="57"/>
      <c r="AP499" s="57"/>
      <c r="AQ499" s="57"/>
      <c r="AR499" s="57"/>
      <c r="AS499" s="57"/>
      <c r="AT499" s="57"/>
      <c r="AU499" s="57"/>
    </row>
    <row r="500" spans="40:47" x14ac:dyDescent="0.3">
      <c r="AN500" s="57"/>
      <c r="AO500" s="57"/>
      <c r="AP500" s="57"/>
      <c r="AQ500" s="57"/>
      <c r="AR500" s="57"/>
      <c r="AS500" s="57"/>
      <c r="AT500" s="57"/>
      <c r="AU500" s="57"/>
    </row>
    <row r="501" spans="40:47" x14ac:dyDescent="0.3">
      <c r="AN501" s="57"/>
      <c r="AO501" s="57"/>
      <c r="AP501" s="57"/>
      <c r="AQ501" s="57"/>
      <c r="AR501" s="57"/>
      <c r="AS501" s="57"/>
      <c r="AT501" s="57"/>
      <c r="AU501" s="57"/>
    </row>
    <row r="502" spans="40:47" x14ac:dyDescent="0.3">
      <c r="AN502" s="57"/>
      <c r="AO502" s="57"/>
      <c r="AP502" s="57"/>
      <c r="AQ502" s="57"/>
      <c r="AR502" s="57"/>
      <c r="AS502" s="57"/>
      <c r="AT502" s="57"/>
      <c r="AU502" s="57"/>
    </row>
    <row r="503" spans="40:47" x14ac:dyDescent="0.3">
      <c r="AN503" s="57"/>
      <c r="AO503" s="57"/>
      <c r="AP503" s="57"/>
      <c r="AQ503" s="57"/>
      <c r="AR503" s="57"/>
      <c r="AS503" s="57"/>
      <c r="AT503" s="57"/>
      <c r="AU503" s="57"/>
    </row>
    <row r="504" spans="40:47" x14ac:dyDescent="0.3">
      <c r="AN504" s="57"/>
      <c r="AO504" s="57"/>
      <c r="AP504" s="57"/>
      <c r="AQ504" s="57"/>
      <c r="AR504" s="57"/>
      <c r="AS504" s="57"/>
      <c r="AT504" s="57"/>
      <c r="AU504" s="57"/>
    </row>
    <row r="505" spans="40:47" x14ac:dyDescent="0.3">
      <c r="AN505" s="57"/>
      <c r="AO505" s="57"/>
      <c r="AP505" s="57"/>
      <c r="AQ505" s="57"/>
      <c r="AR505" s="57"/>
      <c r="AS505" s="57"/>
      <c r="AT505" s="57"/>
      <c r="AU505" s="57"/>
    </row>
    <row r="506" spans="40:47" x14ac:dyDescent="0.3">
      <c r="AN506" s="57"/>
      <c r="AO506" s="57"/>
      <c r="AP506" s="57"/>
      <c r="AQ506" s="57"/>
      <c r="AR506" s="57"/>
      <c r="AS506" s="57"/>
      <c r="AT506" s="57"/>
      <c r="AU506" s="57"/>
    </row>
    <row r="507" spans="40:47" x14ac:dyDescent="0.3">
      <c r="AN507" s="57"/>
      <c r="AO507" s="57"/>
      <c r="AP507" s="57"/>
      <c r="AQ507" s="57"/>
      <c r="AR507" s="57"/>
      <c r="AS507" s="57"/>
      <c r="AT507" s="57"/>
      <c r="AU507" s="57"/>
    </row>
    <row r="508" spans="40:47" x14ac:dyDescent="0.3">
      <c r="AN508" s="57"/>
      <c r="AO508" s="57"/>
      <c r="AP508" s="57"/>
      <c r="AQ508" s="57"/>
      <c r="AR508" s="57"/>
      <c r="AS508" s="57"/>
      <c r="AT508" s="57"/>
      <c r="AU508" s="57"/>
    </row>
    <row r="509" spans="40:47" x14ac:dyDescent="0.3">
      <c r="AN509" s="57"/>
      <c r="AO509" s="57"/>
      <c r="AP509" s="57"/>
      <c r="AQ509" s="57"/>
      <c r="AR509" s="57"/>
      <c r="AS509" s="57"/>
      <c r="AT509" s="57"/>
      <c r="AU509" s="57"/>
    </row>
    <row r="510" spans="40:47" x14ac:dyDescent="0.3">
      <c r="AN510" s="57"/>
      <c r="AO510" s="57"/>
      <c r="AP510" s="57"/>
      <c r="AQ510" s="57"/>
      <c r="AR510" s="57"/>
      <c r="AS510" s="57"/>
      <c r="AT510" s="57"/>
      <c r="AU510" s="57"/>
    </row>
    <row r="511" spans="40:47" x14ac:dyDescent="0.3">
      <c r="AN511" s="57"/>
      <c r="AO511" s="57"/>
      <c r="AP511" s="57"/>
      <c r="AQ511" s="57"/>
      <c r="AR511" s="57"/>
      <c r="AS511" s="57"/>
      <c r="AT511" s="57"/>
      <c r="AU511" s="57"/>
    </row>
    <row r="512" spans="40:47" x14ac:dyDescent="0.3">
      <c r="AN512" s="57"/>
      <c r="AO512" s="57"/>
      <c r="AP512" s="57"/>
      <c r="AQ512" s="57"/>
      <c r="AR512" s="57"/>
      <c r="AS512" s="57"/>
      <c r="AT512" s="57"/>
      <c r="AU512" s="57"/>
    </row>
    <row r="513" spans="40:47" x14ac:dyDescent="0.3">
      <c r="AN513" s="57"/>
      <c r="AO513" s="57"/>
      <c r="AP513" s="57"/>
      <c r="AQ513" s="57"/>
      <c r="AR513" s="57"/>
      <c r="AS513" s="57"/>
      <c r="AT513" s="57"/>
      <c r="AU513" s="57"/>
    </row>
    <row r="514" spans="40:47" x14ac:dyDescent="0.3">
      <c r="AN514" s="57"/>
      <c r="AO514" s="57"/>
      <c r="AP514" s="57"/>
      <c r="AQ514" s="57"/>
      <c r="AR514" s="57"/>
      <c r="AS514" s="57"/>
      <c r="AT514" s="57"/>
      <c r="AU514" s="57"/>
    </row>
    <row r="515" spans="40:47" x14ac:dyDescent="0.3">
      <c r="AN515" s="57"/>
      <c r="AO515" s="57"/>
      <c r="AP515" s="57"/>
      <c r="AQ515" s="57"/>
      <c r="AR515" s="57"/>
      <c r="AS515" s="57"/>
      <c r="AT515" s="57"/>
      <c r="AU515" s="57"/>
    </row>
    <row r="516" spans="40:47" x14ac:dyDescent="0.3">
      <c r="AN516" s="57"/>
      <c r="AO516" s="57"/>
      <c r="AP516" s="57"/>
      <c r="AQ516" s="57"/>
      <c r="AR516" s="57"/>
      <c r="AS516" s="57"/>
      <c r="AT516" s="57"/>
      <c r="AU516" s="57"/>
    </row>
    <row r="517" spans="40:47" x14ac:dyDescent="0.3">
      <c r="AN517" s="57"/>
      <c r="AO517" s="57"/>
      <c r="AP517" s="57"/>
      <c r="AQ517" s="57"/>
      <c r="AR517" s="57"/>
      <c r="AS517" s="57"/>
      <c r="AT517" s="57"/>
      <c r="AU517" s="57"/>
    </row>
    <row r="518" spans="40:47" x14ac:dyDescent="0.3">
      <c r="AN518" s="57"/>
      <c r="AO518" s="57"/>
      <c r="AP518" s="57"/>
      <c r="AQ518" s="57"/>
      <c r="AR518" s="57"/>
      <c r="AS518" s="57"/>
      <c r="AT518" s="57"/>
      <c r="AU518" s="57"/>
    </row>
    <row r="519" spans="40:47" x14ac:dyDescent="0.3">
      <c r="AN519" s="57"/>
      <c r="AO519" s="57"/>
      <c r="AP519" s="57"/>
      <c r="AQ519" s="57"/>
      <c r="AR519" s="57"/>
      <c r="AS519" s="57"/>
      <c r="AT519" s="57"/>
      <c r="AU519" s="57"/>
    </row>
    <row r="520" spans="40:47" x14ac:dyDescent="0.3">
      <c r="AN520" s="57"/>
      <c r="AO520" s="57"/>
      <c r="AP520" s="57"/>
      <c r="AQ520" s="57"/>
      <c r="AR520" s="57"/>
      <c r="AS520" s="57"/>
      <c r="AT520" s="57"/>
      <c r="AU520" s="57"/>
    </row>
    <row r="521" spans="40:47" x14ac:dyDescent="0.3">
      <c r="AN521" s="57"/>
      <c r="AO521" s="57"/>
      <c r="AP521" s="57"/>
      <c r="AQ521" s="57"/>
      <c r="AR521" s="57"/>
      <c r="AS521" s="57"/>
      <c r="AT521" s="57"/>
      <c r="AU521" s="57"/>
    </row>
    <row r="522" spans="40:47" x14ac:dyDescent="0.3">
      <c r="AN522" s="57"/>
      <c r="AO522" s="57"/>
      <c r="AP522" s="57"/>
      <c r="AQ522" s="57"/>
      <c r="AR522" s="57"/>
      <c r="AS522" s="57"/>
      <c r="AT522" s="57"/>
      <c r="AU522" s="57"/>
    </row>
    <row r="523" spans="40:47" x14ac:dyDescent="0.3">
      <c r="AN523" s="57"/>
      <c r="AO523" s="57"/>
      <c r="AP523" s="57"/>
      <c r="AQ523" s="57"/>
      <c r="AR523" s="57"/>
      <c r="AS523" s="57"/>
      <c r="AT523" s="57"/>
      <c r="AU523" s="57"/>
    </row>
    <row r="524" spans="40:47" x14ac:dyDescent="0.3">
      <c r="AN524" s="57"/>
      <c r="AO524" s="57"/>
      <c r="AP524" s="57"/>
      <c r="AQ524" s="57"/>
      <c r="AR524" s="57"/>
      <c r="AS524" s="57"/>
      <c r="AT524" s="57"/>
      <c r="AU524" s="57"/>
    </row>
    <row r="525" spans="40:47" x14ac:dyDescent="0.3">
      <c r="AN525" s="57"/>
      <c r="AO525" s="57"/>
      <c r="AP525" s="57"/>
      <c r="AQ525" s="57"/>
      <c r="AR525" s="57"/>
      <c r="AS525" s="57"/>
      <c r="AT525" s="57"/>
      <c r="AU525" s="57"/>
    </row>
    <row r="526" spans="40:47" x14ac:dyDescent="0.3">
      <c r="AN526" s="57"/>
      <c r="AO526" s="57"/>
      <c r="AP526" s="57"/>
      <c r="AQ526" s="57"/>
      <c r="AR526" s="57"/>
      <c r="AS526" s="57"/>
      <c r="AT526" s="57"/>
      <c r="AU526" s="57"/>
    </row>
    <row r="527" spans="40:47" x14ac:dyDescent="0.3">
      <c r="AN527" s="57"/>
      <c r="AO527" s="57"/>
      <c r="AP527" s="57"/>
      <c r="AQ527" s="57"/>
      <c r="AR527" s="57"/>
      <c r="AS527" s="57"/>
      <c r="AT527" s="57"/>
      <c r="AU527" s="57"/>
    </row>
    <row r="528" spans="40:47" x14ac:dyDescent="0.3">
      <c r="AN528" s="57"/>
      <c r="AO528" s="57"/>
      <c r="AP528" s="57"/>
      <c r="AQ528" s="57"/>
      <c r="AR528" s="57"/>
      <c r="AS528" s="57"/>
      <c r="AT528" s="57"/>
      <c r="AU528" s="57"/>
    </row>
    <row r="529" spans="40:47" x14ac:dyDescent="0.3">
      <c r="AN529" s="57"/>
      <c r="AO529" s="57"/>
      <c r="AP529" s="57"/>
      <c r="AQ529" s="57"/>
      <c r="AR529" s="57"/>
      <c r="AS529" s="57"/>
      <c r="AT529" s="57"/>
      <c r="AU529" s="57"/>
    </row>
    <row r="530" spans="40:47" x14ac:dyDescent="0.3">
      <c r="AN530" s="57"/>
      <c r="AO530" s="57"/>
      <c r="AP530" s="57"/>
      <c r="AQ530" s="57"/>
      <c r="AR530" s="57"/>
      <c r="AS530" s="57"/>
      <c r="AT530" s="57"/>
      <c r="AU530" s="57"/>
    </row>
    <row r="531" spans="40:47" x14ac:dyDescent="0.3">
      <c r="AN531" s="57"/>
      <c r="AO531" s="57"/>
      <c r="AP531" s="57"/>
      <c r="AQ531" s="57"/>
      <c r="AR531" s="57"/>
      <c r="AS531" s="57"/>
      <c r="AT531" s="57"/>
      <c r="AU531" s="57"/>
    </row>
    <row r="532" spans="40:47" x14ac:dyDescent="0.3">
      <c r="AN532" s="57"/>
      <c r="AO532" s="57"/>
      <c r="AP532" s="57"/>
      <c r="AQ532" s="57"/>
      <c r="AR532" s="57"/>
      <c r="AS532" s="57"/>
      <c r="AT532" s="57"/>
      <c r="AU532" s="57"/>
    </row>
    <row r="533" spans="40:47" x14ac:dyDescent="0.3">
      <c r="AN533" s="57"/>
      <c r="AO533" s="57"/>
      <c r="AP533" s="57"/>
      <c r="AQ533" s="57"/>
      <c r="AR533" s="57"/>
      <c r="AS533" s="57"/>
      <c r="AT533" s="57"/>
      <c r="AU533" s="57"/>
    </row>
    <row r="534" spans="40:47" x14ac:dyDescent="0.3">
      <c r="AN534" s="57"/>
      <c r="AO534" s="57"/>
      <c r="AP534" s="57"/>
      <c r="AQ534" s="57"/>
      <c r="AR534" s="57"/>
      <c r="AS534" s="57"/>
      <c r="AT534" s="57"/>
      <c r="AU534" s="57"/>
    </row>
    <row r="535" spans="40:47" x14ac:dyDescent="0.3">
      <c r="AN535" s="57"/>
      <c r="AO535" s="57"/>
      <c r="AP535" s="57"/>
      <c r="AQ535" s="57"/>
      <c r="AR535" s="57"/>
      <c r="AS535" s="57"/>
      <c r="AT535" s="57"/>
      <c r="AU535" s="57"/>
    </row>
    <row r="536" spans="40:47" x14ac:dyDescent="0.3">
      <c r="AN536" s="57"/>
      <c r="AO536" s="57"/>
      <c r="AP536" s="57"/>
      <c r="AQ536" s="57"/>
      <c r="AR536" s="57"/>
      <c r="AS536" s="57"/>
      <c r="AT536" s="57"/>
      <c r="AU536" s="57"/>
    </row>
    <row r="537" spans="40:47" x14ac:dyDescent="0.3">
      <c r="AN537" s="57"/>
      <c r="AO537" s="57"/>
      <c r="AP537" s="57"/>
      <c r="AQ537" s="57"/>
      <c r="AR537" s="57"/>
      <c r="AS537" s="57"/>
      <c r="AT537" s="57"/>
      <c r="AU537" s="57"/>
    </row>
    <row r="538" spans="40:47" x14ac:dyDescent="0.3">
      <c r="AN538" s="57"/>
      <c r="AO538" s="57"/>
      <c r="AP538" s="57"/>
      <c r="AQ538" s="57"/>
      <c r="AR538" s="57"/>
      <c r="AS538" s="57"/>
      <c r="AT538" s="57"/>
      <c r="AU538" s="57"/>
    </row>
    <row r="539" spans="40:47" x14ac:dyDescent="0.3">
      <c r="AN539" s="57"/>
      <c r="AO539" s="57"/>
      <c r="AP539" s="57"/>
      <c r="AQ539" s="57"/>
      <c r="AR539" s="57"/>
      <c r="AS539" s="57"/>
      <c r="AT539" s="57"/>
      <c r="AU539" s="57"/>
    </row>
    <row r="540" spans="40:47" x14ac:dyDescent="0.3">
      <c r="AN540" s="57"/>
      <c r="AO540" s="57"/>
      <c r="AP540" s="57"/>
      <c r="AQ540" s="57"/>
      <c r="AR540" s="57"/>
      <c r="AS540" s="57"/>
      <c r="AT540" s="57"/>
      <c r="AU540" s="57"/>
    </row>
    <row r="541" spans="40:47" x14ac:dyDescent="0.3">
      <c r="AN541" s="57"/>
      <c r="AO541" s="57"/>
      <c r="AP541" s="57"/>
      <c r="AQ541" s="57"/>
      <c r="AR541" s="57"/>
      <c r="AS541" s="57"/>
      <c r="AT541" s="57"/>
      <c r="AU541" s="57"/>
    </row>
    <row r="542" spans="40:47" x14ac:dyDescent="0.3">
      <c r="AN542" s="57"/>
      <c r="AO542" s="57"/>
      <c r="AP542" s="57"/>
      <c r="AQ542" s="57"/>
      <c r="AR542" s="57"/>
      <c r="AS542" s="57"/>
      <c r="AT542" s="57"/>
      <c r="AU542" s="57"/>
    </row>
    <row r="543" spans="40:47" x14ac:dyDescent="0.3">
      <c r="AN543" s="57"/>
      <c r="AO543" s="57"/>
      <c r="AP543" s="57"/>
      <c r="AQ543" s="57"/>
      <c r="AR543" s="57"/>
      <c r="AS543" s="57"/>
      <c r="AT543" s="57"/>
      <c r="AU543" s="57"/>
    </row>
    <row r="544" spans="40:47" x14ac:dyDescent="0.3">
      <c r="AN544" s="57"/>
      <c r="AO544" s="57"/>
      <c r="AP544" s="57"/>
      <c r="AQ544" s="57"/>
      <c r="AR544" s="57"/>
      <c r="AS544" s="57"/>
      <c r="AT544" s="57"/>
      <c r="AU544" s="57"/>
    </row>
    <row r="545" spans="40:47" x14ac:dyDescent="0.3">
      <c r="AN545" s="57"/>
      <c r="AO545" s="57"/>
      <c r="AP545" s="57"/>
      <c r="AQ545" s="57"/>
      <c r="AR545" s="57"/>
      <c r="AS545" s="57"/>
      <c r="AT545" s="57"/>
      <c r="AU545" s="57"/>
    </row>
    <row r="546" spans="40:47" x14ac:dyDescent="0.3">
      <c r="AN546" s="57"/>
      <c r="AO546" s="57"/>
      <c r="AP546" s="57"/>
      <c r="AQ546" s="57"/>
      <c r="AR546" s="57"/>
      <c r="AS546" s="57"/>
      <c r="AT546" s="57"/>
      <c r="AU546" s="57"/>
    </row>
    <row r="547" spans="40:47" x14ac:dyDescent="0.3">
      <c r="AN547" s="57"/>
      <c r="AO547" s="57"/>
      <c r="AP547" s="57"/>
      <c r="AQ547" s="57"/>
      <c r="AR547" s="57"/>
      <c r="AS547" s="57"/>
      <c r="AT547" s="57"/>
      <c r="AU547" s="57"/>
    </row>
    <row r="548" spans="40:47" x14ac:dyDescent="0.3">
      <c r="AN548" s="57"/>
      <c r="AO548" s="57"/>
      <c r="AP548" s="57"/>
      <c r="AQ548" s="57"/>
      <c r="AR548" s="57"/>
      <c r="AS548" s="57"/>
      <c r="AT548" s="57"/>
      <c r="AU548" s="57"/>
    </row>
    <row r="549" spans="40:47" x14ac:dyDescent="0.3">
      <c r="AN549" s="57"/>
      <c r="AO549" s="57"/>
      <c r="AP549" s="57"/>
      <c r="AQ549" s="57"/>
      <c r="AR549" s="57"/>
      <c r="AS549" s="57"/>
      <c r="AT549" s="57"/>
      <c r="AU549" s="57"/>
    </row>
    <row r="550" spans="40:47" x14ac:dyDescent="0.3">
      <c r="AN550" s="57"/>
      <c r="AO550" s="57"/>
      <c r="AP550" s="57"/>
      <c r="AQ550" s="57"/>
      <c r="AR550" s="57"/>
      <c r="AS550" s="57"/>
      <c r="AT550" s="57"/>
      <c r="AU550" s="57"/>
    </row>
    <row r="551" spans="40:47" x14ac:dyDescent="0.3">
      <c r="AN551" s="57"/>
      <c r="AO551" s="57"/>
      <c r="AP551" s="57"/>
      <c r="AQ551" s="57"/>
      <c r="AR551" s="57"/>
      <c r="AS551" s="57"/>
      <c r="AT551" s="57"/>
      <c r="AU551" s="57"/>
    </row>
    <row r="552" spans="40:47" x14ac:dyDescent="0.3">
      <c r="AN552" s="57"/>
      <c r="AO552" s="57"/>
      <c r="AP552" s="57"/>
      <c r="AQ552" s="57"/>
      <c r="AR552" s="57"/>
      <c r="AS552" s="57"/>
      <c r="AT552" s="57"/>
      <c r="AU552" s="57"/>
    </row>
    <row r="553" spans="40:47" x14ac:dyDescent="0.3">
      <c r="AN553" s="57"/>
      <c r="AO553" s="57"/>
      <c r="AP553" s="57"/>
      <c r="AQ553" s="57"/>
      <c r="AR553" s="57"/>
      <c r="AS553" s="57"/>
      <c r="AT553" s="57"/>
      <c r="AU553" s="57"/>
    </row>
    <row r="554" spans="40:47" x14ac:dyDescent="0.3">
      <c r="AN554" s="57"/>
      <c r="AO554" s="57"/>
      <c r="AP554" s="57"/>
      <c r="AQ554" s="57"/>
      <c r="AR554" s="57"/>
      <c r="AS554" s="57"/>
      <c r="AT554" s="57"/>
      <c r="AU554" s="57"/>
    </row>
    <row r="555" spans="40:47" x14ac:dyDescent="0.3">
      <c r="AN555" s="57"/>
      <c r="AO555" s="57"/>
      <c r="AP555" s="57"/>
      <c r="AQ555" s="57"/>
      <c r="AR555" s="57"/>
      <c r="AS555" s="57"/>
      <c r="AT555" s="57"/>
      <c r="AU555" s="57"/>
    </row>
    <row r="556" spans="40:47" x14ac:dyDescent="0.3">
      <c r="AN556" s="57"/>
      <c r="AO556" s="57"/>
      <c r="AP556" s="57"/>
      <c r="AQ556" s="57"/>
      <c r="AR556" s="57"/>
      <c r="AS556" s="57"/>
      <c r="AT556" s="57"/>
      <c r="AU556" s="57"/>
    </row>
    <row r="557" spans="40:47" x14ac:dyDescent="0.3">
      <c r="AN557" s="57"/>
      <c r="AO557" s="57"/>
      <c r="AP557" s="57"/>
      <c r="AQ557" s="57"/>
      <c r="AR557" s="57"/>
      <c r="AS557" s="57"/>
      <c r="AT557" s="57"/>
      <c r="AU557" s="57"/>
    </row>
    <row r="558" spans="40:47" x14ac:dyDescent="0.3">
      <c r="AN558" s="57"/>
      <c r="AO558" s="57"/>
      <c r="AP558" s="57"/>
      <c r="AQ558" s="57"/>
      <c r="AR558" s="57"/>
      <c r="AS558" s="57"/>
      <c r="AT558" s="57"/>
      <c r="AU558" s="57"/>
    </row>
    <row r="559" spans="40:47" x14ac:dyDescent="0.3">
      <c r="AN559" s="57"/>
      <c r="AO559" s="57"/>
      <c r="AP559" s="57"/>
      <c r="AQ559" s="57"/>
      <c r="AR559" s="57"/>
      <c r="AS559" s="57"/>
      <c r="AT559" s="57"/>
      <c r="AU559" s="57"/>
    </row>
    <row r="560" spans="40:47" x14ac:dyDescent="0.3">
      <c r="AN560" s="57"/>
      <c r="AO560" s="57"/>
      <c r="AP560" s="57"/>
      <c r="AQ560" s="57"/>
      <c r="AR560" s="57"/>
      <c r="AS560" s="57"/>
      <c r="AT560" s="57"/>
      <c r="AU560" s="57"/>
    </row>
    <row r="561" spans="40:47" x14ac:dyDescent="0.3">
      <c r="AN561" s="57"/>
      <c r="AO561" s="57"/>
      <c r="AP561" s="57"/>
      <c r="AQ561" s="57"/>
      <c r="AR561" s="57"/>
      <c r="AS561" s="57"/>
      <c r="AT561" s="57"/>
      <c r="AU561" s="57"/>
    </row>
    <row r="562" spans="40:47" x14ac:dyDescent="0.3">
      <c r="AN562" s="57"/>
      <c r="AO562" s="57"/>
      <c r="AP562" s="57"/>
      <c r="AQ562" s="57"/>
      <c r="AR562" s="57"/>
      <c r="AS562" s="57"/>
      <c r="AT562" s="57"/>
      <c r="AU562" s="57"/>
    </row>
    <row r="563" spans="40:47" x14ac:dyDescent="0.3">
      <c r="AN563" s="57"/>
      <c r="AO563" s="57"/>
      <c r="AP563" s="57"/>
      <c r="AQ563" s="57"/>
      <c r="AR563" s="57"/>
      <c r="AS563" s="57"/>
      <c r="AT563" s="57"/>
      <c r="AU563" s="57"/>
    </row>
    <row r="564" spans="40:47" x14ac:dyDescent="0.3">
      <c r="AN564" s="57"/>
      <c r="AO564" s="57"/>
      <c r="AP564" s="57"/>
      <c r="AQ564" s="57"/>
      <c r="AR564" s="57"/>
      <c r="AS564" s="57"/>
      <c r="AT564" s="57"/>
      <c r="AU564" s="57"/>
    </row>
    <row r="565" spans="40:47" x14ac:dyDescent="0.3">
      <c r="AN565" s="57"/>
      <c r="AO565" s="57"/>
      <c r="AP565" s="57"/>
      <c r="AQ565" s="57"/>
      <c r="AR565" s="57"/>
      <c r="AS565" s="57"/>
      <c r="AT565" s="57"/>
      <c r="AU565" s="57"/>
    </row>
    <row r="566" spans="40:47" x14ac:dyDescent="0.3">
      <c r="AN566" s="57"/>
      <c r="AO566" s="57"/>
      <c r="AP566" s="57"/>
      <c r="AQ566" s="57"/>
      <c r="AR566" s="57"/>
      <c r="AS566" s="57"/>
      <c r="AT566" s="57"/>
      <c r="AU566" s="57"/>
    </row>
    <row r="567" spans="40:47" x14ac:dyDescent="0.3">
      <c r="AN567" s="57"/>
      <c r="AO567" s="57"/>
      <c r="AP567" s="57"/>
      <c r="AQ567" s="57"/>
      <c r="AR567" s="57"/>
      <c r="AS567" s="57"/>
      <c r="AT567" s="57"/>
      <c r="AU567" s="57"/>
    </row>
    <row r="568" spans="40:47" x14ac:dyDescent="0.3">
      <c r="AN568" s="57"/>
      <c r="AO568" s="57"/>
      <c r="AP568" s="57"/>
      <c r="AQ568" s="57"/>
      <c r="AR568" s="57"/>
      <c r="AS568" s="57"/>
      <c r="AT568" s="57"/>
      <c r="AU568" s="57"/>
    </row>
    <row r="569" spans="40:47" x14ac:dyDescent="0.3">
      <c r="AN569" s="57"/>
      <c r="AO569" s="57"/>
      <c r="AP569" s="57"/>
      <c r="AQ569" s="57"/>
      <c r="AR569" s="57"/>
      <c r="AS569" s="57"/>
      <c r="AT569" s="57"/>
      <c r="AU569" s="57"/>
    </row>
    <row r="570" spans="40:47" x14ac:dyDescent="0.3">
      <c r="AN570" s="57"/>
      <c r="AO570" s="57"/>
      <c r="AP570" s="57"/>
      <c r="AQ570" s="57"/>
      <c r="AR570" s="57"/>
      <c r="AS570" s="57"/>
      <c r="AT570" s="57"/>
      <c r="AU570" s="57"/>
    </row>
    <row r="571" spans="40:47" x14ac:dyDescent="0.3">
      <c r="AN571" s="57"/>
      <c r="AO571" s="57"/>
      <c r="AP571" s="57"/>
      <c r="AQ571" s="57"/>
      <c r="AR571" s="57"/>
      <c r="AS571" s="57"/>
      <c r="AT571" s="57"/>
      <c r="AU571" s="57"/>
    </row>
    <row r="572" spans="40:47" x14ac:dyDescent="0.3">
      <c r="AN572" s="57"/>
      <c r="AO572" s="57"/>
      <c r="AP572" s="57"/>
      <c r="AQ572" s="57"/>
      <c r="AR572" s="57"/>
      <c r="AS572" s="57"/>
      <c r="AT572" s="57"/>
      <c r="AU572" s="57"/>
    </row>
    <row r="573" spans="40:47" x14ac:dyDescent="0.3">
      <c r="AN573" s="57"/>
      <c r="AO573" s="57"/>
      <c r="AP573" s="57"/>
      <c r="AQ573" s="57"/>
      <c r="AR573" s="57"/>
      <c r="AS573" s="57"/>
      <c r="AT573" s="57"/>
      <c r="AU573" s="57"/>
    </row>
    <row r="574" spans="40:47" x14ac:dyDescent="0.3">
      <c r="AN574" s="57"/>
      <c r="AO574" s="57"/>
      <c r="AP574" s="57"/>
      <c r="AQ574" s="57"/>
      <c r="AR574" s="57"/>
      <c r="AS574" s="57"/>
      <c r="AT574" s="57"/>
      <c r="AU574" s="57"/>
    </row>
    <row r="575" spans="40:47" x14ac:dyDescent="0.3">
      <c r="AN575" s="57"/>
      <c r="AO575" s="57"/>
      <c r="AP575" s="57"/>
      <c r="AQ575" s="57"/>
      <c r="AR575" s="57"/>
      <c r="AS575" s="57"/>
      <c r="AT575" s="57"/>
      <c r="AU575" s="57"/>
    </row>
    <row r="576" spans="40:47" x14ac:dyDescent="0.3">
      <c r="AN576" s="57"/>
      <c r="AO576" s="57"/>
      <c r="AP576" s="57"/>
      <c r="AQ576" s="57"/>
      <c r="AR576" s="57"/>
      <c r="AS576" s="57"/>
      <c r="AT576" s="57"/>
      <c r="AU576" s="57"/>
    </row>
    <row r="577" spans="40:47" x14ac:dyDescent="0.3">
      <c r="AN577" s="57"/>
      <c r="AO577" s="57"/>
      <c r="AP577" s="57"/>
      <c r="AQ577" s="57"/>
      <c r="AR577" s="57"/>
      <c r="AS577" s="57"/>
      <c r="AT577" s="57"/>
      <c r="AU577" s="57"/>
    </row>
    <row r="578" spans="40:47" x14ac:dyDescent="0.3">
      <c r="AN578" s="57"/>
      <c r="AO578" s="57"/>
      <c r="AP578" s="57"/>
      <c r="AQ578" s="57"/>
      <c r="AR578" s="57"/>
      <c r="AS578" s="57"/>
      <c r="AT578" s="57"/>
      <c r="AU578" s="57"/>
    </row>
    <row r="579" spans="40:47" x14ac:dyDescent="0.3">
      <c r="AN579" s="57"/>
      <c r="AO579" s="57"/>
      <c r="AP579" s="57"/>
      <c r="AQ579" s="57"/>
      <c r="AR579" s="57"/>
      <c r="AS579" s="57"/>
      <c r="AT579" s="57"/>
      <c r="AU579" s="57"/>
    </row>
    <row r="580" spans="40:47" x14ac:dyDescent="0.3">
      <c r="AN580" s="57"/>
      <c r="AO580" s="57"/>
      <c r="AP580" s="57"/>
      <c r="AQ580" s="57"/>
      <c r="AR580" s="57"/>
      <c r="AS580" s="57"/>
      <c r="AT580" s="57"/>
      <c r="AU580" s="57"/>
    </row>
    <row r="581" spans="40:47" x14ac:dyDescent="0.3">
      <c r="AN581" s="57"/>
      <c r="AO581" s="57"/>
      <c r="AP581" s="57"/>
      <c r="AQ581" s="57"/>
      <c r="AR581" s="57"/>
      <c r="AS581" s="57"/>
      <c r="AT581" s="57"/>
      <c r="AU581" s="57"/>
    </row>
    <row r="582" spans="40:47" x14ac:dyDescent="0.3">
      <c r="AN582" s="57"/>
      <c r="AO582" s="57"/>
      <c r="AP582" s="57"/>
      <c r="AQ582" s="57"/>
      <c r="AR582" s="57"/>
      <c r="AS582" s="57"/>
      <c r="AT582" s="57"/>
      <c r="AU582" s="57"/>
    </row>
    <row r="583" spans="40:47" x14ac:dyDescent="0.3">
      <c r="AN583" s="57"/>
      <c r="AO583" s="57"/>
      <c r="AP583" s="57"/>
      <c r="AQ583" s="57"/>
      <c r="AR583" s="57"/>
      <c r="AS583" s="57"/>
      <c r="AT583" s="57"/>
      <c r="AU583" s="57"/>
    </row>
    <row r="584" spans="40:47" x14ac:dyDescent="0.3">
      <c r="AN584" s="57"/>
      <c r="AO584" s="57"/>
      <c r="AP584" s="57"/>
      <c r="AQ584" s="57"/>
      <c r="AR584" s="57"/>
      <c r="AS584" s="57"/>
      <c r="AT584" s="57"/>
      <c r="AU584" s="57"/>
    </row>
    <row r="585" spans="40:47" x14ac:dyDescent="0.3">
      <c r="AN585" s="57"/>
      <c r="AO585" s="57"/>
      <c r="AP585" s="57"/>
      <c r="AQ585" s="57"/>
      <c r="AR585" s="57"/>
      <c r="AS585" s="57"/>
      <c r="AT585" s="57"/>
      <c r="AU585" s="57"/>
    </row>
    <row r="586" spans="40:47" x14ac:dyDescent="0.3">
      <c r="AN586" s="57"/>
      <c r="AO586" s="57"/>
      <c r="AP586" s="57"/>
      <c r="AQ586" s="57"/>
      <c r="AR586" s="57"/>
      <c r="AS586" s="57"/>
      <c r="AT586" s="57"/>
      <c r="AU586" s="57"/>
    </row>
    <row r="587" spans="40:47" x14ac:dyDescent="0.3">
      <c r="AN587" s="57"/>
      <c r="AO587" s="57"/>
      <c r="AP587" s="57"/>
      <c r="AQ587" s="57"/>
      <c r="AR587" s="57"/>
      <c r="AS587" s="57"/>
      <c r="AT587" s="57"/>
      <c r="AU587" s="57"/>
    </row>
    <row r="588" spans="40:47" x14ac:dyDescent="0.3">
      <c r="AN588" s="57"/>
      <c r="AO588" s="57"/>
      <c r="AP588" s="57"/>
      <c r="AQ588" s="57"/>
      <c r="AR588" s="57"/>
      <c r="AS588" s="57"/>
      <c r="AT588" s="57"/>
      <c r="AU588" s="57"/>
    </row>
    <row r="589" spans="40:47" x14ac:dyDescent="0.3">
      <c r="AN589" s="57"/>
      <c r="AO589" s="57"/>
      <c r="AP589" s="57"/>
      <c r="AQ589" s="57"/>
      <c r="AR589" s="57"/>
      <c r="AS589" s="57"/>
      <c r="AT589" s="57"/>
      <c r="AU589" s="57"/>
    </row>
    <row r="590" spans="40:47" x14ac:dyDescent="0.3">
      <c r="AN590" s="57"/>
      <c r="AO590" s="57"/>
      <c r="AP590" s="57"/>
      <c r="AQ590" s="57"/>
      <c r="AR590" s="57"/>
      <c r="AS590" s="57"/>
      <c r="AT590" s="57"/>
      <c r="AU590" s="57"/>
    </row>
    <row r="591" spans="40:47" x14ac:dyDescent="0.3">
      <c r="AN591" s="57"/>
      <c r="AO591" s="57"/>
      <c r="AP591" s="57"/>
      <c r="AQ591" s="57"/>
      <c r="AR591" s="57"/>
      <c r="AS591" s="57"/>
      <c r="AT591" s="57"/>
      <c r="AU591" s="57"/>
    </row>
    <row r="592" spans="40:47" x14ac:dyDescent="0.3">
      <c r="AN592" s="57"/>
      <c r="AO592" s="57"/>
      <c r="AP592" s="57"/>
      <c r="AQ592" s="57"/>
      <c r="AR592" s="57"/>
      <c r="AS592" s="57"/>
      <c r="AT592" s="57"/>
      <c r="AU592" s="57"/>
    </row>
    <row r="593" spans="40:47" x14ac:dyDescent="0.3">
      <c r="AN593" s="57"/>
      <c r="AO593" s="57"/>
      <c r="AP593" s="57"/>
      <c r="AQ593" s="57"/>
      <c r="AR593" s="57"/>
      <c r="AS593" s="57"/>
      <c r="AT593" s="57"/>
      <c r="AU593" s="57"/>
    </row>
    <row r="594" spans="40:47" x14ac:dyDescent="0.3">
      <c r="AN594" s="57"/>
      <c r="AO594" s="57"/>
      <c r="AP594" s="57"/>
      <c r="AQ594" s="57"/>
      <c r="AR594" s="57"/>
      <c r="AS594" s="57"/>
      <c r="AT594" s="57"/>
      <c r="AU594" s="57"/>
    </row>
    <row r="595" spans="40:47" x14ac:dyDescent="0.3">
      <c r="AN595" s="57"/>
      <c r="AO595" s="57"/>
      <c r="AP595" s="57"/>
      <c r="AQ595" s="57"/>
      <c r="AR595" s="57"/>
      <c r="AS595" s="57"/>
      <c r="AT595" s="57"/>
      <c r="AU595" s="57"/>
    </row>
    <row r="596" spans="40:47" x14ac:dyDescent="0.3">
      <c r="AN596" s="57"/>
      <c r="AO596" s="57"/>
      <c r="AP596" s="57"/>
      <c r="AQ596" s="57"/>
      <c r="AR596" s="57"/>
      <c r="AS596" s="57"/>
      <c r="AT596" s="57"/>
      <c r="AU596" s="57"/>
    </row>
    <row r="597" spans="40:47" x14ac:dyDescent="0.3">
      <c r="AN597" s="57"/>
      <c r="AO597" s="57"/>
      <c r="AP597" s="57"/>
      <c r="AQ597" s="57"/>
      <c r="AR597" s="57"/>
      <c r="AS597" s="57"/>
      <c r="AT597" s="57"/>
      <c r="AU597" s="57"/>
    </row>
    <row r="598" spans="40:47" x14ac:dyDescent="0.3">
      <c r="AN598" s="57"/>
      <c r="AO598" s="57"/>
      <c r="AP598" s="57"/>
      <c r="AQ598" s="57"/>
      <c r="AR598" s="57"/>
      <c r="AS598" s="57"/>
      <c r="AT598" s="57"/>
      <c r="AU598" s="57"/>
    </row>
    <row r="599" spans="40:47" x14ac:dyDescent="0.3">
      <c r="AN599" s="57"/>
      <c r="AO599" s="57"/>
      <c r="AP599" s="57"/>
      <c r="AQ599" s="57"/>
      <c r="AR599" s="57"/>
      <c r="AS599" s="57"/>
      <c r="AT599" s="57"/>
      <c r="AU599" s="57"/>
    </row>
    <row r="600" spans="40:47" x14ac:dyDescent="0.3">
      <c r="AN600" s="57"/>
      <c r="AO600" s="57"/>
      <c r="AP600" s="57"/>
      <c r="AQ600" s="57"/>
      <c r="AR600" s="57"/>
      <c r="AS600" s="57"/>
      <c r="AT600" s="57"/>
      <c r="AU600" s="57"/>
    </row>
    <row r="601" spans="40:47" x14ac:dyDescent="0.3">
      <c r="AN601" s="57"/>
      <c r="AO601" s="57"/>
      <c r="AP601" s="57"/>
      <c r="AQ601" s="57"/>
      <c r="AR601" s="57"/>
      <c r="AS601" s="57"/>
      <c r="AT601" s="57"/>
      <c r="AU601" s="57"/>
    </row>
    <row r="602" spans="40:47" x14ac:dyDescent="0.3">
      <c r="AN602" s="57"/>
      <c r="AO602" s="57"/>
      <c r="AP602" s="57"/>
      <c r="AQ602" s="57"/>
      <c r="AR602" s="57"/>
      <c r="AS602" s="57"/>
      <c r="AT602" s="57"/>
      <c r="AU602" s="57"/>
    </row>
    <row r="603" spans="40:47" x14ac:dyDescent="0.3">
      <c r="AN603" s="57"/>
      <c r="AO603" s="57"/>
      <c r="AP603" s="57"/>
      <c r="AQ603" s="57"/>
      <c r="AR603" s="57"/>
      <c r="AS603" s="57"/>
      <c r="AT603" s="57"/>
      <c r="AU603" s="57"/>
    </row>
    <row r="604" spans="40:47" x14ac:dyDescent="0.3">
      <c r="AN604" s="57"/>
      <c r="AO604" s="57"/>
      <c r="AP604" s="57"/>
      <c r="AQ604" s="57"/>
      <c r="AR604" s="57"/>
      <c r="AS604" s="57"/>
      <c r="AT604" s="57"/>
      <c r="AU604" s="57"/>
    </row>
    <row r="605" spans="40:47" x14ac:dyDescent="0.3">
      <c r="AN605" s="57"/>
      <c r="AO605" s="57"/>
      <c r="AP605" s="57"/>
      <c r="AQ605" s="57"/>
      <c r="AR605" s="57"/>
      <c r="AS605" s="57"/>
      <c r="AT605" s="57"/>
      <c r="AU605" s="57"/>
    </row>
    <row r="606" spans="40:47" x14ac:dyDescent="0.3">
      <c r="AN606" s="57"/>
      <c r="AO606" s="57"/>
      <c r="AP606" s="57"/>
      <c r="AQ606" s="57"/>
      <c r="AR606" s="57"/>
      <c r="AS606" s="57"/>
      <c r="AT606" s="57"/>
      <c r="AU606" s="57"/>
    </row>
    <row r="607" spans="40:47" x14ac:dyDescent="0.3">
      <c r="AN607" s="57"/>
      <c r="AO607" s="57"/>
      <c r="AP607" s="57"/>
      <c r="AQ607" s="57"/>
      <c r="AR607" s="57"/>
      <c r="AS607" s="57"/>
      <c r="AT607" s="57"/>
      <c r="AU607" s="57"/>
    </row>
    <row r="608" spans="40:47" x14ac:dyDescent="0.3">
      <c r="AN608" s="57"/>
      <c r="AO608" s="57"/>
      <c r="AP608" s="57"/>
      <c r="AQ608" s="57"/>
      <c r="AR608" s="57"/>
      <c r="AS608" s="57"/>
      <c r="AT608" s="57"/>
      <c r="AU608" s="57"/>
    </row>
    <row r="609" spans="40:47" x14ac:dyDescent="0.3">
      <c r="AN609" s="57"/>
      <c r="AO609" s="57"/>
      <c r="AP609" s="57"/>
      <c r="AQ609" s="57"/>
      <c r="AR609" s="57"/>
      <c r="AS609" s="57"/>
      <c r="AT609" s="57"/>
      <c r="AU609" s="57"/>
    </row>
    <row r="610" spans="40:47" x14ac:dyDescent="0.3">
      <c r="AN610" s="57"/>
      <c r="AO610" s="57"/>
      <c r="AP610" s="57"/>
      <c r="AQ610" s="57"/>
      <c r="AR610" s="57"/>
      <c r="AS610" s="57"/>
      <c r="AT610" s="57"/>
      <c r="AU610" s="57"/>
    </row>
    <row r="611" spans="40:47" x14ac:dyDescent="0.3">
      <c r="AN611" s="57"/>
      <c r="AO611" s="57"/>
      <c r="AP611" s="57"/>
      <c r="AQ611" s="57"/>
      <c r="AR611" s="57"/>
      <c r="AS611" s="57"/>
      <c r="AT611" s="57"/>
      <c r="AU611" s="57"/>
    </row>
    <row r="612" spans="40:47" x14ac:dyDescent="0.3">
      <c r="AN612" s="57"/>
      <c r="AO612" s="57"/>
      <c r="AP612" s="57"/>
      <c r="AQ612" s="57"/>
      <c r="AR612" s="57"/>
      <c r="AS612" s="57"/>
      <c r="AT612" s="57"/>
      <c r="AU612" s="57"/>
    </row>
    <row r="613" spans="40:47" x14ac:dyDescent="0.3">
      <c r="AN613" s="57"/>
      <c r="AO613" s="57"/>
      <c r="AP613" s="57"/>
      <c r="AQ613" s="57"/>
      <c r="AR613" s="57"/>
      <c r="AS613" s="57"/>
      <c r="AT613" s="57"/>
      <c r="AU613" s="57"/>
    </row>
    <row r="614" spans="40:47" x14ac:dyDescent="0.3">
      <c r="AN614" s="57"/>
      <c r="AO614" s="57"/>
      <c r="AP614" s="57"/>
      <c r="AQ614" s="57"/>
      <c r="AR614" s="57"/>
      <c r="AS614" s="57"/>
      <c r="AT614" s="57"/>
      <c r="AU614" s="57"/>
    </row>
    <row r="615" spans="40:47" x14ac:dyDescent="0.3">
      <c r="AN615" s="57"/>
      <c r="AO615" s="57"/>
      <c r="AP615" s="57"/>
      <c r="AQ615" s="57"/>
      <c r="AR615" s="57"/>
      <c r="AS615" s="57"/>
      <c r="AT615" s="57"/>
      <c r="AU615" s="57"/>
    </row>
    <row r="616" spans="40:47" x14ac:dyDescent="0.3">
      <c r="AN616" s="57"/>
      <c r="AO616" s="57"/>
      <c r="AP616" s="57"/>
      <c r="AQ616" s="57"/>
      <c r="AR616" s="57"/>
      <c r="AS616" s="57"/>
      <c r="AT616" s="57"/>
      <c r="AU616" s="57"/>
    </row>
    <row r="617" spans="40:47" x14ac:dyDescent="0.3">
      <c r="AN617" s="57"/>
      <c r="AO617" s="57"/>
      <c r="AP617" s="57"/>
      <c r="AQ617" s="57"/>
      <c r="AR617" s="57"/>
      <c r="AS617" s="57"/>
      <c r="AT617" s="57"/>
      <c r="AU617" s="57"/>
    </row>
    <row r="618" spans="40:47" x14ac:dyDescent="0.3">
      <c r="AN618" s="57"/>
      <c r="AO618" s="57"/>
      <c r="AP618" s="57"/>
      <c r="AQ618" s="57"/>
      <c r="AR618" s="57"/>
      <c r="AS618" s="57"/>
      <c r="AT618" s="57"/>
      <c r="AU618" s="57"/>
    </row>
    <row r="619" spans="40:47" x14ac:dyDescent="0.3">
      <c r="AN619" s="57"/>
      <c r="AO619" s="57"/>
      <c r="AP619" s="57"/>
      <c r="AQ619" s="57"/>
      <c r="AR619" s="57"/>
      <c r="AS619" s="57"/>
      <c r="AT619" s="57"/>
      <c r="AU619" s="57"/>
    </row>
    <row r="620" spans="40:47" x14ac:dyDescent="0.3">
      <c r="AN620" s="57"/>
      <c r="AO620" s="57"/>
      <c r="AP620" s="57"/>
      <c r="AQ620" s="57"/>
      <c r="AR620" s="57"/>
      <c r="AS620" s="57"/>
      <c r="AT620" s="57"/>
      <c r="AU620" s="57"/>
    </row>
    <row r="621" spans="40:47" x14ac:dyDescent="0.3">
      <c r="AN621" s="57"/>
      <c r="AO621" s="57"/>
      <c r="AP621" s="57"/>
      <c r="AQ621" s="57"/>
      <c r="AR621" s="57"/>
      <c r="AS621" s="57"/>
      <c r="AT621" s="57"/>
      <c r="AU621" s="57"/>
    </row>
    <row r="622" spans="40:47" x14ac:dyDescent="0.3">
      <c r="AN622" s="57"/>
      <c r="AO622" s="57"/>
      <c r="AP622" s="57"/>
      <c r="AQ622" s="57"/>
      <c r="AR622" s="57"/>
      <c r="AS622" s="57"/>
      <c r="AT622" s="57"/>
      <c r="AU622" s="57"/>
    </row>
    <row r="623" spans="40:47" x14ac:dyDescent="0.3">
      <c r="AN623" s="57"/>
      <c r="AO623" s="57"/>
      <c r="AP623" s="57"/>
      <c r="AQ623" s="57"/>
      <c r="AR623" s="57"/>
      <c r="AS623" s="57"/>
      <c r="AT623" s="57"/>
      <c r="AU623" s="57"/>
    </row>
    <row r="624" spans="40:47" x14ac:dyDescent="0.3">
      <c r="AN624" s="57"/>
      <c r="AO624" s="57"/>
      <c r="AP624" s="57"/>
      <c r="AQ624" s="57"/>
      <c r="AR624" s="57"/>
      <c r="AS624" s="57"/>
      <c r="AT624" s="57"/>
      <c r="AU624" s="57"/>
    </row>
    <row r="625" spans="40:47" x14ac:dyDescent="0.3">
      <c r="AN625" s="57"/>
      <c r="AO625" s="57"/>
      <c r="AP625" s="57"/>
      <c r="AQ625" s="57"/>
      <c r="AR625" s="57"/>
      <c r="AS625" s="57"/>
      <c r="AT625" s="57"/>
      <c r="AU625" s="57"/>
    </row>
    <row r="626" spans="40:47" x14ac:dyDescent="0.3">
      <c r="AN626" s="57"/>
      <c r="AO626" s="57"/>
      <c r="AP626" s="57"/>
      <c r="AQ626" s="57"/>
      <c r="AR626" s="57"/>
      <c r="AS626" s="57"/>
      <c r="AT626" s="57"/>
      <c r="AU626" s="57"/>
    </row>
    <row r="627" spans="40:47" x14ac:dyDescent="0.3">
      <c r="AN627" s="57"/>
      <c r="AO627" s="57"/>
      <c r="AP627" s="57"/>
      <c r="AQ627" s="57"/>
      <c r="AR627" s="57"/>
      <c r="AS627" s="57"/>
      <c r="AT627" s="57"/>
      <c r="AU627" s="57"/>
    </row>
    <row r="628" spans="40:47" x14ac:dyDescent="0.3">
      <c r="AN628" s="57"/>
      <c r="AO628" s="57"/>
      <c r="AP628" s="57"/>
      <c r="AQ628" s="57"/>
      <c r="AR628" s="57"/>
      <c r="AS628" s="57"/>
      <c r="AT628" s="57"/>
      <c r="AU628" s="57"/>
    </row>
    <row r="629" spans="40:47" x14ac:dyDescent="0.3">
      <c r="AN629" s="57"/>
      <c r="AO629" s="57"/>
      <c r="AP629" s="57"/>
      <c r="AQ629" s="57"/>
      <c r="AR629" s="57"/>
      <c r="AS629" s="57"/>
      <c r="AT629" s="57"/>
      <c r="AU629" s="57"/>
    </row>
    <row r="630" spans="40:47" x14ac:dyDescent="0.3">
      <c r="AN630" s="57"/>
      <c r="AO630" s="57"/>
      <c r="AP630" s="57"/>
      <c r="AQ630" s="57"/>
      <c r="AR630" s="57"/>
      <c r="AS630" s="57"/>
      <c r="AT630" s="57"/>
      <c r="AU630" s="57"/>
    </row>
    <row r="631" spans="40:47" x14ac:dyDescent="0.3">
      <c r="AN631" s="57"/>
      <c r="AO631" s="57"/>
      <c r="AP631" s="57"/>
      <c r="AQ631" s="57"/>
      <c r="AR631" s="57"/>
      <c r="AS631" s="57"/>
      <c r="AT631" s="57"/>
      <c r="AU631" s="57"/>
    </row>
    <row r="632" spans="40:47" x14ac:dyDescent="0.3">
      <c r="AN632" s="57"/>
      <c r="AO632" s="57"/>
      <c r="AP632" s="57"/>
      <c r="AQ632" s="57"/>
      <c r="AR632" s="57"/>
      <c r="AS632" s="57"/>
      <c r="AT632" s="57"/>
      <c r="AU632" s="57"/>
    </row>
    <row r="633" spans="40:47" x14ac:dyDescent="0.3">
      <c r="AN633" s="57"/>
      <c r="AO633" s="57"/>
      <c r="AP633" s="57"/>
      <c r="AQ633" s="57"/>
      <c r="AR633" s="57"/>
      <c r="AS633" s="57"/>
      <c r="AT633" s="57"/>
      <c r="AU633" s="57"/>
    </row>
    <row r="634" spans="40:47" x14ac:dyDescent="0.3">
      <c r="AN634" s="57"/>
      <c r="AO634" s="57"/>
      <c r="AP634" s="57"/>
      <c r="AQ634" s="57"/>
      <c r="AR634" s="57"/>
      <c r="AS634" s="57"/>
      <c r="AT634" s="57"/>
      <c r="AU634" s="57"/>
    </row>
    <row r="635" spans="40:47" x14ac:dyDescent="0.3">
      <c r="AN635" s="57"/>
      <c r="AO635" s="57"/>
      <c r="AP635" s="57"/>
      <c r="AQ635" s="57"/>
      <c r="AR635" s="57"/>
      <c r="AS635" s="57"/>
      <c r="AT635" s="57"/>
      <c r="AU635" s="57"/>
    </row>
    <row r="636" spans="40:47" x14ac:dyDescent="0.3">
      <c r="AN636" s="57"/>
      <c r="AO636" s="57"/>
      <c r="AP636" s="57"/>
      <c r="AQ636" s="57"/>
      <c r="AR636" s="57"/>
      <c r="AS636" s="57"/>
      <c r="AT636" s="57"/>
      <c r="AU636" s="57"/>
    </row>
    <row r="637" spans="40:47" x14ac:dyDescent="0.3">
      <c r="AN637" s="57"/>
      <c r="AO637" s="57"/>
      <c r="AP637" s="57"/>
      <c r="AQ637" s="57"/>
      <c r="AR637" s="57"/>
      <c r="AS637" s="57"/>
      <c r="AT637" s="57"/>
      <c r="AU637" s="57"/>
    </row>
    <row r="638" spans="40:47" x14ac:dyDescent="0.3">
      <c r="AN638" s="57"/>
      <c r="AO638" s="57"/>
      <c r="AP638" s="57"/>
      <c r="AQ638" s="57"/>
      <c r="AR638" s="57"/>
      <c r="AS638" s="57"/>
      <c r="AT638" s="57"/>
      <c r="AU638" s="57"/>
    </row>
    <row r="639" spans="40:47" x14ac:dyDescent="0.3">
      <c r="AN639" s="57"/>
      <c r="AO639" s="57"/>
      <c r="AP639" s="57"/>
      <c r="AQ639" s="57"/>
      <c r="AR639" s="57"/>
      <c r="AS639" s="57"/>
      <c r="AT639" s="57"/>
      <c r="AU639" s="57"/>
    </row>
    <row r="640" spans="40:47" x14ac:dyDescent="0.3">
      <c r="AN640" s="57"/>
      <c r="AO640" s="57"/>
      <c r="AP640" s="57"/>
      <c r="AQ640" s="57"/>
      <c r="AR640" s="57"/>
      <c r="AS640" s="57"/>
      <c r="AT640" s="57"/>
      <c r="AU640" s="57"/>
    </row>
    <row r="641" spans="40:47" x14ac:dyDescent="0.3">
      <c r="AN641" s="57"/>
      <c r="AO641" s="57"/>
      <c r="AP641" s="57"/>
      <c r="AQ641" s="57"/>
      <c r="AR641" s="57"/>
      <c r="AS641" s="57"/>
      <c r="AT641" s="57"/>
      <c r="AU641" s="57"/>
    </row>
    <row r="642" spans="40:47" x14ac:dyDescent="0.3">
      <c r="AN642" s="57"/>
      <c r="AO642" s="57"/>
      <c r="AP642" s="57"/>
      <c r="AQ642" s="57"/>
      <c r="AR642" s="57"/>
      <c r="AS642" s="57"/>
      <c r="AT642" s="57"/>
      <c r="AU642" s="57"/>
    </row>
    <row r="643" spans="40:47" x14ac:dyDescent="0.3">
      <c r="AN643" s="57"/>
      <c r="AO643" s="57"/>
      <c r="AP643" s="57"/>
      <c r="AQ643" s="57"/>
      <c r="AR643" s="57"/>
      <c r="AS643" s="57"/>
      <c r="AT643" s="57"/>
      <c r="AU643" s="57"/>
    </row>
    <row r="644" spans="40:47" x14ac:dyDescent="0.3">
      <c r="AN644" s="57"/>
      <c r="AO644" s="57"/>
      <c r="AP644" s="57"/>
      <c r="AQ644" s="57"/>
      <c r="AR644" s="57"/>
      <c r="AS644" s="57"/>
      <c r="AT644" s="57"/>
      <c r="AU644" s="57"/>
    </row>
    <row r="645" spans="40:47" x14ac:dyDescent="0.3">
      <c r="AN645" s="57"/>
      <c r="AO645" s="57"/>
      <c r="AP645" s="57"/>
      <c r="AQ645" s="57"/>
      <c r="AR645" s="57"/>
      <c r="AS645" s="57"/>
      <c r="AT645" s="57"/>
      <c r="AU645" s="57"/>
    </row>
    <row r="646" spans="40:47" x14ac:dyDescent="0.3">
      <c r="AN646" s="57"/>
      <c r="AO646" s="57"/>
      <c r="AP646" s="57"/>
      <c r="AQ646" s="57"/>
      <c r="AR646" s="57"/>
      <c r="AS646" s="57"/>
      <c r="AT646" s="57"/>
      <c r="AU646" s="57"/>
    </row>
    <row r="647" spans="40:47" x14ac:dyDescent="0.3">
      <c r="AN647" s="57"/>
      <c r="AO647" s="57"/>
      <c r="AP647" s="57"/>
      <c r="AQ647" s="57"/>
      <c r="AR647" s="57"/>
      <c r="AS647" s="57"/>
      <c r="AT647" s="57"/>
      <c r="AU647" s="57"/>
    </row>
    <row r="648" spans="40:47" x14ac:dyDescent="0.3">
      <c r="AN648" s="57"/>
      <c r="AO648" s="57"/>
      <c r="AP648" s="57"/>
      <c r="AQ648" s="57"/>
      <c r="AR648" s="57"/>
      <c r="AS648" s="57"/>
      <c r="AT648" s="57"/>
      <c r="AU648" s="57"/>
    </row>
    <row r="649" spans="40:47" x14ac:dyDescent="0.3">
      <c r="AN649" s="57"/>
      <c r="AO649" s="57"/>
      <c r="AP649" s="57"/>
      <c r="AQ649" s="57"/>
      <c r="AR649" s="57"/>
      <c r="AS649" s="57"/>
      <c r="AT649" s="57"/>
      <c r="AU649" s="57"/>
    </row>
    <row r="650" spans="40:47" x14ac:dyDescent="0.3">
      <c r="AN650" s="57"/>
      <c r="AO650" s="57"/>
      <c r="AP650" s="57"/>
      <c r="AQ650" s="57"/>
      <c r="AR650" s="57"/>
      <c r="AS650" s="57"/>
      <c r="AT650" s="57"/>
      <c r="AU650" s="57"/>
    </row>
    <row r="651" spans="40:47" x14ac:dyDescent="0.3">
      <c r="AN651" s="57"/>
      <c r="AO651" s="57"/>
      <c r="AP651" s="57"/>
      <c r="AQ651" s="57"/>
      <c r="AR651" s="57"/>
      <c r="AS651" s="57"/>
      <c r="AT651" s="57"/>
      <c r="AU651" s="57"/>
    </row>
    <row r="652" spans="40:47" x14ac:dyDescent="0.3">
      <c r="AN652" s="57"/>
      <c r="AO652" s="57"/>
      <c r="AP652" s="57"/>
      <c r="AQ652" s="57"/>
      <c r="AR652" s="57"/>
      <c r="AS652" s="57"/>
      <c r="AT652" s="57"/>
      <c r="AU652" s="57"/>
    </row>
    <row r="653" spans="40:47" x14ac:dyDescent="0.3">
      <c r="AN653" s="57"/>
      <c r="AO653" s="57"/>
      <c r="AP653" s="57"/>
      <c r="AQ653" s="57"/>
      <c r="AR653" s="57"/>
      <c r="AS653" s="57"/>
      <c r="AT653" s="57"/>
      <c r="AU653" s="57"/>
    </row>
    <row r="654" spans="40:47" x14ac:dyDescent="0.3">
      <c r="AN654" s="57"/>
      <c r="AO654" s="57"/>
      <c r="AP654" s="57"/>
      <c r="AQ654" s="57"/>
      <c r="AR654" s="57"/>
      <c r="AS654" s="57"/>
      <c r="AT654" s="57"/>
      <c r="AU654" s="57"/>
    </row>
    <row r="655" spans="40:47" x14ac:dyDescent="0.3">
      <c r="AN655" s="57"/>
      <c r="AO655" s="57"/>
      <c r="AP655" s="57"/>
      <c r="AQ655" s="57"/>
      <c r="AR655" s="57"/>
      <c r="AS655" s="57"/>
      <c r="AT655" s="57"/>
      <c r="AU655" s="57"/>
    </row>
    <row r="656" spans="40:47" x14ac:dyDescent="0.3">
      <c r="AN656" s="57"/>
      <c r="AO656" s="57"/>
      <c r="AP656" s="57"/>
      <c r="AQ656" s="57"/>
      <c r="AR656" s="57"/>
      <c r="AS656" s="57"/>
      <c r="AT656" s="57"/>
      <c r="AU656" s="57"/>
    </row>
    <row r="657" spans="40:47" x14ac:dyDescent="0.3">
      <c r="AN657" s="57"/>
      <c r="AO657" s="57"/>
      <c r="AP657" s="57"/>
      <c r="AQ657" s="57"/>
      <c r="AR657" s="57"/>
      <c r="AS657" s="57"/>
      <c r="AT657" s="57"/>
      <c r="AU657" s="57"/>
    </row>
    <row r="658" spans="40:47" x14ac:dyDescent="0.3">
      <c r="AN658" s="57"/>
      <c r="AO658" s="57"/>
      <c r="AP658" s="57"/>
      <c r="AQ658" s="57"/>
      <c r="AR658" s="57"/>
      <c r="AS658" s="57"/>
      <c r="AT658" s="57"/>
      <c r="AU658" s="57"/>
    </row>
    <row r="659" spans="40:47" x14ac:dyDescent="0.3">
      <c r="AN659" s="57"/>
      <c r="AO659" s="57"/>
      <c r="AP659" s="57"/>
      <c r="AQ659" s="57"/>
      <c r="AR659" s="57"/>
      <c r="AS659" s="57"/>
      <c r="AT659" s="57"/>
      <c r="AU659" s="57"/>
    </row>
    <row r="660" spans="40:47" x14ac:dyDescent="0.3">
      <c r="AN660" s="57"/>
      <c r="AO660" s="57"/>
      <c r="AP660" s="57"/>
      <c r="AQ660" s="57"/>
      <c r="AR660" s="57"/>
      <c r="AS660" s="57"/>
      <c r="AT660" s="57"/>
      <c r="AU660" s="57"/>
    </row>
    <row r="661" spans="40:47" x14ac:dyDescent="0.3">
      <c r="AN661" s="57"/>
      <c r="AO661" s="57"/>
      <c r="AP661" s="57"/>
      <c r="AQ661" s="57"/>
      <c r="AR661" s="57"/>
      <c r="AS661" s="57"/>
      <c r="AT661" s="57"/>
      <c r="AU661" s="57"/>
    </row>
    <row r="662" spans="40:47" x14ac:dyDescent="0.3">
      <c r="AN662" s="57"/>
      <c r="AO662" s="57"/>
      <c r="AP662" s="57"/>
      <c r="AQ662" s="57"/>
      <c r="AR662" s="57"/>
      <c r="AS662" s="57"/>
      <c r="AT662" s="57"/>
      <c r="AU662" s="57"/>
    </row>
    <row r="663" spans="40:47" x14ac:dyDescent="0.3">
      <c r="AN663" s="57"/>
      <c r="AO663" s="57"/>
      <c r="AP663" s="57"/>
      <c r="AQ663" s="57"/>
      <c r="AR663" s="57"/>
      <c r="AS663" s="57"/>
      <c r="AT663" s="57"/>
      <c r="AU663" s="57"/>
    </row>
    <row r="664" spans="40:47" x14ac:dyDescent="0.3">
      <c r="AN664" s="57"/>
      <c r="AO664" s="57"/>
      <c r="AP664" s="57"/>
      <c r="AQ664" s="57"/>
      <c r="AR664" s="57"/>
      <c r="AS664" s="57"/>
      <c r="AT664" s="57"/>
      <c r="AU664" s="57"/>
    </row>
    <row r="665" spans="40:47" x14ac:dyDescent="0.3">
      <c r="AN665" s="57"/>
      <c r="AO665" s="57"/>
      <c r="AP665" s="57"/>
      <c r="AQ665" s="57"/>
      <c r="AR665" s="57"/>
      <c r="AS665" s="57"/>
      <c r="AT665" s="57"/>
      <c r="AU665" s="57"/>
    </row>
    <row r="666" spans="40:47" x14ac:dyDescent="0.3">
      <c r="AN666" s="57"/>
      <c r="AO666" s="57"/>
      <c r="AP666" s="57"/>
      <c r="AQ666" s="57"/>
      <c r="AR666" s="57"/>
      <c r="AS666" s="57"/>
      <c r="AT666" s="57"/>
      <c r="AU666" s="57"/>
    </row>
    <row r="667" spans="40:47" x14ac:dyDescent="0.3">
      <c r="AN667" s="57"/>
      <c r="AO667" s="57"/>
      <c r="AP667" s="57"/>
      <c r="AQ667" s="57"/>
      <c r="AR667" s="57"/>
      <c r="AS667" s="57"/>
      <c r="AT667" s="57"/>
      <c r="AU667" s="57"/>
    </row>
    <row r="668" spans="40:47" x14ac:dyDescent="0.3">
      <c r="AN668" s="57"/>
      <c r="AO668" s="57"/>
      <c r="AP668" s="57"/>
      <c r="AQ668" s="57"/>
      <c r="AR668" s="57"/>
      <c r="AS668" s="57"/>
      <c r="AT668" s="57"/>
      <c r="AU668" s="57"/>
    </row>
    <row r="669" spans="40:47" x14ac:dyDescent="0.3">
      <c r="AN669" s="57"/>
      <c r="AO669" s="57"/>
      <c r="AP669" s="57"/>
      <c r="AQ669" s="57"/>
      <c r="AR669" s="57"/>
      <c r="AS669" s="57"/>
      <c r="AT669" s="57"/>
      <c r="AU669" s="57"/>
    </row>
    <row r="670" spans="40:47" x14ac:dyDescent="0.3">
      <c r="AN670" s="57"/>
      <c r="AO670" s="57"/>
      <c r="AP670" s="57"/>
      <c r="AQ670" s="57"/>
      <c r="AR670" s="57"/>
      <c r="AS670" s="57"/>
      <c r="AT670" s="57"/>
      <c r="AU670" s="57"/>
    </row>
    <row r="671" spans="40:47" x14ac:dyDescent="0.3">
      <c r="AN671" s="57"/>
      <c r="AO671" s="57"/>
      <c r="AP671" s="57"/>
      <c r="AQ671" s="57"/>
      <c r="AR671" s="57"/>
      <c r="AS671" s="57"/>
      <c r="AT671" s="57"/>
      <c r="AU671" s="57"/>
    </row>
    <row r="672" spans="40:47" x14ac:dyDescent="0.3">
      <c r="AN672" s="57"/>
      <c r="AO672" s="57"/>
      <c r="AP672" s="57"/>
      <c r="AQ672" s="57"/>
      <c r="AR672" s="57"/>
      <c r="AS672" s="57"/>
      <c r="AT672" s="57"/>
      <c r="AU672" s="57"/>
    </row>
    <row r="673" spans="40:47" x14ac:dyDescent="0.3">
      <c r="AN673" s="57"/>
      <c r="AO673" s="57"/>
      <c r="AP673" s="57"/>
      <c r="AQ673" s="57"/>
      <c r="AR673" s="57"/>
      <c r="AS673" s="57"/>
      <c r="AT673" s="57"/>
      <c r="AU673" s="57"/>
    </row>
    <row r="674" spans="40:47" x14ac:dyDescent="0.3">
      <c r="AN674" s="57"/>
      <c r="AO674" s="57"/>
      <c r="AP674" s="57"/>
      <c r="AQ674" s="57"/>
      <c r="AR674" s="57"/>
      <c r="AS674" s="57"/>
      <c r="AT674" s="57"/>
      <c r="AU674" s="57"/>
    </row>
    <row r="675" spans="40:47" x14ac:dyDescent="0.3">
      <c r="AN675" s="57"/>
      <c r="AO675" s="57"/>
      <c r="AP675" s="57"/>
      <c r="AQ675" s="57"/>
      <c r="AR675" s="57"/>
      <c r="AS675" s="57"/>
      <c r="AT675" s="57"/>
      <c r="AU675" s="57"/>
    </row>
    <row r="676" spans="40:47" x14ac:dyDescent="0.3">
      <c r="AN676" s="57"/>
      <c r="AO676" s="57"/>
      <c r="AP676" s="57"/>
      <c r="AQ676" s="57"/>
      <c r="AR676" s="57"/>
      <c r="AS676" s="57"/>
      <c r="AT676" s="57"/>
      <c r="AU676" s="57"/>
    </row>
    <row r="677" spans="40:47" x14ac:dyDescent="0.3">
      <c r="AN677" s="57"/>
      <c r="AO677" s="57"/>
      <c r="AP677" s="57"/>
      <c r="AQ677" s="57"/>
      <c r="AR677" s="57"/>
      <c r="AS677" s="57"/>
      <c r="AT677" s="57"/>
      <c r="AU677" s="57"/>
    </row>
    <row r="678" spans="40:47" x14ac:dyDescent="0.3">
      <c r="AN678" s="57"/>
      <c r="AO678" s="57"/>
      <c r="AP678" s="57"/>
      <c r="AQ678" s="57"/>
      <c r="AR678" s="57"/>
      <c r="AS678" s="57"/>
      <c r="AT678" s="57"/>
      <c r="AU678" s="57"/>
    </row>
    <row r="679" spans="40:47" x14ac:dyDescent="0.3">
      <c r="AN679" s="57"/>
      <c r="AO679" s="57"/>
      <c r="AP679" s="57"/>
      <c r="AQ679" s="57"/>
      <c r="AR679" s="57"/>
      <c r="AS679" s="57"/>
      <c r="AT679" s="57"/>
      <c r="AU679" s="57"/>
    </row>
    <row r="680" spans="40:47" x14ac:dyDescent="0.3">
      <c r="AN680" s="57"/>
      <c r="AO680" s="57"/>
      <c r="AP680" s="57"/>
      <c r="AQ680" s="57"/>
      <c r="AR680" s="57"/>
      <c r="AS680" s="57"/>
      <c r="AT680" s="57"/>
      <c r="AU680" s="57"/>
    </row>
    <row r="681" spans="40:47" x14ac:dyDescent="0.3">
      <c r="AN681" s="57"/>
      <c r="AO681" s="57"/>
      <c r="AP681" s="57"/>
      <c r="AQ681" s="57"/>
      <c r="AR681" s="57"/>
      <c r="AS681" s="57"/>
      <c r="AT681" s="57"/>
      <c r="AU681" s="57"/>
    </row>
    <row r="682" spans="40:47" x14ac:dyDescent="0.3">
      <c r="AN682" s="57"/>
      <c r="AO682" s="57"/>
      <c r="AP682" s="57"/>
      <c r="AQ682" s="57"/>
      <c r="AR682" s="57"/>
      <c r="AS682" s="57"/>
      <c r="AT682" s="57"/>
      <c r="AU682" s="57"/>
    </row>
    <row r="683" spans="40:47" x14ac:dyDescent="0.3">
      <c r="AN683" s="57"/>
      <c r="AO683" s="57"/>
      <c r="AP683" s="57"/>
      <c r="AQ683" s="57"/>
      <c r="AR683" s="57"/>
      <c r="AS683" s="57"/>
      <c r="AT683" s="57"/>
      <c r="AU683" s="57"/>
    </row>
    <row r="684" spans="40:47" x14ac:dyDescent="0.3">
      <c r="AN684" s="57"/>
      <c r="AO684" s="57"/>
      <c r="AP684" s="57"/>
      <c r="AQ684" s="57"/>
      <c r="AR684" s="57"/>
      <c r="AS684" s="57"/>
      <c r="AT684" s="57"/>
      <c r="AU684" s="57"/>
    </row>
    <row r="685" spans="40:47" x14ac:dyDescent="0.3">
      <c r="AN685" s="57"/>
      <c r="AO685" s="57"/>
      <c r="AP685" s="57"/>
      <c r="AQ685" s="57"/>
      <c r="AR685" s="57"/>
      <c r="AS685" s="57"/>
      <c r="AT685" s="57"/>
      <c r="AU685" s="57"/>
    </row>
    <row r="686" spans="40:47" x14ac:dyDescent="0.3">
      <c r="AN686" s="57"/>
      <c r="AO686" s="57"/>
      <c r="AP686" s="57"/>
      <c r="AQ686" s="57"/>
      <c r="AR686" s="57"/>
      <c r="AS686" s="57"/>
      <c r="AT686" s="57"/>
      <c r="AU686" s="57"/>
    </row>
    <row r="687" spans="40:47" x14ac:dyDescent="0.3">
      <c r="AN687" s="57"/>
      <c r="AO687" s="57"/>
      <c r="AP687" s="57"/>
      <c r="AQ687" s="57"/>
      <c r="AR687" s="57"/>
      <c r="AS687" s="57"/>
      <c r="AT687" s="57"/>
      <c r="AU687" s="57"/>
    </row>
    <row r="688" spans="40:47" x14ac:dyDescent="0.3">
      <c r="AN688" s="57"/>
      <c r="AO688" s="57"/>
      <c r="AP688" s="57"/>
      <c r="AQ688" s="57"/>
      <c r="AR688" s="57"/>
      <c r="AS688" s="57"/>
      <c r="AT688" s="57"/>
      <c r="AU688" s="57"/>
    </row>
    <row r="689" spans="40:47" x14ac:dyDescent="0.3">
      <c r="AN689" s="57"/>
      <c r="AO689" s="57"/>
      <c r="AP689" s="57"/>
      <c r="AQ689" s="57"/>
      <c r="AR689" s="57"/>
      <c r="AS689" s="57"/>
      <c r="AT689" s="57"/>
      <c r="AU689" s="57"/>
    </row>
    <row r="690" spans="40:47" x14ac:dyDescent="0.3">
      <c r="AN690" s="57"/>
      <c r="AO690" s="57"/>
      <c r="AP690" s="57"/>
      <c r="AQ690" s="57"/>
      <c r="AR690" s="57"/>
      <c r="AS690" s="57"/>
      <c r="AT690" s="57"/>
      <c r="AU690" s="57"/>
    </row>
    <row r="691" spans="40:47" x14ac:dyDescent="0.3">
      <c r="AN691" s="57"/>
      <c r="AO691" s="57"/>
      <c r="AP691" s="57"/>
      <c r="AQ691" s="57"/>
      <c r="AR691" s="57"/>
      <c r="AS691" s="57"/>
      <c r="AT691" s="57"/>
      <c r="AU691" s="57"/>
    </row>
    <row r="692" spans="40:47" x14ac:dyDescent="0.3">
      <c r="AN692" s="57"/>
      <c r="AO692" s="57"/>
      <c r="AP692" s="57"/>
      <c r="AQ692" s="57"/>
      <c r="AR692" s="57"/>
      <c r="AS692" s="57"/>
      <c r="AT692" s="57"/>
      <c r="AU692" s="57"/>
    </row>
    <row r="693" spans="40:47" x14ac:dyDescent="0.3">
      <c r="AN693" s="57"/>
      <c r="AO693" s="57"/>
      <c r="AP693" s="57"/>
      <c r="AQ693" s="57"/>
      <c r="AR693" s="57"/>
      <c r="AS693" s="57"/>
      <c r="AT693" s="57"/>
      <c r="AU693" s="57"/>
    </row>
    <row r="694" spans="40:47" x14ac:dyDescent="0.3">
      <c r="AN694" s="57"/>
      <c r="AO694" s="57"/>
      <c r="AP694" s="57"/>
      <c r="AQ694" s="57"/>
      <c r="AR694" s="57"/>
      <c r="AS694" s="57"/>
      <c r="AT694" s="57"/>
      <c r="AU694" s="57"/>
    </row>
    <row r="695" spans="40:47" x14ac:dyDescent="0.3">
      <c r="AN695" s="57"/>
      <c r="AO695" s="57"/>
      <c r="AP695" s="57"/>
      <c r="AQ695" s="57"/>
      <c r="AR695" s="57"/>
      <c r="AS695" s="57"/>
      <c r="AT695" s="57"/>
      <c r="AU695" s="57"/>
    </row>
    <row r="696" spans="40:47" x14ac:dyDescent="0.3">
      <c r="AN696" s="57"/>
      <c r="AO696" s="57"/>
      <c r="AP696" s="57"/>
      <c r="AQ696" s="57"/>
      <c r="AR696" s="57"/>
      <c r="AS696" s="57"/>
      <c r="AT696" s="57"/>
      <c r="AU696" s="57"/>
    </row>
    <row r="697" spans="40:47" x14ac:dyDescent="0.3">
      <c r="AN697" s="57"/>
      <c r="AO697" s="57"/>
      <c r="AP697" s="57"/>
      <c r="AQ697" s="57"/>
      <c r="AR697" s="57"/>
      <c r="AS697" s="57"/>
      <c r="AT697" s="57"/>
      <c r="AU697" s="57"/>
    </row>
    <row r="698" spans="40:47" x14ac:dyDescent="0.3">
      <c r="AN698" s="57"/>
      <c r="AO698" s="57"/>
      <c r="AP698" s="57"/>
      <c r="AQ698" s="57"/>
      <c r="AR698" s="57"/>
      <c r="AS698" s="57"/>
      <c r="AT698" s="57"/>
      <c r="AU698" s="57"/>
    </row>
    <row r="699" spans="40:47" x14ac:dyDescent="0.3">
      <c r="AN699" s="57"/>
      <c r="AO699" s="57"/>
      <c r="AP699" s="57"/>
      <c r="AQ699" s="57"/>
      <c r="AR699" s="57"/>
      <c r="AS699" s="57"/>
      <c r="AT699" s="57"/>
      <c r="AU699" s="57"/>
    </row>
    <row r="700" spans="40:47" x14ac:dyDescent="0.3">
      <c r="AN700" s="57"/>
      <c r="AO700" s="57"/>
      <c r="AP700" s="57"/>
      <c r="AQ700" s="57"/>
      <c r="AR700" s="57"/>
      <c r="AS700" s="57"/>
      <c r="AT700" s="57"/>
      <c r="AU700" s="57"/>
    </row>
    <row r="701" spans="40:47" x14ac:dyDescent="0.3">
      <c r="AN701" s="57"/>
      <c r="AO701" s="57"/>
      <c r="AP701" s="57"/>
      <c r="AQ701" s="57"/>
      <c r="AR701" s="57"/>
      <c r="AS701" s="57"/>
      <c r="AT701" s="57"/>
      <c r="AU701" s="57"/>
    </row>
    <row r="702" spans="40:47" x14ac:dyDescent="0.3">
      <c r="AN702" s="57"/>
      <c r="AO702" s="57"/>
      <c r="AP702" s="57"/>
      <c r="AQ702" s="57"/>
      <c r="AR702" s="57"/>
      <c r="AS702" s="57"/>
      <c r="AT702" s="57"/>
      <c r="AU702" s="57"/>
    </row>
    <row r="703" spans="40:47" x14ac:dyDescent="0.3">
      <c r="AN703" s="57"/>
      <c r="AO703" s="57"/>
      <c r="AP703" s="57"/>
      <c r="AQ703" s="57"/>
      <c r="AR703" s="57"/>
      <c r="AS703" s="57"/>
      <c r="AT703" s="57"/>
      <c r="AU703" s="57"/>
    </row>
    <row r="704" spans="40:47" x14ac:dyDescent="0.3">
      <c r="AN704" s="57"/>
      <c r="AO704" s="57"/>
      <c r="AP704" s="57"/>
      <c r="AQ704" s="57"/>
      <c r="AR704" s="57"/>
      <c r="AS704" s="57"/>
      <c r="AT704" s="57"/>
      <c r="AU704" s="57"/>
    </row>
    <row r="705" spans="40:47" x14ac:dyDescent="0.3">
      <c r="AN705" s="57"/>
      <c r="AO705" s="57"/>
      <c r="AP705" s="57"/>
      <c r="AQ705" s="57"/>
      <c r="AR705" s="57"/>
      <c r="AS705" s="57"/>
      <c r="AT705" s="57"/>
      <c r="AU705" s="57"/>
    </row>
    <row r="706" spans="40:47" x14ac:dyDescent="0.3">
      <c r="AN706" s="57"/>
      <c r="AO706" s="57"/>
      <c r="AP706" s="57"/>
      <c r="AQ706" s="57"/>
      <c r="AR706" s="57"/>
      <c r="AS706" s="57"/>
      <c r="AT706" s="57"/>
      <c r="AU706" s="57"/>
    </row>
    <row r="707" spans="40:47" x14ac:dyDescent="0.3">
      <c r="AN707" s="57"/>
      <c r="AO707" s="57"/>
      <c r="AP707" s="57"/>
      <c r="AQ707" s="57"/>
      <c r="AR707" s="57"/>
      <c r="AS707" s="57"/>
      <c r="AT707" s="57"/>
      <c r="AU707" s="57"/>
    </row>
    <row r="708" spans="40:47" x14ac:dyDescent="0.3">
      <c r="AN708" s="57"/>
      <c r="AO708" s="57"/>
      <c r="AP708" s="57"/>
      <c r="AQ708" s="57"/>
      <c r="AR708" s="57"/>
      <c r="AS708" s="57"/>
      <c r="AT708" s="57"/>
      <c r="AU708" s="57"/>
    </row>
    <row r="709" spans="40:47" x14ac:dyDescent="0.3">
      <c r="AN709" s="57"/>
      <c r="AO709" s="57"/>
      <c r="AP709" s="57"/>
      <c r="AQ709" s="57"/>
      <c r="AR709" s="57"/>
      <c r="AS709" s="57"/>
      <c r="AT709" s="57"/>
      <c r="AU709" s="57"/>
    </row>
    <row r="710" spans="40:47" x14ac:dyDescent="0.3">
      <c r="AN710" s="57"/>
      <c r="AO710" s="57"/>
      <c r="AP710" s="57"/>
      <c r="AQ710" s="57"/>
      <c r="AR710" s="57"/>
      <c r="AS710" s="57"/>
      <c r="AT710" s="57"/>
      <c r="AU710" s="57"/>
    </row>
    <row r="711" spans="40:47" x14ac:dyDescent="0.3">
      <c r="AN711" s="57"/>
      <c r="AO711" s="57"/>
      <c r="AP711" s="57"/>
      <c r="AQ711" s="57"/>
      <c r="AR711" s="57"/>
      <c r="AS711" s="57"/>
      <c r="AT711" s="57"/>
      <c r="AU711" s="57"/>
    </row>
    <row r="712" spans="40:47" x14ac:dyDescent="0.3">
      <c r="AN712" s="57"/>
      <c r="AO712" s="57"/>
      <c r="AP712" s="57"/>
      <c r="AQ712" s="57"/>
      <c r="AR712" s="57"/>
      <c r="AS712" s="57"/>
      <c r="AT712" s="57"/>
      <c r="AU712" s="57"/>
    </row>
    <row r="713" spans="40:47" x14ac:dyDescent="0.3">
      <c r="AN713" s="57"/>
      <c r="AO713" s="57"/>
      <c r="AP713" s="57"/>
      <c r="AQ713" s="57"/>
      <c r="AR713" s="57"/>
      <c r="AS713" s="57"/>
      <c r="AT713" s="57"/>
      <c r="AU713" s="57"/>
    </row>
    <row r="714" spans="40:47" x14ac:dyDescent="0.3">
      <c r="AN714" s="57"/>
      <c r="AO714" s="57"/>
      <c r="AP714" s="57"/>
      <c r="AQ714" s="57"/>
      <c r="AR714" s="57"/>
      <c r="AS714" s="57"/>
      <c r="AT714" s="57"/>
      <c r="AU714" s="57"/>
    </row>
    <row r="715" spans="40:47" x14ac:dyDescent="0.3">
      <c r="AN715" s="57"/>
      <c r="AO715" s="57"/>
      <c r="AP715" s="57"/>
      <c r="AQ715" s="57"/>
      <c r="AR715" s="57"/>
      <c r="AS715" s="57"/>
      <c r="AT715" s="57"/>
      <c r="AU715" s="57"/>
    </row>
    <row r="716" spans="40:47" x14ac:dyDescent="0.3">
      <c r="AN716" s="57"/>
      <c r="AO716" s="57"/>
      <c r="AP716" s="57"/>
      <c r="AQ716" s="57"/>
      <c r="AR716" s="57"/>
      <c r="AS716" s="57"/>
      <c r="AT716" s="57"/>
      <c r="AU716" s="57"/>
    </row>
    <row r="717" spans="40:47" x14ac:dyDescent="0.3">
      <c r="AN717" s="57"/>
      <c r="AO717" s="57"/>
      <c r="AP717" s="57"/>
      <c r="AQ717" s="57"/>
      <c r="AR717" s="57"/>
      <c r="AS717" s="57"/>
      <c r="AT717" s="57"/>
      <c r="AU717" s="57"/>
    </row>
    <row r="718" spans="40:47" x14ac:dyDescent="0.3">
      <c r="AN718" s="57"/>
      <c r="AO718" s="57"/>
      <c r="AP718" s="57"/>
      <c r="AQ718" s="57"/>
      <c r="AR718" s="57"/>
      <c r="AS718" s="57"/>
      <c r="AT718" s="57"/>
      <c r="AU718" s="57"/>
    </row>
    <row r="719" spans="40:47" x14ac:dyDescent="0.3">
      <c r="AN719" s="57"/>
      <c r="AO719" s="57"/>
      <c r="AP719" s="57"/>
      <c r="AQ719" s="57"/>
      <c r="AR719" s="57"/>
      <c r="AS719" s="57"/>
      <c r="AT719" s="57"/>
      <c r="AU719" s="57"/>
    </row>
    <row r="720" spans="40:47" x14ac:dyDescent="0.3">
      <c r="AN720" s="57"/>
      <c r="AO720" s="57"/>
      <c r="AP720" s="57"/>
      <c r="AQ720" s="57"/>
      <c r="AR720" s="57"/>
      <c r="AS720" s="57"/>
      <c r="AT720" s="57"/>
      <c r="AU720" s="57"/>
    </row>
    <row r="721" spans="40:47" x14ac:dyDescent="0.3">
      <c r="AN721" s="57"/>
      <c r="AO721" s="57"/>
      <c r="AP721" s="57"/>
      <c r="AQ721" s="57"/>
      <c r="AR721" s="57"/>
      <c r="AS721" s="57"/>
      <c r="AT721" s="57"/>
      <c r="AU721" s="57"/>
    </row>
    <row r="722" spans="40:47" x14ac:dyDescent="0.3">
      <c r="AN722" s="57"/>
      <c r="AO722" s="57"/>
      <c r="AP722" s="57"/>
      <c r="AQ722" s="57"/>
      <c r="AR722" s="57"/>
      <c r="AS722" s="57"/>
      <c r="AT722" s="57"/>
      <c r="AU722" s="57"/>
    </row>
    <row r="723" spans="40:47" x14ac:dyDescent="0.3">
      <c r="AN723" s="57"/>
      <c r="AO723" s="57"/>
      <c r="AP723" s="57"/>
      <c r="AQ723" s="57"/>
      <c r="AR723" s="57"/>
      <c r="AS723" s="57"/>
      <c r="AT723" s="57"/>
      <c r="AU723" s="57"/>
    </row>
    <row r="724" spans="40:47" x14ac:dyDescent="0.3">
      <c r="AN724" s="57"/>
      <c r="AO724" s="57"/>
      <c r="AP724" s="57"/>
      <c r="AQ724" s="57"/>
      <c r="AR724" s="57"/>
      <c r="AS724" s="57"/>
      <c r="AT724" s="57"/>
      <c r="AU724" s="57"/>
    </row>
    <row r="725" spans="40:47" x14ac:dyDescent="0.3">
      <c r="AN725" s="57"/>
      <c r="AO725" s="57"/>
      <c r="AP725" s="57"/>
      <c r="AQ725" s="57"/>
      <c r="AR725" s="57"/>
      <c r="AS725" s="57"/>
      <c r="AT725" s="57"/>
      <c r="AU725" s="57"/>
    </row>
    <row r="726" spans="40:47" x14ac:dyDescent="0.3">
      <c r="AN726" s="57"/>
      <c r="AO726" s="57"/>
      <c r="AP726" s="57"/>
      <c r="AQ726" s="57"/>
      <c r="AR726" s="57"/>
      <c r="AS726" s="57"/>
      <c r="AT726" s="57"/>
      <c r="AU726" s="57"/>
    </row>
    <row r="727" spans="40:47" x14ac:dyDescent="0.3">
      <c r="AN727" s="57"/>
      <c r="AO727" s="57"/>
      <c r="AP727" s="57"/>
      <c r="AQ727" s="57"/>
      <c r="AR727" s="57"/>
      <c r="AS727" s="57"/>
      <c r="AT727" s="57"/>
      <c r="AU727" s="57"/>
    </row>
    <row r="728" spans="40:47" x14ac:dyDescent="0.3">
      <c r="AN728" s="57"/>
      <c r="AO728" s="57"/>
      <c r="AP728" s="57"/>
      <c r="AQ728" s="57"/>
      <c r="AR728" s="57"/>
      <c r="AS728" s="57"/>
      <c r="AT728" s="57"/>
      <c r="AU728" s="57"/>
    </row>
    <row r="729" spans="40:47" x14ac:dyDescent="0.3">
      <c r="AN729" s="57"/>
      <c r="AO729" s="57"/>
      <c r="AP729" s="57"/>
      <c r="AQ729" s="57"/>
      <c r="AR729" s="57"/>
      <c r="AS729" s="57"/>
      <c r="AT729" s="57"/>
      <c r="AU729" s="57"/>
    </row>
    <row r="730" spans="40:47" x14ac:dyDescent="0.3">
      <c r="AN730" s="57"/>
      <c r="AO730" s="57"/>
      <c r="AP730" s="57"/>
      <c r="AQ730" s="57"/>
      <c r="AR730" s="57"/>
      <c r="AS730" s="57"/>
      <c r="AT730" s="57"/>
      <c r="AU730" s="57"/>
    </row>
    <row r="731" spans="40:47" x14ac:dyDescent="0.3">
      <c r="AN731" s="57"/>
      <c r="AO731" s="57"/>
      <c r="AP731" s="57"/>
      <c r="AQ731" s="57"/>
      <c r="AR731" s="57"/>
      <c r="AS731" s="57"/>
      <c r="AT731" s="57"/>
      <c r="AU731" s="57"/>
    </row>
    <row r="732" spans="40:47" x14ac:dyDescent="0.3">
      <c r="AN732" s="57"/>
      <c r="AO732" s="57"/>
      <c r="AP732" s="57"/>
      <c r="AQ732" s="57"/>
      <c r="AR732" s="57"/>
      <c r="AS732" s="57"/>
      <c r="AT732" s="57"/>
      <c r="AU732" s="57"/>
    </row>
    <row r="733" spans="40:47" x14ac:dyDescent="0.3">
      <c r="AN733" s="57"/>
      <c r="AO733" s="57"/>
      <c r="AP733" s="57"/>
      <c r="AQ733" s="57"/>
      <c r="AR733" s="57"/>
      <c r="AS733" s="57"/>
      <c r="AT733" s="57"/>
      <c r="AU733" s="57"/>
    </row>
    <row r="734" spans="40:47" x14ac:dyDescent="0.3">
      <c r="AN734" s="57"/>
      <c r="AO734" s="57"/>
      <c r="AP734" s="57"/>
      <c r="AQ734" s="57"/>
      <c r="AR734" s="57"/>
      <c r="AS734" s="57"/>
      <c r="AT734" s="57"/>
      <c r="AU734" s="57"/>
    </row>
    <row r="735" spans="40:47" x14ac:dyDescent="0.3">
      <c r="AN735" s="57"/>
      <c r="AO735" s="57"/>
      <c r="AP735" s="57"/>
      <c r="AQ735" s="57"/>
      <c r="AR735" s="57"/>
      <c r="AS735" s="57"/>
      <c r="AT735" s="57"/>
      <c r="AU735" s="57"/>
    </row>
    <row r="736" spans="40:47" x14ac:dyDescent="0.3">
      <c r="AN736" s="57"/>
      <c r="AO736" s="57"/>
      <c r="AP736" s="57"/>
      <c r="AQ736" s="57"/>
      <c r="AR736" s="57"/>
      <c r="AS736" s="57"/>
      <c r="AT736" s="57"/>
      <c r="AU736" s="57"/>
    </row>
    <row r="737" spans="40:47" x14ac:dyDescent="0.3">
      <c r="AN737" s="57"/>
      <c r="AO737" s="57"/>
      <c r="AP737" s="57"/>
      <c r="AQ737" s="57"/>
      <c r="AR737" s="57"/>
      <c r="AS737" s="57"/>
      <c r="AT737" s="57"/>
      <c r="AU737" s="57"/>
    </row>
    <row r="738" spans="40:47" x14ac:dyDescent="0.3">
      <c r="AN738" s="57"/>
      <c r="AO738" s="57"/>
      <c r="AP738" s="57"/>
      <c r="AQ738" s="57"/>
      <c r="AR738" s="57"/>
      <c r="AS738" s="57"/>
      <c r="AT738" s="57"/>
      <c r="AU738" s="57"/>
    </row>
    <row r="739" spans="40:47" x14ac:dyDescent="0.3">
      <c r="AN739" s="57"/>
      <c r="AO739" s="57"/>
      <c r="AP739" s="57"/>
      <c r="AQ739" s="57"/>
      <c r="AR739" s="57"/>
      <c r="AS739" s="57"/>
      <c r="AT739" s="57"/>
      <c r="AU739" s="57"/>
    </row>
    <row r="740" spans="40:47" x14ac:dyDescent="0.3">
      <c r="AN740" s="57"/>
      <c r="AO740" s="57"/>
      <c r="AP740" s="57"/>
      <c r="AQ740" s="57"/>
      <c r="AR740" s="57"/>
      <c r="AS740" s="57"/>
      <c r="AT740" s="57"/>
      <c r="AU740" s="57"/>
    </row>
    <row r="741" spans="40:47" x14ac:dyDescent="0.3">
      <c r="AN741" s="57"/>
      <c r="AO741" s="57"/>
      <c r="AP741" s="57"/>
      <c r="AQ741" s="57"/>
      <c r="AR741" s="57"/>
      <c r="AS741" s="57"/>
      <c r="AT741" s="57"/>
      <c r="AU741" s="57"/>
    </row>
    <row r="742" spans="40:47" x14ac:dyDescent="0.3">
      <c r="AN742" s="57"/>
      <c r="AO742" s="57"/>
      <c r="AP742" s="57"/>
      <c r="AQ742" s="57"/>
      <c r="AR742" s="57"/>
      <c r="AS742" s="57"/>
      <c r="AT742" s="57"/>
      <c r="AU742" s="57"/>
    </row>
    <row r="743" spans="40:47" x14ac:dyDescent="0.3">
      <c r="AN743" s="57"/>
      <c r="AO743" s="57"/>
      <c r="AP743" s="57"/>
      <c r="AQ743" s="57"/>
      <c r="AR743" s="57"/>
      <c r="AS743" s="57"/>
      <c r="AT743" s="57"/>
      <c r="AU743" s="57"/>
    </row>
    <row r="744" spans="40:47" x14ac:dyDescent="0.3">
      <c r="AN744" s="57"/>
      <c r="AO744" s="57"/>
      <c r="AP744" s="57"/>
      <c r="AQ744" s="57"/>
      <c r="AR744" s="57"/>
      <c r="AS744" s="57"/>
      <c r="AT744" s="57"/>
      <c r="AU744" s="57"/>
    </row>
    <row r="745" spans="40:47" x14ac:dyDescent="0.3">
      <c r="AN745" s="57"/>
      <c r="AO745" s="57"/>
      <c r="AP745" s="57"/>
      <c r="AQ745" s="57"/>
      <c r="AR745" s="57"/>
      <c r="AS745" s="57"/>
      <c r="AT745" s="57"/>
      <c r="AU745" s="57"/>
    </row>
    <row r="746" spans="40:47" x14ac:dyDescent="0.3">
      <c r="AN746" s="57"/>
      <c r="AO746" s="57"/>
      <c r="AP746" s="57"/>
      <c r="AQ746" s="57"/>
      <c r="AR746" s="57"/>
      <c r="AS746" s="57"/>
      <c r="AT746" s="57"/>
      <c r="AU746" s="57"/>
    </row>
    <row r="747" spans="40:47" x14ac:dyDescent="0.3">
      <c r="AN747" s="57"/>
      <c r="AO747" s="57"/>
      <c r="AP747" s="57"/>
      <c r="AQ747" s="57"/>
      <c r="AR747" s="57"/>
      <c r="AS747" s="57"/>
      <c r="AT747" s="57"/>
      <c r="AU747" s="57"/>
    </row>
    <row r="748" spans="40:47" x14ac:dyDescent="0.3">
      <c r="AN748" s="57"/>
      <c r="AO748" s="57"/>
      <c r="AP748" s="57"/>
      <c r="AQ748" s="57"/>
      <c r="AR748" s="57"/>
      <c r="AS748" s="57"/>
      <c r="AT748" s="57"/>
      <c r="AU748" s="57"/>
    </row>
    <row r="749" spans="40:47" x14ac:dyDescent="0.3">
      <c r="AN749" s="57"/>
      <c r="AO749" s="57"/>
      <c r="AP749" s="57"/>
      <c r="AQ749" s="57"/>
      <c r="AR749" s="57"/>
      <c r="AS749" s="57"/>
      <c r="AT749" s="57"/>
      <c r="AU749" s="57"/>
    </row>
    <row r="750" spans="40:47" x14ac:dyDescent="0.3">
      <c r="AN750" s="57"/>
      <c r="AO750" s="57"/>
      <c r="AP750" s="57"/>
      <c r="AQ750" s="57"/>
      <c r="AR750" s="57"/>
      <c r="AS750" s="57"/>
      <c r="AT750" s="57"/>
      <c r="AU750" s="57"/>
    </row>
    <row r="751" spans="40:47" x14ac:dyDescent="0.3">
      <c r="AN751" s="57"/>
      <c r="AO751" s="57"/>
      <c r="AP751" s="57"/>
      <c r="AQ751" s="57"/>
      <c r="AR751" s="57"/>
      <c r="AS751" s="57"/>
      <c r="AT751" s="57"/>
      <c r="AU751" s="57"/>
    </row>
    <row r="752" spans="40:47" x14ac:dyDescent="0.3">
      <c r="AN752" s="57"/>
      <c r="AO752" s="57"/>
      <c r="AP752" s="57"/>
      <c r="AQ752" s="57"/>
      <c r="AR752" s="57"/>
      <c r="AS752" s="57"/>
      <c r="AT752" s="57"/>
      <c r="AU752" s="57"/>
    </row>
    <row r="753" spans="40:47" x14ac:dyDescent="0.3">
      <c r="AN753" s="57"/>
      <c r="AO753" s="57"/>
      <c r="AP753" s="57"/>
      <c r="AQ753" s="57"/>
      <c r="AR753" s="57"/>
      <c r="AS753" s="57"/>
      <c r="AT753" s="57"/>
      <c r="AU753" s="57"/>
    </row>
    <row r="754" spans="40:47" x14ac:dyDescent="0.3">
      <c r="AN754" s="57"/>
      <c r="AO754" s="57"/>
      <c r="AP754" s="57"/>
      <c r="AQ754" s="57"/>
      <c r="AR754" s="57"/>
      <c r="AS754" s="57"/>
      <c r="AT754" s="57"/>
      <c r="AU754" s="57"/>
    </row>
    <row r="755" spans="40:47" x14ac:dyDescent="0.3">
      <c r="AN755" s="57"/>
      <c r="AO755" s="57"/>
      <c r="AP755" s="57"/>
      <c r="AQ755" s="57"/>
      <c r="AR755" s="57"/>
      <c r="AS755" s="57"/>
      <c r="AT755" s="57"/>
      <c r="AU755" s="57"/>
    </row>
    <row r="756" spans="40:47" x14ac:dyDescent="0.3">
      <c r="AN756" s="57"/>
      <c r="AO756" s="57"/>
      <c r="AP756" s="57"/>
      <c r="AQ756" s="57"/>
      <c r="AR756" s="57"/>
      <c r="AS756" s="57"/>
      <c r="AT756" s="57"/>
      <c r="AU756" s="57"/>
    </row>
    <row r="757" spans="40:47" x14ac:dyDescent="0.3">
      <c r="AN757" s="57"/>
      <c r="AO757" s="57"/>
      <c r="AP757" s="57"/>
      <c r="AQ757" s="57"/>
      <c r="AR757" s="57"/>
      <c r="AS757" s="57"/>
      <c r="AT757" s="57"/>
      <c r="AU757" s="57"/>
    </row>
    <row r="758" spans="40:47" x14ac:dyDescent="0.3">
      <c r="AN758" s="57"/>
      <c r="AO758" s="57"/>
      <c r="AP758" s="57"/>
      <c r="AQ758" s="57"/>
      <c r="AR758" s="57"/>
      <c r="AS758" s="57"/>
      <c r="AT758" s="57"/>
      <c r="AU758" s="57"/>
    </row>
    <row r="759" spans="40:47" x14ac:dyDescent="0.3">
      <c r="AN759" s="57"/>
      <c r="AO759" s="57"/>
      <c r="AP759" s="57"/>
      <c r="AQ759" s="57"/>
      <c r="AR759" s="57"/>
      <c r="AS759" s="57"/>
      <c r="AT759" s="57"/>
      <c r="AU759" s="57"/>
    </row>
    <row r="760" spans="40:47" x14ac:dyDescent="0.3">
      <c r="AN760" s="57"/>
      <c r="AO760" s="57"/>
      <c r="AP760" s="57"/>
      <c r="AQ760" s="57"/>
      <c r="AR760" s="57"/>
      <c r="AS760" s="57"/>
      <c r="AT760" s="57"/>
      <c r="AU760" s="57"/>
    </row>
    <row r="761" spans="40:47" x14ac:dyDescent="0.3">
      <c r="AN761" s="57"/>
      <c r="AO761" s="57"/>
      <c r="AP761" s="57"/>
      <c r="AQ761" s="57"/>
      <c r="AR761" s="57"/>
      <c r="AS761" s="57"/>
      <c r="AT761" s="57"/>
      <c r="AU761" s="57"/>
    </row>
    <row r="762" spans="40:47" x14ac:dyDescent="0.3">
      <c r="AN762" s="57"/>
      <c r="AO762" s="57"/>
      <c r="AP762" s="57"/>
      <c r="AQ762" s="57"/>
      <c r="AR762" s="57"/>
      <c r="AS762" s="57"/>
      <c r="AT762" s="57"/>
      <c r="AU762" s="57"/>
    </row>
    <row r="763" spans="40:47" x14ac:dyDescent="0.3">
      <c r="AN763" s="57"/>
      <c r="AO763" s="57"/>
      <c r="AP763" s="57"/>
      <c r="AQ763" s="57"/>
      <c r="AR763" s="57"/>
      <c r="AS763" s="57"/>
      <c r="AT763" s="57"/>
      <c r="AU763" s="57"/>
    </row>
    <row r="764" spans="40:47" x14ac:dyDescent="0.3">
      <c r="AN764" s="57"/>
      <c r="AO764" s="57"/>
      <c r="AP764" s="57"/>
      <c r="AQ764" s="57"/>
      <c r="AR764" s="57"/>
      <c r="AS764" s="57"/>
      <c r="AT764" s="57"/>
      <c r="AU764" s="57"/>
    </row>
    <row r="765" spans="40:47" x14ac:dyDescent="0.3">
      <c r="AN765" s="57"/>
      <c r="AO765" s="57"/>
      <c r="AP765" s="57"/>
      <c r="AQ765" s="57"/>
      <c r="AR765" s="57"/>
      <c r="AS765" s="57"/>
      <c r="AT765" s="57"/>
      <c r="AU765" s="57"/>
    </row>
    <row r="766" spans="40:47" x14ac:dyDescent="0.3">
      <c r="AN766" s="57"/>
      <c r="AO766" s="57"/>
      <c r="AP766" s="57"/>
      <c r="AQ766" s="57"/>
      <c r="AR766" s="57"/>
      <c r="AS766" s="57"/>
      <c r="AT766" s="57"/>
      <c r="AU766" s="57"/>
    </row>
    <row r="767" spans="40:47" x14ac:dyDescent="0.3">
      <c r="AN767" s="57"/>
      <c r="AO767" s="57"/>
      <c r="AP767" s="57"/>
      <c r="AQ767" s="57"/>
      <c r="AR767" s="57"/>
      <c r="AS767" s="57"/>
      <c r="AT767" s="57"/>
      <c r="AU767" s="57"/>
    </row>
    <row r="768" spans="40:47" x14ac:dyDescent="0.3">
      <c r="AN768" s="57"/>
      <c r="AO768" s="57"/>
      <c r="AP768" s="57"/>
      <c r="AQ768" s="57"/>
      <c r="AR768" s="57"/>
      <c r="AS768" s="57"/>
      <c r="AT768" s="57"/>
      <c r="AU768" s="57"/>
    </row>
    <row r="769" spans="40:47" x14ac:dyDescent="0.3">
      <c r="AN769" s="57"/>
      <c r="AO769" s="57"/>
      <c r="AP769" s="57"/>
      <c r="AQ769" s="57"/>
      <c r="AR769" s="57"/>
      <c r="AS769" s="57"/>
      <c r="AT769" s="57"/>
      <c r="AU769" s="57"/>
    </row>
    <row r="770" spans="40:47" x14ac:dyDescent="0.3">
      <c r="AN770" s="57"/>
      <c r="AO770" s="57"/>
      <c r="AP770" s="57"/>
      <c r="AQ770" s="57"/>
      <c r="AR770" s="57"/>
      <c r="AS770" s="57"/>
      <c r="AT770" s="57"/>
      <c r="AU770" s="57"/>
    </row>
    <row r="771" spans="40:47" x14ac:dyDescent="0.3">
      <c r="AN771" s="57"/>
      <c r="AO771" s="57"/>
      <c r="AP771" s="57"/>
      <c r="AQ771" s="57"/>
      <c r="AR771" s="57"/>
      <c r="AS771" s="57"/>
      <c r="AT771" s="57"/>
      <c r="AU771" s="57"/>
    </row>
    <row r="772" spans="40:47" x14ac:dyDescent="0.3">
      <c r="AN772" s="57"/>
      <c r="AO772" s="57"/>
      <c r="AP772" s="57"/>
      <c r="AQ772" s="57"/>
      <c r="AR772" s="57"/>
      <c r="AS772" s="57"/>
      <c r="AT772" s="57"/>
      <c r="AU772" s="57"/>
    </row>
    <row r="773" spans="40:47" x14ac:dyDescent="0.3">
      <c r="AN773" s="57"/>
      <c r="AO773" s="57"/>
      <c r="AP773" s="57"/>
      <c r="AQ773" s="57"/>
      <c r="AR773" s="57"/>
      <c r="AS773" s="57"/>
      <c r="AT773" s="57"/>
      <c r="AU773" s="57"/>
    </row>
    <row r="774" spans="40:47" x14ac:dyDescent="0.3">
      <c r="AN774" s="57"/>
      <c r="AO774" s="57"/>
      <c r="AP774" s="57"/>
      <c r="AQ774" s="57"/>
      <c r="AR774" s="57"/>
      <c r="AS774" s="57"/>
      <c r="AT774" s="57"/>
      <c r="AU774" s="57"/>
    </row>
    <row r="775" spans="40:47" x14ac:dyDescent="0.3">
      <c r="AN775" s="57"/>
      <c r="AO775" s="57"/>
      <c r="AP775" s="57"/>
      <c r="AQ775" s="57"/>
      <c r="AR775" s="57"/>
      <c r="AS775" s="57"/>
      <c r="AT775" s="57"/>
      <c r="AU775" s="57"/>
    </row>
    <row r="776" spans="40:47" x14ac:dyDescent="0.3">
      <c r="AN776" s="57"/>
      <c r="AO776" s="57"/>
      <c r="AP776" s="57"/>
      <c r="AQ776" s="57"/>
      <c r="AR776" s="57"/>
      <c r="AS776" s="57"/>
      <c r="AT776" s="57"/>
      <c r="AU776" s="57"/>
    </row>
    <row r="777" spans="40:47" x14ac:dyDescent="0.3">
      <c r="AN777" s="57"/>
      <c r="AO777" s="57"/>
      <c r="AP777" s="57"/>
      <c r="AQ777" s="57"/>
      <c r="AR777" s="57"/>
      <c r="AS777" s="57"/>
      <c r="AT777" s="57"/>
      <c r="AU777" s="57"/>
    </row>
    <row r="778" spans="40:47" x14ac:dyDescent="0.3">
      <c r="AN778" s="57"/>
      <c r="AO778" s="57"/>
      <c r="AP778" s="57"/>
      <c r="AQ778" s="57"/>
      <c r="AR778" s="57"/>
      <c r="AS778" s="57"/>
      <c r="AT778" s="57"/>
      <c r="AU778" s="57"/>
    </row>
    <row r="779" spans="40:47" x14ac:dyDescent="0.3">
      <c r="AN779" s="57"/>
      <c r="AO779" s="57"/>
      <c r="AP779" s="57"/>
      <c r="AQ779" s="57"/>
      <c r="AR779" s="57"/>
      <c r="AS779" s="57"/>
      <c r="AT779" s="57"/>
      <c r="AU779" s="57"/>
    </row>
    <row r="780" spans="40:47" x14ac:dyDescent="0.3">
      <c r="AN780" s="57"/>
      <c r="AO780" s="57"/>
      <c r="AP780" s="57"/>
      <c r="AQ780" s="57"/>
      <c r="AR780" s="57"/>
      <c r="AS780" s="57"/>
      <c r="AT780" s="57"/>
      <c r="AU780" s="57"/>
    </row>
    <row r="781" spans="40:47" x14ac:dyDescent="0.3">
      <c r="AN781" s="57"/>
      <c r="AO781" s="57"/>
      <c r="AP781" s="57"/>
      <c r="AQ781" s="57"/>
      <c r="AR781" s="57"/>
      <c r="AS781" s="57"/>
      <c r="AT781" s="57"/>
      <c r="AU781" s="57"/>
    </row>
    <row r="782" spans="40:47" x14ac:dyDescent="0.3">
      <c r="AN782" s="57"/>
      <c r="AO782" s="57"/>
      <c r="AP782" s="57"/>
      <c r="AQ782" s="57"/>
      <c r="AR782" s="57"/>
      <c r="AS782" s="57"/>
      <c r="AT782" s="57"/>
      <c r="AU782" s="57"/>
    </row>
    <row r="783" spans="40:47" x14ac:dyDescent="0.3">
      <c r="AN783" s="57"/>
      <c r="AO783" s="57"/>
      <c r="AP783" s="57"/>
      <c r="AQ783" s="57"/>
      <c r="AR783" s="57"/>
      <c r="AS783" s="57"/>
      <c r="AT783" s="57"/>
      <c r="AU783" s="57"/>
    </row>
    <row r="784" spans="40:47" x14ac:dyDescent="0.3">
      <c r="AN784" s="57"/>
      <c r="AO784" s="57"/>
      <c r="AP784" s="57"/>
      <c r="AQ784" s="57"/>
      <c r="AR784" s="57"/>
      <c r="AS784" s="57"/>
      <c r="AT784" s="57"/>
      <c r="AU784" s="57"/>
    </row>
    <row r="785" spans="40:47" x14ac:dyDescent="0.3">
      <c r="AN785" s="57"/>
      <c r="AO785" s="57"/>
      <c r="AP785" s="57"/>
      <c r="AQ785" s="57"/>
      <c r="AR785" s="57"/>
      <c r="AS785" s="57"/>
      <c r="AT785" s="57"/>
      <c r="AU785" s="57"/>
    </row>
    <row r="786" spans="40:47" x14ac:dyDescent="0.3">
      <c r="AN786" s="57"/>
      <c r="AO786" s="57"/>
      <c r="AP786" s="57"/>
      <c r="AQ786" s="57"/>
      <c r="AR786" s="57"/>
      <c r="AS786" s="57"/>
      <c r="AT786" s="57"/>
      <c r="AU786" s="57"/>
    </row>
    <row r="787" spans="40:47" x14ac:dyDescent="0.3">
      <c r="AN787" s="57"/>
      <c r="AO787" s="57"/>
      <c r="AP787" s="57"/>
      <c r="AQ787" s="57"/>
      <c r="AR787" s="57"/>
      <c r="AS787" s="57"/>
      <c r="AT787" s="57"/>
      <c r="AU787" s="57"/>
    </row>
    <row r="788" spans="40:47" x14ac:dyDescent="0.3">
      <c r="AN788" s="57"/>
      <c r="AO788" s="57"/>
      <c r="AP788" s="57"/>
      <c r="AQ788" s="57"/>
      <c r="AR788" s="57"/>
      <c r="AS788" s="57"/>
      <c r="AT788" s="57"/>
      <c r="AU788" s="57"/>
    </row>
    <row r="789" spans="40:47" x14ac:dyDescent="0.3">
      <c r="AN789" s="57"/>
      <c r="AO789" s="57"/>
      <c r="AP789" s="57"/>
      <c r="AQ789" s="57"/>
      <c r="AR789" s="57"/>
      <c r="AS789" s="57"/>
      <c r="AT789" s="57"/>
      <c r="AU789" s="57"/>
    </row>
    <row r="790" spans="40:47" x14ac:dyDescent="0.3">
      <c r="AN790" s="57"/>
      <c r="AO790" s="57"/>
      <c r="AP790" s="57"/>
      <c r="AQ790" s="57"/>
      <c r="AR790" s="57"/>
      <c r="AS790" s="57"/>
      <c r="AT790" s="57"/>
      <c r="AU790" s="57"/>
    </row>
    <row r="791" spans="40:47" x14ac:dyDescent="0.3">
      <c r="AN791" s="57"/>
      <c r="AO791" s="57"/>
      <c r="AP791" s="57"/>
      <c r="AQ791" s="57"/>
      <c r="AR791" s="57"/>
      <c r="AS791" s="57"/>
      <c r="AT791" s="57"/>
      <c r="AU791" s="57"/>
    </row>
    <row r="792" spans="40:47" x14ac:dyDescent="0.3">
      <c r="AN792" s="57"/>
      <c r="AO792" s="57"/>
      <c r="AP792" s="57"/>
      <c r="AQ792" s="57"/>
      <c r="AR792" s="57"/>
      <c r="AS792" s="57"/>
      <c r="AT792" s="57"/>
      <c r="AU792" s="57"/>
    </row>
    <row r="793" spans="40:47" x14ac:dyDescent="0.3">
      <c r="AN793" s="57"/>
      <c r="AO793" s="57"/>
      <c r="AP793" s="57"/>
      <c r="AQ793" s="57"/>
      <c r="AR793" s="57"/>
      <c r="AS793" s="57"/>
      <c r="AT793" s="57"/>
      <c r="AU793" s="57"/>
    </row>
    <row r="794" spans="40:47" x14ac:dyDescent="0.3">
      <c r="AN794" s="57"/>
      <c r="AO794" s="57"/>
      <c r="AP794" s="57"/>
      <c r="AQ794" s="57"/>
      <c r="AR794" s="57"/>
      <c r="AS794" s="57"/>
      <c r="AT794" s="57"/>
      <c r="AU794" s="57"/>
    </row>
    <row r="795" spans="40:47" x14ac:dyDescent="0.3">
      <c r="AN795" s="57"/>
      <c r="AO795" s="57"/>
      <c r="AP795" s="57"/>
      <c r="AQ795" s="57"/>
      <c r="AR795" s="57"/>
      <c r="AS795" s="57"/>
      <c r="AT795" s="57"/>
      <c r="AU795" s="57"/>
    </row>
    <row r="796" spans="40:47" x14ac:dyDescent="0.3">
      <c r="AN796" s="57"/>
      <c r="AO796" s="57"/>
      <c r="AP796" s="57"/>
      <c r="AQ796" s="57"/>
      <c r="AR796" s="57"/>
      <c r="AS796" s="57"/>
      <c r="AT796" s="57"/>
      <c r="AU796" s="57"/>
    </row>
    <row r="797" spans="40:47" x14ac:dyDescent="0.3">
      <c r="AN797" s="57"/>
      <c r="AO797" s="57"/>
      <c r="AP797" s="57"/>
      <c r="AQ797" s="57"/>
      <c r="AR797" s="57"/>
      <c r="AS797" s="57"/>
      <c r="AT797" s="57"/>
      <c r="AU797" s="57"/>
    </row>
    <row r="798" spans="40:47" x14ac:dyDescent="0.3">
      <c r="AN798" s="57"/>
      <c r="AO798" s="57"/>
      <c r="AP798" s="57"/>
      <c r="AQ798" s="57"/>
      <c r="AR798" s="57"/>
      <c r="AS798" s="57"/>
      <c r="AT798" s="57"/>
      <c r="AU798" s="57"/>
    </row>
    <row r="799" spans="40:47" x14ac:dyDescent="0.3">
      <c r="AN799" s="57"/>
      <c r="AO799" s="57"/>
      <c r="AP799" s="57"/>
      <c r="AQ799" s="57"/>
      <c r="AR799" s="57"/>
      <c r="AS799" s="57"/>
      <c r="AT799" s="57"/>
      <c r="AU799" s="57"/>
    </row>
    <row r="800" spans="40:47" x14ac:dyDescent="0.3">
      <c r="AN800" s="57"/>
      <c r="AO800" s="57"/>
      <c r="AP800" s="57"/>
      <c r="AQ800" s="57"/>
      <c r="AR800" s="57"/>
      <c r="AS800" s="57"/>
      <c r="AT800" s="57"/>
      <c r="AU800" s="57"/>
    </row>
    <row r="801" spans="40:47" x14ac:dyDescent="0.3">
      <c r="AN801" s="57"/>
      <c r="AO801" s="57"/>
      <c r="AP801" s="57"/>
      <c r="AQ801" s="57"/>
      <c r="AR801" s="57"/>
      <c r="AS801" s="57"/>
      <c r="AT801" s="57"/>
      <c r="AU801" s="57"/>
    </row>
    <row r="802" spans="40:47" x14ac:dyDescent="0.3">
      <c r="AN802" s="57"/>
      <c r="AO802" s="57"/>
      <c r="AP802" s="57"/>
      <c r="AQ802" s="57"/>
      <c r="AR802" s="57"/>
      <c r="AS802" s="57"/>
      <c r="AT802" s="57"/>
      <c r="AU802" s="57"/>
    </row>
    <row r="803" spans="40:47" x14ac:dyDescent="0.3">
      <c r="AN803" s="57"/>
      <c r="AO803" s="57"/>
      <c r="AP803" s="57"/>
      <c r="AQ803" s="57"/>
      <c r="AR803" s="57"/>
      <c r="AS803" s="57"/>
      <c r="AT803" s="57"/>
      <c r="AU803" s="57"/>
    </row>
    <row r="804" spans="40:47" x14ac:dyDescent="0.3">
      <c r="AN804" s="57"/>
      <c r="AO804" s="57"/>
      <c r="AP804" s="57"/>
      <c r="AQ804" s="57"/>
      <c r="AR804" s="57"/>
      <c r="AS804" s="57"/>
      <c r="AT804" s="57"/>
      <c r="AU804" s="57"/>
    </row>
    <row r="805" spans="40:47" x14ac:dyDescent="0.3">
      <c r="AN805" s="57"/>
      <c r="AO805" s="57"/>
      <c r="AP805" s="57"/>
      <c r="AQ805" s="57"/>
      <c r="AR805" s="57"/>
      <c r="AS805" s="57"/>
      <c r="AT805" s="57"/>
      <c r="AU805" s="57"/>
    </row>
    <row r="806" spans="40:47" x14ac:dyDescent="0.3">
      <c r="AN806" s="57"/>
      <c r="AO806" s="57"/>
      <c r="AP806" s="57"/>
      <c r="AQ806" s="57"/>
      <c r="AR806" s="57"/>
      <c r="AS806" s="57"/>
      <c r="AT806" s="57"/>
      <c r="AU806" s="57"/>
    </row>
    <row r="807" spans="40:47" x14ac:dyDescent="0.3">
      <c r="AN807" s="57"/>
      <c r="AO807" s="57"/>
      <c r="AP807" s="57"/>
      <c r="AQ807" s="57"/>
      <c r="AR807" s="57"/>
      <c r="AS807" s="57"/>
      <c r="AT807" s="57"/>
      <c r="AU807" s="57"/>
    </row>
    <row r="808" spans="40:47" x14ac:dyDescent="0.3">
      <c r="AN808" s="57"/>
      <c r="AO808" s="57"/>
      <c r="AP808" s="57"/>
      <c r="AQ808" s="57"/>
      <c r="AR808" s="57"/>
      <c r="AS808" s="57"/>
      <c r="AT808" s="57"/>
      <c r="AU808" s="57"/>
    </row>
    <row r="809" spans="40:47" x14ac:dyDescent="0.3">
      <c r="AN809" s="57"/>
      <c r="AO809" s="57"/>
      <c r="AP809" s="57"/>
      <c r="AQ809" s="57"/>
      <c r="AR809" s="57"/>
      <c r="AS809" s="57"/>
      <c r="AT809" s="57"/>
      <c r="AU809" s="57"/>
    </row>
    <row r="810" spans="40:47" x14ac:dyDescent="0.3">
      <c r="AN810" s="57"/>
      <c r="AO810" s="57"/>
      <c r="AP810" s="57"/>
      <c r="AQ810" s="57"/>
      <c r="AR810" s="57"/>
      <c r="AS810" s="57"/>
      <c r="AT810" s="57"/>
      <c r="AU810" s="57"/>
    </row>
    <row r="811" spans="40:47" x14ac:dyDescent="0.3">
      <c r="AN811" s="57"/>
      <c r="AO811" s="57"/>
      <c r="AP811" s="57"/>
      <c r="AQ811" s="57"/>
      <c r="AR811" s="57"/>
      <c r="AS811" s="57"/>
      <c r="AT811" s="57"/>
      <c r="AU811" s="57"/>
    </row>
    <row r="812" spans="40:47" x14ac:dyDescent="0.3">
      <c r="AN812" s="57"/>
      <c r="AO812" s="57"/>
      <c r="AP812" s="57"/>
      <c r="AQ812" s="57"/>
      <c r="AR812" s="57"/>
      <c r="AS812" s="57"/>
      <c r="AT812" s="57"/>
      <c r="AU812" s="57"/>
    </row>
    <row r="813" spans="40:47" x14ac:dyDescent="0.3">
      <c r="AN813" s="57"/>
      <c r="AO813" s="57"/>
      <c r="AP813" s="57"/>
      <c r="AQ813" s="57"/>
      <c r="AR813" s="57"/>
      <c r="AS813" s="57"/>
      <c r="AT813" s="57"/>
      <c r="AU813" s="57"/>
    </row>
    <row r="814" spans="40:47" x14ac:dyDescent="0.3">
      <c r="AN814" s="57"/>
      <c r="AO814" s="57"/>
      <c r="AP814" s="57"/>
      <c r="AQ814" s="57"/>
      <c r="AR814" s="57"/>
      <c r="AS814" s="57"/>
      <c r="AT814" s="57"/>
      <c r="AU814" s="57"/>
    </row>
    <row r="815" spans="40:47" x14ac:dyDescent="0.3">
      <c r="AN815" s="57"/>
      <c r="AO815" s="57"/>
      <c r="AP815" s="57"/>
      <c r="AQ815" s="57"/>
      <c r="AR815" s="57"/>
      <c r="AS815" s="57"/>
      <c r="AT815" s="57"/>
      <c r="AU815" s="57"/>
    </row>
    <row r="816" spans="40:47" x14ac:dyDescent="0.3">
      <c r="AN816" s="57"/>
      <c r="AO816" s="57"/>
      <c r="AP816" s="57"/>
      <c r="AQ816" s="57"/>
      <c r="AR816" s="57"/>
      <c r="AS816" s="57"/>
      <c r="AT816" s="57"/>
      <c r="AU816" s="57"/>
    </row>
    <row r="817" spans="40:47" x14ac:dyDescent="0.3">
      <c r="AN817" s="57"/>
      <c r="AO817" s="57"/>
      <c r="AP817" s="57"/>
      <c r="AQ817" s="57"/>
      <c r="AR817" s="57"/>
      <c r="AS817" s="57"/>
      <c r="AT817" s="57"/>
      <c r="AU817" s="57"/>
    </row>
    <row r="818" spans="40:47" x14ac:dyDescent="0.3">
      <c r="AN818" s="57"/>
      <c r="AO818" s="57"/>
      <c r="AP818" s="57"/>
      <c r="AQ818" s="57"/>
      <c r="AR818" s="57"/>
      <c r="AS818" s="57"/>
      <c r="AT818" s="57"/>
      <c r="AU818" s="57"/>
    </row>
    <row r="819" spans="40:47" x14ac:dyDescent="0.3">
      <c r="AN819" s="57"/>
      <c r="AO819" s="57"/>
      <c r="AP819" s="57"/>
      <c r="AQ819" s="57"/>
      <c r="AR819" s="57"/>
      <c r="AS819" s="57"/>
      <c r="AT819" s="57"/>
      <c r="AU819" s="57"/>
    </row>
    <row r="820" spans="40:47" x14ac:dyDescent="0.3">
      <c r="AN820" s="57"/>
      <c r="AO820" s="57"/>
      <c r="AP820" s="57"/>
      <c r="AQ820" s="57"/>
      <c r="AR820" s="57"/>
      <c r="AS820" s="57"/>
      <c r="AT820" s="57"/>
      <c r="AU820" s="57"/>
    </row>
    <row r="821" spans="40:47" x14ac:dyDescent="0.3">
      <c r="AN821" s="57"/>
      <c r="AO821" s="57"/>
      <c r="AP821" s="57"/>
      <c r="AQ821" s="57"/>
      <c r="AR821" s="57"/>
      <c r="AS821" s="57"/>
      <c r="AT821" s="57"/>
      <c r="AU821" s="57"/>
    </row>
    <row r="822" spans="40:47" x14ac:dyDescent="0.3">
      <c r="AN822" s="57"/>
      <c r="AO822" s="57"/>
      <c r="AP822" s="57"/>
      <c r="AQ822" s="57"/>
      <c r="AR822" s="57"/>
      <c r="AS822" s="57"/>
      <c r="AT822" s="57"/>
      <c r="AU822" s="57"/>
    </row>
    <row r="823" spans="40:47" x14ac:dyDescent="0.3">
      <c r="AN823" s="57"/>
      <c r="AO823" s="57"/>
      <c r="AP823" s="57"/>
      <c r="AQ823" s="57"/>
      <c r="AR823" s="57"/>
      <c r="AS823" s="57"/>
      <c r="AT823" s="57"/>
      <c r="AU823" s="57"/>
    </row>
    <row r="824" spans="40:47" x14ac:dyDescent="0.3">
      <c r="AN824" s="57"/>
      <c r="AO824" s="57"/>
      <c r="AP824" s="57"/>
      <c r="AQ824" s="57"/>
      <c r="AR824" s="57"/>
      <c r="AS824" s="57"/>
      <c r="AT824" s="57"/>
      <c r="AU824" s="57"/>
    </row>
    <row r="825" spans="40:47" x14ac:dyDescent="0.3">
      <c r="AN825" s="57"/>
      <c r="AO825" s="57"/>
      <c r="AP825" s="57"/>
      <c r="AQ825" s="57"/>
      <c r="AR825" s="57"/>
      <c r="AS825" s="57"/>
      <c r="AT825" s="57"/>
      <c r="AU825" s="57"/>
    </row>
    <row r="826" spans="40:47" x14ac:dyDescent="0.3">
      <c r="AN826" s="57"/>
      <c r="AO826" s="57"/>
      <c r="AP826" s="57"/>
      <c r="AQ826" s="57"/>
      <c r="AR826" s="57"/>
      <c r="AS826" s="57"/>
      <c r="AT826" s="57"/>
      <c r="AU826" s="57"/>
    </row>
    <row r="827" spans="40:47" x14ac:dyDescent="0.3">
      <c r="AN827" s="57"/>
      <c r="AO827" s="57"/>
      <c r="AP827" s="57"/>
      <c r="AQ827" s="57"/>
      <c r="AR827" s="57"/>
      <c r="AS827" s="57"/>
      <c r="AT827" s="57"/>
      <c r="AU827" s="57"/>
    </row>
    <row r="828" spans="40:47" x14ac:dyDescent="0.3">
      <c r="AN828" s="57"/>
      <c r="AO828" s="57"/>
      <c r="AP828" s="57"/>
      <c r="AQ828" s="57"/>
      <c r="AR828" s="57"/>
      <c r="AS828" s="57"/>
      <c r="AT828" s="57"/>
      <c r="AU828" s="57"/>
    </row>
    <row r="829" spans="40:47" x14ac:dyDescent="0.3">
      <c r="AN829" s="57"/>
      <c r="AO829" s="57"/>
      <c r="AP829" s="57"/>
      <c r="AQ829" s="57"/>
      <c r="AR829" s="57"/>
      <c r="AS829" s="57"/>
      <c r="AT829" s="57"/>
      <c r="AU829" s="57"/>
    </row>
    <row r="830" spans="40:47" x14ac:dyDescent="0.3">
      <c r="AN830" s="57"/>
      <c r="AO830" s="57"/>
      <c r="AP830" s="57"/>
      <c r="AQ830" s="57"/>
      <c r="AR830" s="57"/>
      <c r="AS830" s="57"/>
      <c r="AT830" s="57"/>
      <c r="AU830" s="57"/>
    </row>
    <row r="831" spans="40:47" x14ac:dyDescent="0.3">
      <c r="AN831" s="57"/>
      <c r="AO831" s="57"/>
      <c r="AP831" s="57"/>
      <c r="AQ831" s="57"/>
      <c r="AR831" s="57"/>
      <c r="AS831" s="57"/>
      <c r="AT831" s="57"/>
      <c r="AU831" s="57"/>
    </row>
    <row r="832" spans="40:47" x14ac:dyDescent="0.3">
      <c r="AN832" s="57"/>
      <c r="AO832" s="57"/>
      <c r="AP832" s="57"/>
      <c r="AQ832" s="57"/>
      <c r="AR832" s="57"/>
      <c r="AS832" s="57"/>
      <c r="AT832" s="57"/>
      <c r="AU832" s="57"/>
    </row>
    <row r="833" spans="40:47" x14ac:dyDescent="0.3">
      <c r="AN833" s="57"/>
      <c r="AO833" s="57"/>
      <c r="AP833" s="57"/>
      <c r="AQ833" s="57"/>
      <c r="AR833" s="57"/>
      <c r="AS833" s="57"/>
      <c r="AT833" s="57"/>
      <c r="AU833" s="57"/>
    </row>
    <row r="834" spans="40:47" x14ac:dyDescent="0.3">
      <c r="AN834" s="57"/>
      <c r="AO834" s="57"/>
      <c r="AP834" s="57"/>
      <c r="AQ834" s="57"/>
      <c r="AR834" s="57"/>
      <c r="AS834" s="57"/>
      <c r="AT834" s="57"/>
      <c r="AU834" s="57"/>
    </row>
    <row r="835" spans="40:47" x14ac:dyDescent="0.3">
      <c r="AN835" s="57"/>
      <c r="AO835" s="57"/>
      <c r="AP835" s="57"/>
      <c r="AQ835" s="57"/>
      <c r="AR835" s="57"/>
      <c r="AS835" s="57"/>
      <c r="AT835" s="57"/>
      <c r="AU835" s="57"/>
    </row>
    <row r="836" spans="40:47" x14ac:dyDescent="0.3">
      <c r="AN836" s="57"/>
      <c r="AO836" s="57"/>
      <c r="AP836" s="57"/>
      <c r="AQ836" s="57"/>
      <c r="AR836" s="57"/>
      <c r="AS836" s="57"/>
      <c r="AT836" s="57"/>
      <c r="AU836" s="57"/>
    </row>
    <row r="837" spans="40:47" x14ac:dyDescent="0.3">
      <c r="AN837" s="57"/>
      <c r="AO837" s="57"/>
      <c r="AP837" s="57"/>
      <c r="AQ837" s="57"/>
      <c r="AR837" s="57"/>
      <c r="AS837" s="57"/>
      <c r="AT837" s="57"/>
      <c r="AU837" s="57"/>
    </row>
    <row r="838" spans="40:47" x14ac:dyDescent="0.3">
      <c r="AN838" s="57"/>
      <c r="AO838" s="57"/>
      <c r="AP838" s="57"/>
      <c r="AQ838" s="57"/>
      <c r="AR838" s="57"/>
      <c r="AS838" s="57"/>
      <c r="AT838" s="57"/>
      <c r="AU838" s="57"/>
    </row>
    <row r="839" spans="40:47" x14ac:dyDescent="0.3">
      <c r="AN839" s="57"/>
      <c r="AO839" s="57"/>
      <c r="AP839" s="57"/>
      <c r="AQ839" s="57"/>
      <c r="AR839" s="57"/>
      <c r="AS839" s="57"/>
      <c r="AT839" s="57"/>
      <c r="AU839" s="57"/>
    </row>
    <row r="840" spans="40:47" x14ac:dyDescent="0.3">
      <c r="AN840" s="57"/>
      <c r="AO840" s="57"/>
      <c r="AP840" s="57"/>
      <c r="AQ840" s="57"/>
      <c r="AR840" s="57"/>
      <c r="AS840" s="57"/>
      <c r="AT840" s="57"/>
      <c r="AU840" s="57"/>
    </row>
    <row r="841" spans="40:47" x14ac:dyDescent="0.3">
      <c r="AN841" s="57"/>
      <c r="AO841" s="57"/>
      <c r="AP841" s="57"/>
      <c r="AQ841" s="57"/>
      <c r="AR841" s="57"/>
      <c r="AS841" s="57"/>
      <c r="AT841" s="57"/>
      <c r="AU841" s="57"/>
    </row>
    <row r="842" spans="40:47" x14ac:dyDescent="0.3">
      <c r="AN842" s="57"/>
      <c r="AO842" s="57"/>
      <c r="AP842" s="57"/>
      <c r="AQ842" s="57"/>
      <c r="AR842" s="57"/>
      <c r="AS842" s="57"/>
      <c r="AT842" s="57"/>
      <c r="AU842" s="57"/>
    </row>
    <row r="843" spans="40:47" x14ac:dyDescent="0.3">
      <c r="AN843" s="57"/>
      <c r="AO843" s="57"/>
      <c r="AP843" s="57"/>
      <c r="AQ843" s="57"/>
      <c r="AR843" s="57"/>
      <c r="AS843" s="57"/>
      <c r="AT843" s="57"/>
      <c r="AU843" s="57"/>
    </row>
    <row r="844" spans="40:47" x14ac:dyDescent="0.3">
      <c r="AN844" s="57"/>
      <c r="AO844" s="57"/>
      <c r="AP844" s="57"/>
      <c r="AQ844" s="57"/>
      <c r="AR844" s="57"/>
      <c r="AS844" s="57"/>
      <c r="AT844" s="57"/>
      <c r="AU844" s="57"/>
    </row>
    <row r="845" spans="40:47" x14ac:dyDescent="0.3">
      <c r="AN845" s="57"/>
      <c r="AO845" s="57"/>
      <c r="AP845" s="57"/>
      <c r="AQ845" s="57"/>
      <c r="AR845" s="57"/>
      <c r="AS845" s="57"/>
      <c r="AT845" s="57"/>
      <c r="AU845" s="57"/>
    </row>
    <row r="846" spans="40:47" x14ac:dyDescent="0.3">
      <c r="AN846" s="57"/>
      <c r="AO846" s="57"/>
      <c r="AP846" s="57"/>
      <c r="AQ846" s="57"/>
      <c r="AR846" s="57"/>
      <c r="AS846" s="57"/>
      <c r="AT846" s="57"/>
      <c r="AU846" s="57"/>
    </row>
    <row r="847" spans="40:47" x14ac:dyDescent="0.3">
      <c r="AN847" s="57"/>
      <c r="AO847" s="57"/>
      <c r="AP847" s="57"/>
      <c r="AQ847" s="57"/>
      <c r="AR847" s="57"/>
      <c r="AS847" s="57"/>
      <c r="AT847" s="57"/>
      <c r="AU847" s="57"/>
    </row>
    <row r="848" spans="40:47" x14ac:dyDescent="0.3">
      <c r="AN848" s="57"/>
      <c r="AO848" s="57"/>
      <c r="AP848" s="57"/>
      <c r="AQ848" s="57"/>
      <c r="AR848" s="57"/>
      <c r="AS848" s="57"/>
      <c r="AT848" s="57"/>
      <c r="AU848" s="57"/>
    </row>
    <row r="849" spans="40:47" x14ac:dyDescent="0.3">
      <c r="AN849" s="57"/>
      <c r="AO849" s="57"/>
      <c r="AP849" s="57"/>
      <c r="AQ849" s="57"/>
      <c r="AR849" s="57"/>
      <c r="AS849" s="57"/>
      <c r="AT849" s="57"/>
      <c r="AU849" s="57"/>
    </row>
    <row r="850" spans="40:47" x14ac:dyDescent="0.3">
      <c r="AN850" s="57"/>
      <c r="AO850" s="57"/>
      <c r="AP850" s="57"/>
      <c r="AQ850" s="57"/>
      <c r="AR850" s="57"/>
      <c r="AS850" s="57"/>
      <c r="AT850" s="57"/>
      <c r="AU850" s="57"/>
    </row>
    <row r="851" spans="40:47" x14ac:dyDescent="0.3">
      <c r="AN851" s="57"/>
      <c r="AO851" s="57"/>
      <c r="AP851" s="57"/>
      <c r="AQ851" s="57"/>
      <c r="AR851" s="57"/>
      <c r="AS851" s="57"/>
      <c r="AT851" s="57"/>
      <c r="AU851" s="57"/>
    </row>
    <row r="852" spans="40:47" x14ac:dyDescent="0.3">
      <c r="AN852" s="57"/>
      <c r="AO852" s="57"/>
      <c r="AP852" s="57"/>
      <c r="AQ852" s="57"/>
      <c r="AR852" s="57"/>
      <c r="AS852" s="57"/>
      <c r="AT852" s="57"/>
      <c r="AU852" s="57"/>
    </row>
    <row r="853" spans="40:47" x14ac:dyDescent="0.3">
      <c r="AN853" s="57"/>
      <c r="AO853" s="57"/>
      <c r="AP853" s="57"/>
      <c r="AQ853" s="57"/>
      <c r="AR853" s="57"/>
      <c r="AS853" s="57"/>
      <c r="AT853" s="57"/>
      <c r="AU853" s="57"/>
    </row>
    <row r="854" spans="40:47" x14ac:dyDescent="0.3">
      <c r="AN854" s="57"/>
      <c r="AO854" s="57"/>
      <c r="AP854" s="57"/>
      <c r="AQ854" s="57"/>
      <c r="AR854" s="57"/>
      <c r="AS854" s="57"/>
      <c r="AT854" s="57"/>
      <c r="AU854" s="57"/>
    </row>
    <row r="855" spans="40:47" x14ac:dyDescent="0.3">
      <c r="AN855" s="57"/>
      <c r="AO855" s="57"/>
      <c r="AP855" s="57"/>
      <c r="AQ855" s="57"/>
      <c r="AR855" s="57"/>
      <c r="AS855" s="57"/>
      <c r="AT855" s="57"/>
      <c r="AU855" s="57"/>
    </row>
    <row r="856" spans="40:47" x14ac:dyDescent="0.3">
      <c r="AN856" s="57"/>
      <c r="AO856" s="57"/>
      <c r="AP856" s="57"/>
      <c r="AQ856" s="57"/>
      <c r="AR856" s="57"/>
      <c r="AS856" s="57"/>
      <c r="AT856" s="57"/>
      <c r="AU856" s="57"/>
    </row>
    <row r="857" spans="40:47" x14ac:dyDescent="0.3">
      <c r="AN857" s="57"/>
      <c r="AO857" s="57"/>
      <c r="AP857" s="57"/>
      <c r="AQ857" s="57"/>
      <c r="AR857" s="57"/>
      <c r="AS857" s="57"/>
      <c r="AT857" s="57"/>
      <c r="AU857" s="57"/>
    </row>
    <row r="858" spans="40:47" x14ac:dyDescent="0.3">
      <c r="AN858" s="57"/>
      <c r="AO858" s="57"/>
      <c r="AP858" s="57"/>
      <c r="AQ858" s="57"/>
      <c r="AR858" s="57"/>
      <c r="AS858" s="57"/>
      <c r="AT858" s="57"/>
      <c r="AU858" s="57"/>
    </row>
    <row r="859" spans="40:47" x14ac:dyDescent="0.3">
      <c r="AN859" s="57"/>
      <c r="AO859" s="57"/>
      <c r="AP859" s="57"/>
      <c r="AQ859" s="57"/>
      <c r="AR859" s="57"/>
      <c r="AS859" s="57"/>
      <c r="AT859" s="57"/>
      <c r="AU859" s="57"/>
    </row>
    <row r="860" spans="40:47" x14ac:dyDescent="0.3">
      <c r="AN860" s="57"/>
      <c r="AO860" s="57"/>
      <c r="AP860" s="57"/>
      <c r="AQ860" s="57"/>
      <c r="AR860" s="57"/>
      <c r="AS860" s="57"/>
      <c r="AT860" s="57"/>
      <c r="AU860" s="57"/>
    </row>
    <row r="861" spans="40:47" x14ac:dyDescent="0.3">
      <c r="AN861" s="57"/>
      <c r="AO861" s="57"/>
      <c r="AP861" s="57"/>
      <c r="AQ861" s="57"/>
      <c r="AR861" s="57"/>
      <c r="AS861" s="57"/>
      <c r="AT861" s="57"/>
      <c r="AU861" s="57"/>
    </row>
    <row r="862" spans="40:47" x14ac:dyDescent="0.3">
      <c r="AN862" s="57"/>
      <c r="AO862" s="57"/>
      <c r="AP862" s="57"/>
      <c r="AQ862" s="57"/>
      <c r="AR862" s="57"/>
      <c r="AS862" s="57"/>
      <c r="AT862" s="57"/>
      <c r="AU862" s="57"/>
    </row>
    <row r="863" spans="40:47" x14ac:dyDescent="0.3">
      <c r="AN863" s="57"/>
      <c r="AO863" s="57"/>
      <c r="AP863" s="57"/>
      <c r="AQ863" s="57"/>
      <c r="AR863" s="57"/>
      <c r="AS863" s="57"/>
      <c r="AT863" s="57"/>
      <c r="AU863" s="57"/>
    </row>
    <row r="864" spans="40:47" x14ac:dyDescent="0.3">
      <c r="AN864" s="57"/>
      <c r="AO864" s="57"/>
      <c r="AP864" s="57"/>
      <c r="AQ864" s="57"/>
      <c r="AR864" s="57"/>
      <c r="AS864" s="57"/>
      <c r="AT864" s="57"/>
      <c r="AU864" s="57"/>
    </row>
    <row r="865" spans="40:47" x14ac:dyDescent="0.3">
      <c r="AN865" s="57"/>
      <c r="AO865" s="57"/>
      <c r="AP865" s="57"/>
      <c r="AQ865" s="57"/>
      <c r="AR865" s="57"/>
      <c r="AS865" s="57"/>
      <c r="AT865" s="57"/>
      <c r="AU865" s="57"/>
    </row>
    <row r="866" spans="40:47" x14ac:dyDescent="0.3">
      <c r="AN866" s="57"/>
      <c r="AO866" s="57"/>
      <c r="AP866" s="57"/>
      <c r="AQ866" s="57"/>
      <c r="AR866" s="57"/>
      <c r="AS866" s="57"/>
      <c r="AT866" s="57"/>
      <c r="AU866" s="57"/>
    </row>
    <row r="867" spans="40:47" x14ac:dyDescent="0.3">
      <c r="AN867" s="57"/>
      <c r="AO867" s="57"/>
      <c r="AP867" s="57"/>
      <c r="AQ867" s="57"/>
      <c r="AR867" s="57"/>
      <c r="AS867" s="57"/>
      <c r="AT867" s="57"/>
      <c r="AU867" s="57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6EAB-4129-467E-8D59-F687E7BC1F45}">
  <sheetPr codeName="Sheet6"/>
  <dimension ref="A1:AE126"/>
  <sheetViews>
    <sheetView topLeftCell="K1" workbookViewId="0">
      <selection activeCell="O2" sqref="O2"/>
    </sheetView>
  </sheetViews>
  <sheetFormatPr defaultRowHeight="15.6" x14ac:dyDescent="0.3"/>
  <sheetData>
    <row r="1" spans="1:31" x14ac:dyDescent="0.3">
      <c r="C1" t="s">
        <v>270</v>
      </c>
      <c r="AA1" t="s">
        <v>26</v>
      </c>
    </row>
    <row r="2" spans="1:31" ht="16.2" thickBot="1" x14ac:dyDescent="0.35">
      <c r="A2" s="40" t="s">
        <v>54</v>
      </c>
      <c r="B2" s="40" t="s">
        <v>64</v>
      </c>
      <c r="C2" s="40" t="s">
        <v>65</v>
      </c>
      <c r="D2" s="40" t="s">
        <v>61</v>
      </c>
      <c r="E2" s="40" t="s">
        <v>150</v>
      </c>
      <c r="F2" s="40" t="s">
        <v>151</v>
      </c>
      <c r="G2" s="40" t="s">
        <v>152</v>
      </c>
      <c r="H2" s="40" t="s">
        <v>154</v>
      </c>
      <c r="I2" s="40" t="s">
        <v>34</v>
      </c>
      <c r="J2" s="40" t="s">
        <v>156</v>
      </c>
      <c r="K2" s="43" t="s">
        <v>169</v>
      </c>
      <c r="L2" s="50"/>
      <c r="N2" s="50" t="s">
        <v>281</v>
      </c>
      <c r="O2" t="str">
        <f t="array" aca="1" ref="O2:V26" ca="1">optionChainGreeks(spot,N3:N26,J3:J26,K3:K26,Details!B6,Greeks!I3,Details!B7)</f>
        <v>Option Price</v>
      </c>
      <c r="P2" s="53" t="str">
        <f ca="1"/>
        <v>Option Type</v>
      </c>
      <c r="Q2" t="str">
        <f ca="1"/>
        <v>Implied Vol</v>
      </c>
      <c r="R2" t="str">
        <f ca="1"/>
        <v>Delta</v>
      </c>
      <c r="S2" t="str">
        <f ca="1"/>
        <v>Gamma</v>
      </c>
      <c r="T2" t="str">
        <f ca="1"/>
        <v>Vega</v>
      </c>
      <c r="U2" t="str">
        <f ca="1"/>
        <v>Theta</v>
      </c>
      <c r="V2" t="str">
        <f ca="1"/>
        <v>Rho</v>
      </c>
      <c r="W2" t="s">
        <v>54</v>
      </c>
      <c r="X2" t="s">
        <v>155</v>
      </c>
      <c r="Y2" t="s">
        <v>40</v>
      </c>
      <c r="Z2" t="s">
        <v>17</v>
      </c>
      <c r="AA2" t="s">
        <v>18</v>
      </c>
      <c r="AB2" t="s">
        <v>19</v>
      </c>
      <c r="AC2" t="s">
        <v>20</v>
      </c>
      <c r="AD2" t="s">
        <v>21</v>
      </c>
    </row>
    <row r="3" spans="1:31" ht="16.2" thickTop="1" x14ac:dyDescent="0.3">
      <c r="A3" s="41" t="s">
        <v>167</v>
      </c>
      <c r="B3" s="41" t="s">
        <v>200</v>
      </c>
      <c r="C3" s="41" t="s">
        <v>245</v>
      </c>
      <c r="D3" s="41" t="s">
        <v>227</v>
      </c>
      <c r="E3" s="41" t="s">
        <v>111</v>
      </c>
      <c r="F3" s="41" t="s">
        <v>111</v>
      </c>
      <c r="G3" s="41" t="s">
        <v>226</v>
      </c>
      <c r="H3" s="46">
        <v>45</v>
      </c>
      <c r="I3" s="46">
        <v>0.12328767123287671</v>
      </c>
      <c r="J3" s="46" t="s">
        <v>44</v>
      </c>
      <c r="K3" s="47">
        <v>143.65</v>
      </c>
      <c r="L3" s="51"/>
      <c r="N3">
        <f>VALUE(A3)</f>
        <v>3990</v>
      </c>
      <c r="O3" s="5">
        <f ca="1"/>
        <v>146.02997786227115</v>
      </c>
      <c r="P3" s="5" t="str">
        <f ca="1"/>
        <v>p</v>
      </c>
      <c r="Q3" s="53">
        <f ca="1"/>
        <v>0.28982167268425663</v>
      </c>
      <c r="R3" s="54">
        <f ca="1"/>
        <v>-0.4466860318755449</v>
      </c>
      <c r="S3" s="54">
        <f ca="1"/>
        <v>9.6553941298028773E-4</v>
      </c>
      <c r="T3" s="54">
        <f ca="1"/>
        <v>5.5793184720542115</v>
      </c>
      <c r="U3" s="5">
        <f ca="1"/>
        <v>-174.34902774193006</v>
      </c>
      <c r="V3">
        <f ca="1"/>
        <v>-239.03592808841793</v>
      </c>
      <c r="AE3" t="str">
        <f ca="1">optionChainGreeks(spot,VALUE(data[Strike]),data[OptType],VALUE(data[Cnt Price]),Details!B6,AJ847,Details!B7)</f>
        <v>TypeError: object of type 'float' has no len()
    if (len(strikes) != len(optTypes) or len(optTypes) != len(cntPrices)):
  File "c:\work\freelance\test\GreekCalculator.py", line 74, in optionChainGreeks
    ret = func(*args)
  File "C:\Python310\lib\site-packages\xlwings\udfs.py", line 543,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" spans="1:31" x14ac:dyDescent="0.3">
      <c r="A4" s="42" t="s">
        <v>107</v>
      </c>
      <c r="B4" s="42" t="s">
        <v>246</v>
      </c>
      <c r="C4" s="42" t="s">
        <v>220</v>
      </c>
      <c r="D4" s="42"/>
      <c r="E4" s="42" t="s">
        <v>112</v>
      </c>
      <c r="F4" s="42" t="s">
        <v>112</v>
      </c>
      <c r="G4" s="42" t="s">
        <v>226</v>
      </c>
      <c r="H4" s="48">
        <v>45</v>
      </c>
      <c r="I4" s="48">
        <v>0.12328767123287671</v>
      </c>
      <c r="J4" s="48" t="s">
        <v>38</v>
      </c>
      <c r="K4" s="49">
        <v>244.29999999999998</v>
      </c>
      <c r="L4" s="52"/>
      <c r="N4">
        <f t="shared" ref="N4:N26" si="0">VALUE(A4)</f>
        <v>3900</v>
      </c>
      <c r="O4" s="5">
        <f ca="1"/>
        <v>241.45092152636789</v>
      </c>
      <c r="P4" s="53" t="str">
        <f ca="1"/>
        <v>c</v>
      </c>
      <c r="Q4" s="53">
        <f ca="1"/>
        <v>0.31148959441582508</v>
      </c>
      <c r="R4" s="54">
        <f ca="1"/>
        <v>0.63331888718657181</v>
      </c>
      <c r="S4" s="54">
        <f ca="1"/>
        <v>8.5538064034972744E-4</v>
      </c>
      <c r="T4" s="54">
        <f ca="1"/>
        <v>5.3123080034049535</v>
      </c>
      <c r="U4" s="5">
        <f ca="1"/>
        <v>-190.17059270912321</v>
      </c>
      <c r="V4">
        <f ca="1"/>
        <v>283.68338262580937</v>
      </c>
    </row>
    <row r="5" spans="1:31" x14ac:dyDescent="0.3">
      <c r="A5" s="41" t="s">
        <v>162</v>
      </c>
      <c r="B5" s="41" t="s">
        <v>247</v>
      </c>
      <c r="C5" s="41" t="s">
        <v>219</v>
      </c>
      <c r="D5" s="41"/>
      <c r="E5" s="41" t="s">
        <v>112</v>
      </c>
      <c r="F5" s="41" t="s">
        <v>112</v>
      </c>
      <c r="G5" s="41" t="s">
        <v>226</v>
      </c>
      <c r="H5" s="46">
        <v>45</v>
      </c>
      <c r="I5" s="46">
        <v>0.12328767123287671</v>
      </c>
      <c r="J5" s="46" t="s">
        <v>38</v>
      </c>
      <c r="K5" s="47">
        <v>237.5</v>
      </c>
      <c r="L5" s="51"/>
      <c r="N5">
        <f t="shared" si="0"/>
        <v>3910</v>
      </c>
      <c r="O5" s="5">
        <f ca="1"/>
        <v>234.68413135003584</v>
      </c>
      <c r="P5" s="5" t="str">
        <f ca="1"/>
        <v>c</v>
      </c>
      <c r="Q5" s="53">
        <f ca="1"/>
        <v>0.3097986595957522</v>
      </c>
      <c r="R5" s="54">
        <f ca="1"/>
        <v>0.62490113737492714</v>
      </c>
      <c r="S5" s="54">
        <f ca="1"/>
        <v>8.6638624479582046E-4</v>
      </c>
      <c r="T5" s="54">
        <f ca="1"/>
        <v>5.3514487437884055</v>
      </c>
      <c r="U5" s="5">
        <f ca="1"/>
        <v>-190.44566577488544</v>
      </c>
      <c r="V5">
        <f ca="1"/>
        <v>280.35087005362959</v>
      </c>
    </row>
    <row r="6" spans="1:31" x14ac:dyDescent="0.3">
      <c r="A6" s="42" t="s">
        <v>162</v>
      </c>
      <c r="B6" s="42" t="s">
        <v>210</v>
      </c>
      <c r="C6" s="42" t="s">
        <v>248</v>
      </c>
      <c r="D6" s="42" t="s">
        <v>217</v>
      </c>
      <c r="E6" s="42" t="s">
        <v>83</v>
      </c>
      <c r="F6" s="42" t="s">
        <v>83</v>
      </c>
      <c r="G6" s="42" t="s">
        <v>226</v>
      </c>
      <c r="H6" s="48">
        <v>45</v>
      </c>
      <c r="I6" s="48">
        <v>0.12328767123287671</v>
      </c>
      <c r="J6" s="48" t="s">
        <v>44</v>
      </c>
      <c r="K6" s="49">
        <v>115.25</v>
      </c>
      <c r="L6" s="52"/>
      <c r="N6">
        <f t="shared" si="0"/>
        <v>3910</v>
      </c>
      <c r="O6" s="5">
        <f ca="1"/>
        <v>117.23201055288973</v>
      </c>
      <c r="P6" s="5" t="str">
        <f ca="1"/>
        <v>p</v>
      </c>
      <c r="Q6" s="53">
        <f ca="1"/>
        <v>0.30290829348576681</v>
      </c>
      <c r="R6" s="54">
        <f ca="1"/>
        <v>-0.373281717048489</v>
      </c>
      <c r="S6" s="54">
        <f ca="1"/>
        <v>8.8473226600084348E-4</v>
      </c>
      <c r="T6" s="54">
        <f ca="1"/>
        <v>5.3432232181186592</v>
      </c>
      <c r="U6" s="5">
        <f ca="1"/>
        <v>-175.40274753272178</v>
      </c>
      <c r="V6">
        <f ca="1"/>
        <v>-199.16379876212218</v>
      </c>
    </row>
    <row r="7" spans="1:31" x14ac:dyDescent="0.3">
      <c r="A7" s="41" t="s">
        <v>163</v>
      </c>
      <c r="B7" s="41" t="s">
        <v>224</v>
      </c>
      <c r="C7" s="41" t="s">
        <v>249</v>
      </c>
      <c r="D7" s="41"/>
      <c r="E7" s="41" t="s">
        <v>95</v>
      </c>
      <c r="F7" s="41" t="s">
        <v>95</v>
      </c>
      <c r="G7" s="41" t="s">
        <v>226</v>
      </c>
      <c r="H7" s="46">
        <v>45</v>
      </c>
      <c r="I7" s="46">
        <v>0.12328767123287671</v>
      </c>
      <c r="J7" s="46" t="s">
        <v>38</v>
      </c>
      <c r="K7" s="47">
        <v>230.8</v>
      </c>
      <c r="L7" s="51"/>
      <c r="N7">
        <f t="shared" si="0"/>
        <v>3920</v>
      </c>
      <c r="O7" s="5">
        <f ca="1"/>
        <v>228.01815584034193</v>
      </c>
      <c r="P7" s="5" t="str">
        <f ca="1"/>
        <v>c</v>
      </c>
      <c r="Q7" s="53">
        <f ca="1"/>
        <v>0.30814926723614033</v>
      </c>
      <c r="R7" s="54">
        <f ca="1"/>
        <v>0.61634476935808447</v>
      </c>
      <c r="S7" s="54">
        <f ca="1"/>
        <v>8.7705942962766181E-4</v>
      </c>
      <c r="T7" s="54">
        <f ca="1"/>
        <v>5.3885317818074645</v>
      </c>
      <c r="U7" s="5">
        <f ca="1"/>
        <v>-190.6586574460577</v>
      </c>
      <c r="V7" s="4">
        <f ca="1"/>
        <v>276.93734469960037</v>
      </c>
    </row>
    <row r="8" spans="1:31" x14ac:dyDescent="0.3">
      <c r="A8" s="42" t="s">
        <v>124</v>
      </c>
      <c r="B8" s="42" t="s">
        <v>250</v>
      </c>
      <c r="C8" s="42" t="s">
        <v>251</v>
      </c>
      <c r="D8" s="42" t="s">
        <v>228</v>
      </c>
      <c r="E8" s="42" t="s">
        <v>83</v>
      </c>
      <c r="F8" s="42" t="s">
        <v>83</v>
      </c>
      <c r="G8" s="42" t="s">
        <v>226</v>
      </c>
      <c r="H8" s="48">
        <v>45</v>
      </c>
      <c r="I8" s="48">
        <v>0.12328767123287671</v>
      </c>
      <c r="J8" s="48" t="s">
        <v>44</v>
      </c>
      <c r="K8" s="49">
        <v>120.14999999999999</v>
      </c>
      <c r="L8" s="52"/>
      <c r="N8">
        <f t="shared" si="0"/>
        <v>3925</v>
      </c>
      <c r="O8" s="5">
        <f ca="1"/>
        <v>122.20297261523137</v>
      </c>
      <c r="P8" s="5" t="str">
        <f ca="1"/>
        <v>p</v>
      </c>
      <c r="Q8" s="53">
        <f ca="1"/>
        <v>0.30042835630946335</v>
      </c>
      <c r="R8" s="54">
        <f ca="1"/>
        <v>-0.38641717537665343</v>
      </c>
      <c r="S8" s="54">
        <f ca="1"/>
        <v>9.0150137873116825E-4</v>
      </c>
      <c r="T8" s="54">
        <f ca="1"/>
        <v>5.3999234606766047</v>
      </c>
      <c r="U8" s="5">
        <f ca="1"/>
        <v>-175.66488546324388</v>
      </c>
      <c r="V8" s="4">
        <f ca="1"/>
        <v>-206.2763314756431</v>
      </c>
    </row>
    <row r="9" spans="1:31" x14ac:dyDescent="0.3">
      <c r="A9" s="41" t="s">
        <v>161</v>
      </c>
      <c r="B9" s="41" t="s">
        <v>252</v>
      </c>
      <c r="C9" s="41" t="s">
        <v>253</v>
      </c>
      <c r="D9" s="41"/>
      <c r="E9" s="41" t="s">
        <v>95</v>
      </c>
      <c r="F9" s="41" t="s">
        <v>95</v>
      </c>
      <c r="G9" s="41" t="s">
        <v>226</v>
      </c>
      <c r="H9" s="46">
        <v>45</v>
      </c>
      <c r="I9" s="46">
        <v>0.12328767123287671</v>
      </c>
      <c r="J9" s="46" t="s">
        <v>38</v>
      </c>
      <c r="K9" s="47">
        <v>224.2</v>
      </c>
      <c r="L9" s="51"/>
      <c r="N9">
        <f t="shared" si="0"/>
        <v>3930</v>
      </c>
      <c r="O9" s="5">
        <f ca="1"/>
        <v>221.45297023108014</v>
      </c>
      <c r="P9" s="5" t="str">
        <f ca="1"/>
        <v>c</v>
      </c>
      <c r="Q9" s="53">
        <f ca="1"/>
        <v>0.30653790147411319</v>
      </c>
      <c r="R9" s="54">
        <f ca="1"/>
        <v>0.60765483118415164</v>
      </c>
      <c r="S9" s="54">
        <f ca="1"/>
        <v>8.8737896028646046E-4</v>
      </c>
      <c r="T9" s="54">
        <f ca="1"/>
        <v>5.4234244477708407</v>
      </c>
      <c r="U9" s="5">
        <f ca="1"/>
        <v>-190.80463078095292</v>
      </c>
      <c r="V9" s="4">
        <f ca="1"/>
        <v>273.44530777364798</v>
      </c>
    </row>
    <row r="10" spans="1:31" x14ac:dyDescent="0.3">
      <c r="A10" s="42" t="s">
        <v>164</v>
      </c>
      <c r="B10" s="42" t="s">
        <v>204</v>
      </c>
      <c r="C10" s="42" t="s">
        <v>222</v>
      </c>
      <c r="D10" s="42" t="s">
        <v>229</v>
      </c>
      <c r="E10" s="42" t="s">
        <v>109</v>
      </c>
      <c r="F10" s="42" t="s">
        <v>109</v>
      </c>
      <c r="G10" s="42" t="s">
        <v>226</v>
      </c>
      <c r="H10" s="48">
        <v>45</v>
      </c>
      <c r="I10" s="48">
        <v>0.12328767123287671</v>
      </c>
      <c r="J10" s="48" t="s">
        <v>44</v>
      </c>
      <c r="K10" s="49">
        <v>125.25</v>
      </c>
      <c r="L10" s="52"/>
      <c r="N10">
        <f t="shared" si="0"/>
        <v>3940</v>
      </c>
      <c r="O10" s="5">
        <f ca="1"/>
        <v>127.37568915104475</v>
      </c>
      <c r="P10" s="5" t="str">
        <f ca="1"/>
        <v>p</v>
      </c>
      <c r="Q10" s="53">
        <f ca="1"/>
        <v>0.29797823500423531</v>
      </c>
      <c r="R10" s="54">
        <f ca="1"/>
        <v>-0.39985502288600072</v>
      </c>
      <c r="S10" s="54">
        <f ca="1"/>
        <v>9.1756914216404651E-4</v>
      </c>
      <c r="T10" s="54">
        <f ca="1"/>
        <v>5.4513445258150917</v>
      </c>
      <c r="U10" s="5">
        <f ca="1"/>
        <v>-175.73518419283425</v>
      </c>
      <c r="V10" s="4">
        <f ca="1"/>
        <v>-213.56335267697557</v>
      </c>
    </row>
    <row r="11" spans="1:31" x14ac:dyDescent="0.3">
      <c r="A11" s="41" t="s">
        <v>126</v>
      </c>
      <c r="B11" s="41" t="s">
        <v>254</v>
      </c>
      <c r="C11" s="41" t="s">
        <v>255</v>
      </c>
      <c r="D11" s="41" t="s">
        <v>205</v>
      </c>
      <c r="E11" s="41" t="s">
        <v>109</v>
      </c>
      <c r="F11" s="41" t="s">
        <v>109</v>
      </c>
      <c r="G11" s="41" t="s">
        <v>226</v>
      </c>
      <c r="H11" s="46">
        <v>45</v>
      </c>
      <c r="I11" s="46">
        <v>0.12328767123287671</v>
      </c>
      <c r="J11" s="46" t="s">
        <v>44</v>
      </c>
      <c r="K11" s="47">
        <v>137.95000000000002</v>
      </c>
      <c r="L11" s="51"/>
      <c r="N11">
        <f t="shared" si="0"/>
        <v>3975</v>
      </c>
      <c r="O11" s="5">
        <f ca="1"/>
        <v>140.25192536560826</v>
      </c>
      <c r="P11" s="5" t="str">
        <f ca="1"/>
        <v>p</v>
      </c>
      <c r="Q11" s="53">
        <f ca="1"/>
        <v>0.29236198646320177</v>
      </c>
      <c r="R11" s="54">
        <f ca="1"/>
        <v>-0.43232708130243136</v>
      </c>
      <c r="S11" s="54">
        <f ca="1"/>
        <v>9.5185825978754866E-4</v>
      </c>
      <c r="T11" s="54">
        <f ca="1"/>
        <v>5.548472962428705</v>
      </c>
      <c r="U11" s="5">
        <f ca="1"/>
        <v>-175.09575799532999</v>
      </c>
      <c r="V11" s="4">
        <f ca="1"/>
        <v>-231.21853613001895</v>
      </c>
    </row>
    <row r="12" spans="1:31" x14ac:dyDescent="0.3">
      <c r="A12" s="42" t="s">
        <v>166</v>
      </c>
      <c r="B12" s="42" t="s">
        <v>218</v>
      </c>
      <c r="C12" s="42" t="s">
        <v>256</v>
      </c>
      <c r="D12" s="42"/>
      <c r="E12" s="42" t="s">
        <v>95</v>
      </c>
      <c r="F12" s="42" t="s">
        <v>95</v>
      </c>
      <c r="G12" s="42" t="s">
        <v>226</v>
      </c>
      <c r="H12" s="48">
        <v>45</v>
      </c>
      <c r="I12" s="48">
        <v>0.12328767123287671</v>
      </c>
      <c r="J12" s="48" t="s">
        <v>38</v>
      </c>
      <c r="K12" s="49">
        <v>192.2</v>
      </c>
      <c r="L12" s="52"/>
      <c r="N12">
        <f t="shared" si="0"/>
        <v>3980</v>
      </c>
      <c r="O12" s="5">
        <f ca="1"/>
        <v>189.63704811278831</v>
      </c>
      <c r="P12" s="5" t="str">
        <f ca="1"/>
        <v>c</v>
      </c>
      <c r="Q12" s="53">
        <f ca="1"/>
        <v>0.2980402320878055</v>
      </c>
      <c r="R12" s="54">
        <f ca="1"/>
        <v>0.56244366003927682</v>
      </c>
      <c r="S12" s="54">
        <f ca="1"/>
        <v>9.3575770181379106E-4</v>
      </c>
      <c r="T12" s="54">
        <f ca="1"/>
        <v>5.5605607565931292</v>
      </c>
      <c r="U12" s="5">
        <f ca="1"/>
        <v>-189.81461547117038</v>
      </c>
      <c r="V12" s="4">
        <f ca="1"/>
        <v>254.98904011699079</v>
      </c>
    </row>
    <row r="13" spans="1:31" x14ac:dyDescent="0.3">
      <c r="A13" s="41" t="s">
        <v>166</v>
      </c>
      <c r="B13" s="41" t="s">
        <v>257</v>
      </c>
      <c r="C13" s="41" t="s">
        <v>215</v>
      </c>
      <c r="D13" s="41" t="s">
        <v>230</v>
      </c>
      <c r="E13" s="41" t="s">
        <v>111</v>
      </c>
      <c r="F13" s="41" t="s">
        <v>111</v>
      </c>
      <c r="G13" s="41" t="s">
        <v>226</v>
      </c>
      <c r="H13" s="46">
        <v>45</v>
      </c>
      <c r="I13" s="46">
        <v>0.12328767123287671</v>
      </c>
      <c r="J13" s="46" t="s">
        <v>44</v>
      </c>
      <c r="K13" s="47">
        <v>139.85</v>
      </c>
      <c r="L13" s="51"/>
      <c r="N13">
        <f t="shared" si="0"/>
        <v>3980</v>
      </c>
      <c r="O13" s="5">
        <f ca="1"/>
        <v>142.17780805088023</v>
      </c>
      <c r="P13" s="5" t="str">
        <f ca="1"/>
        <v>p</v>
      </c>
      <c r="Q13" s="53">
        <f ca="1"/>
        <v>0.29155572709558264</v>
      </c>
      <c r="R13" s="54">
        <f ca="1"/>
        <v>-0.43708613329718637</v>
      </c>
      <c r="S13" s="54">
        <f ca="1"/>
        <v>9.5638985283428755E-4</v>
      </c>
      <c r="T13" s="54">
        <f ca="1"/>
        <v>5.5595139410347665</v>
      </c>
      <c r="U13" s="5">
        <f ca="1"/>
        <v>-174.89869744633262</v>
      </c>
      <c r="V13" s="4">
        <f ca="1"/>
        <v>-233.81082410947573</v>
      </c>
    </row>
    <row r="14" spans="1:31" x14ac:dyDescent="0.3">
      <c r="A14" s="42" t="s">
        <v>167</v>
      </c>
      <c r="B14" s="42" t="s">
        <v>258</v>
      </c>
      <c r="C14" s="42" t="s">
        <v>216</v>
      </c>
      <c r="D14" s="42" t="s">
        <v>223</v>
      </c>
      <c r="E14" s="42" t="s">
        <v>95</v>
      </c>
      <c r="F14" s="42" t="s">
        <v>95</v>
      </c>
      <c r="G14" s="42" t="s">
        <v>226</v>
      </c>
      <c r="H14" s="48">
        <v>45</v>
      </c>
      <c r="I14" s="48">
        <v>0.12328767123287671</v>
      </c>
      <c r="J14" s="48" t="s">
        <v>38</v>
      </c>
      <c r="K14" s="49">
        <v>186.1</v>
      </c>
      <c r="L14" s="52"/>
      <c r="N14">
        <f t="shared" si="0"/>
        <v>3990</v>
      </c>
      <c r="O14" s="5">
        <f ca="1"/>
        <v>183.57604039577473</v>
      </c>
      <c r="P14" s="5" t="str">
        <f ca="1"/>
        <v>c</v>
      </c>
      <c r="Q14" s="53">
        <f ca="1"/>
        <v>0.29641699740229627</v>
      </c>
      <c r="R14" s="54">
        <f ca="1"/>
        <v>0.55304021012126892</v>
      </c>
      <c r="S14" s="54">
        <f ca="1"/>
        <v>9.4414339965530867E-4</v>
      </c>
      <c r="T14" s="54">
        <f ca="1"/>
        <v>5.5798349430691845</v>
      </c>
      <c r="U14" s="5">
        <f ca="1"/>
        <v>-189.35958141392931</v>
      </c>
      <c r="V14" s="4">
        <f ca="1"/>
        <v>251.08182067357612</v>
      </c>
    </row>
    <row r="15" spans="1:31" x14ac:dyDescent="0.3">
      <c r="A15" s="41" t="s">
        <v>107</v>
      </c>
      <c r="B15" s="41" t="s">
        <v>259</v>
      </c>
      <c r="C15" s="41" t="s">
        <v>212</v>
      </c>
      <c r="D15" s="41" t="s">
        <v>231</v>
      </c>
      <c r="E15" s="41" t="s">
        <v>108</v>
      </c>
      <c r="F15" s="41" t="s">
        <v>108</v>
      </c>
      <c r="G15" s="41" t="s">
        <v>226</v>
      </c>
      <c r="H15" s="46">
        <v>45</v>
      </c>
      <c r="I15" s="46">
        <v>0.12328767123287671</v>
      </c>
      <c r="J15" s="46" t="s">
        <v>44</v>
      </c>
      <c r="K15" s="47">
        <v>112.05000000000001</v>
      </c>
      <c r="L15" s="51"/>
      <c r="N15">
        <f t="shared" si="0"/>
        <v>3900</v>
      </c>
      <c r="O15" s="5">
        <f ca="1"/>
        <v>113.98552404491693</v>
      </c>
      <c r="P15" s="5" t="str">
        <f ca="1"/>
        <v>p</v>
      </c>
      <c r="Q15" s="53">
        <f ca="1"/>
        <v>0.30449922186292688</v>
      </c>
      <c r="R15" s="54">
        <f ca="1"/>
        <v>-0.36467352655203</v>
      </c>
      <c r="S15" s="54">
        <f ca="1"/>
        <v>8.7341548558900705E-4</v>
      </c>
      <c r="T15" s="54">
        <f ca="1"/>
        <v>5.3025816180910121</v>
      </c>
      <c r="U15" s="5">
        <f ca="1"/>
        <v>-175.07590858662107</v>
      </c>
      <c r="V15" s="4">
        <f ca="1"/>
        <v>-194.50404907397319</v>
      </c>
    </row>
    <row r="16" spans="1:31" x14ac:dyDescent="0.3">
      <c r="A16" s="42" t="s">
        <v>163</v>
      </c>
      <c r="B16" s="42" t="s">
        <v>211</v>
      </c>
      <c r="C16" s="42" t="s">
        <v>213</v>
      </c>
      <c r="D16" s="42" t="s">
        <v>232</v>
      </c>
      <c r="E16" s="42" t="s">
        <v>83</v>
      </c>
      <c r="F16" s="42" t="s">
        <v>83</v>
      </c>
      <c r="G16" s="42" t="s">
        <v>226</v>
      </c>
      <c r="H16" s="48">
        <v>45</v>
      </c>
      <c r="I16" s="48">
        <v>0.12328767123287671</v>
      </c>
      <c r="J16" s="48" t="s">
        <v>44</v>
      </c>
      <c r="K16" s="49">
        <v>118.55</v>
      </c>
      <c r="L16" s="52"/>
      <c r="N16">
        <f t="shared" si="0"/>
        <v>3920</v>
      </c>
      <c r="O16" s="5">
        <f ca="1"/>
        <v>120.57931939448008</v>
      </c>
      <c r="P16" s="5" t="str">
        <f ca="1"/>
        <v>p</v>
      </c>
      <c r="Q16" s="53">
        <f ca="1"/>
        <v>0.30135477722921644</v>
      </c>
      <c r="R16" s="54">
        <f ca="1"/>
        <v>-0.38203002268137842</v>
      </c>
      <c r="S16" s="54">
        <f ca="1"/>
        <v>8.9569647548073267E-4</v>
      </c>
      <c r="T16" s="54">
        <f ca="1"/>
        <v>5.3816968819025179</v>
      </c>
      <c r="U16" s="5">
        <f ca="1"/>
        <v>-175.66318837116623</v>
      </c>
      <c r="V16" s="4">
        <f ca="1"/>
        <v>-203.90530297227176</v>
      </c>
    </row>
    <row r="17" spans="1:22" x14ac:dyDescent="0.3">
      <c r="A17" s="41" t="s">
        <v>124</v>
      </c>
      <c r="B17" s="41" t="s">
        <v>260</v>
      </c>
      <c r="C17" s="41" t="s">
        <v>261</v>
      </c>
      <c r="D17" s="41" t="s">
        <v>233</v>
      </c>
      <c r="E17" s="41" t="s">
        <v>95</v>
      </c>
      <c r="F17" s="41" t="s">
        <v>95</v>
      </c>
      <c r="G17" s="41" t="s">
        <v>226</v>
      </c>
      <c r="H17" s="46">
        <v>45</v>
      </c>
      <c r="I17" s="46">
        <v>0.12328767123287671</v>
      </c>
      <c r="J17" s="46" t="s">
        <v>38</v>
      </c>
      <c r="K17" s="47">
        <v>227.5</v>
      </c>
      <c r="L17" s="51"/>
      <c r="N17">
        <f t="shared" si="0"/>
        <v>3925</v>
      </c>
      <c r="O17" s="5">
        <f ca="1"/>
        <v>224.73550737832693</v>
      </c>
      <c r="P17" s="5" t="str">
        <f ca="1"/>
        <v>c</v>
      </c>
      <c r="Q17" s="53">
        <f ca="1"/>
        <v>0.30736224141304652</v>
      </c>
      <c r="R17" s="54">
        <f ca="1"/>
        <v>0.61201107083510942</v>
      </c>
      <c r="S17" s="54">
        <f ca="1"/>
        <v>8.8220146990497007E-4</v>
      </c>
      <c r="T17" s="54">
        <f ca="1"/>
        <v>5.4062805481684828</v>
      </c>
      <c r="U17" s="5">
        <f ca="1"/>
        <v>-190.75486530416094</v>
      </c>
      <c r="V17" s="4">
        <f ca="1"/>
        <v>275.19691062716856</v>
      </c>
    </row>
    <row r="18" spans="1:22" x14ac:dyDescent="0.3">
      <c r="A18" s="42" t="s">
        <v>161</v>
      </c>
      <c r="B18" s="42" t="s">
        <v>206</v>
      </c>
      <c r="C18" s="42" t="s">
        <v>221</v>
      </c>
      <c r="D18" s="42" t="s">
        <v>234</v>
      </c>
      <c r="E18" s="42" t="s">
        <v>83</v>
      </c>
      <c r="F18" s="42" t="s">
        <v>83</v>
      </c>
      <c r="G18" s="42" t="s">
        <v>226</v>
      </c>
      <c r="H18" s="48">
        <v>45</v>
      </c>
      <c r="I18" s="48">
        <v>0.12328767123287671</v>
      </c>
      <c r="J18" s="48" t="s">
        <v>44</v>
      </c>
      <c r="K18" s="49">
        <v>121.85000000000001</v>
      </c>
      <c r="L18" s="52"/>
      <c r="N18">
        <f t="shared" si="0"/>
        <v>3930</v>
      </c>
      <c r="O18" s="5">
        <f ca="1"/>
        <v>123.92709304035907</v>
      </c>
      <c r="P18" s="5" t="str">
        <f ca="1"/>
        <v>p</v>
      </c>
      <c r="Q18" s="53">
        <f ca="1"/>
        <v>0.29964999774740303</v>
      </c>
      <c r="R18" s="54">
        <f ca="1"/>
        <v>-0.39087247802811664</v>
      </c>
      <c r="S18" s="54">
        <f ca="1"/>
        <v>9.06819665147447E-4</v>
      </c>
      <c r="T18" s="54">
        <f ca="1"/>
        <v>5.4177067713182403</v>
      </c>
      <c r="U18" s="5">
        <f ca="1"/>
        <v>-175.73618222751327</v>
      </c>
      <c r="V18" s="4">
        <f ca="1"/>
        <v>-208.69345689622187</v>
      </c>
    </row>
    <row r="19" spans="1:22" x14ac:dyDescent="0.3">
      <c r="A19" s="41" t="s">
        <v>164</v>
      </c>
      <c r="B19" s="41" t="s">
        <v>208</v>
      </c>
      <c r="C19" s="41" t="s">
        <v>262</v>
      </c>
      <c r="D19" s="41" t="s">
        <v>235</v>
      </c>
      <c r="E19" s="41" t="s">
        <v>95</v>
      </c>
      <c r="F19" s="41" t="s">
        <v>95</v>
      </c>
      <c r="G19" s="41" t="s">
        <v>226</v>
      </c>
      <c r="H19" s="46">
        <v>45</v>
      </c>
      <c r="I19" s="46">
        <v>0.12328767123287671</v>
      </c>
      <c r="J19" s="46" t="s">
        <v>38</v>
      </c>
      <c r="K19" s="47">
        <v>217.6</v>
      </c>
      <c r="L19" s="51"/>
      <c r="N19">
        <f t="shared" si="0"/>
        <v>3940</v>
      </c>
      <c r="O19" s="5">
        <f ca="1"/>
        <v>214.88825406697333</v>
      </c>
      <c r="P19" s="5" t="str">
        <f ca="1"/>
        <v>c</v>
      </c>
      <c r="Q19" s="53">
        <f ca="1"/>
        <v>0.30477740695023137</v>
      </c>
      <c r="R19" s="54">
        <f ca="1"/>
        <v>0.59886983609085864</v>
      </c>
      <c r="S19" s="54">
        <f ca="1"/>
        <v>8.9784585153403662E-4</v>
      </c>
      <c r="T19" s="54">
        <f ca="1"/>
        <v>5.4558803472804156</v>
      </c>
      <c r="U19" s="5">
        <f ca="1"/>
        <v>-190.76409916058896</v>
      </c>
      <c r="V19" s="4">
        <f ca="1"/>
        <v>269.90617160776083</v>
      </c>
    </row>
    <row r="20" spans="1:22" x14ac:dyDescent="0.3">
      <c r="A20" s="42" t="s">
        <v>125</v>
      </c>
      <c r="B20" s="42" t="s">
        <v>263</v>
      </c>
      <c r="C20" s="42" t="s">
        <v>264</v>
      </c>
      <c r="D20" s="42" t="s">
        <v>236</v>
      </c>
      <c r="E20" s="42" t="s">
        <v>109</v>
      </c>
      <c r="F20" s="42" t="s">
        <v>109</v>
      </c>
      <c r="G20" s="42" t="s">
        <v>226</v>
      </c>
      <c r="H20" s="48">
        <v>45</v>
      </c>
      <c r="I20" s="48">
        <v>0.12328767123287671</v>
      </c>
      <c r="J20" s="48" t="s">
        <v>44</v>
      </c>
      <c r="K20" s="49">
        <v>128.75</v>
      </c>
      <c r="L20" s="52"/>
      <c r="N20">
        <f t="shared" si="0"/>
        <v>3950</v>
      </c>
      <c r="O20" s="5">
        <f ca="1"/>
        <v>130.92508333124624</v>
      </c>
      <c r="P20" s="5" t="str">
        <f ca="1"/>
        <v>p</v>
      </c>
      <c r="Q20" s="53">
        <f ca="1"/>
        <v>0.29633608386278509</v>
      </c>
      <c r="R20" s="54">
        <f ca="1"/>
        <v>-0.40897268135538256</v>
      </c>
      <c r="S20" s="54">
        <f ca="1"/>
        <v>9.2792259923224192E-4</v>
      </c>
      <c r="T20" s="54">
        <f ca="1"/>
        <v>5.4824739448937612</v>
      </c>
      <c r="U20" s="5">
        <f ca="1"/>
        <v>-175.65538230119134</v>
      </c>
      <c r="V20" s="4">
        <f ca="1"/>
        <v>-218.51252485485611</v>
      </c>
    </row>
    <row r="21" spans="1:22" x14ac:dyDescent="0.3">
      <c r="A21" s="41" t="s">
        <v>125</v>
      </c>
      <c r="B21" s="41" t="s">
        <v>265</v>
      </c>
      <c r="C21" s="41" t="s">
        <v>225</v>
      </c>
      <c r="D21" s="41" t="s">
        <v>207</v>
      </c>
      <c r="E21" s="41" t="s">
        <v>95</v>
      </c>
      <c r="F21" s="41" t="s">
        <v>95</v>
      </c>
      <c r="G21" s="41" t="s">
        <v>226</v>
      </c>
      <c r="H21" s="46">
        <v>45</v>
      </c>
      <c r="I21" s="46">
        <v>0.12328767123287671</v>
      </c>
      <c r="J21" s="46" t="s">
        <v>38</v>
      </c>
      <c r="K21" s="47">
        <v>211.1</v>
      </c>
      <c r="L21" s="51"/>
      <c r="N21">
        <f t="shared" si="0"/>
        <v>3950</v>
      </c>
      <c r="O21" s="5">
        <f ca="1"/>
        <v>208.42432776421492</v>
      </c>
      <c r="P21" s="5" t="str">
        <f ca="1"/>
        <v>c</v>
      </c>
      <c r="Q21" s="53">
        <f ca="1"/>
        <v>0.30305057298100202</v>
      </c>
      <c r="R21" s="54">
        <f ca="1"/>
        <v>0.5899513301770043</v>
      </c>
      <c r="S21" s="54">
        <f ca="1"/>
        <v>9.0793821197401371E-4</v>
      </c>
      <c r="T21" s="54">
        <f ca="1"/>
        <v>5.485948054911149</v>
      </c>
      <c r="U21" s="5">
        <f ca="1"/>
        <v>-190.64923474621662</v>
      </c>
      <c r="V21" s="4">
        <f ca="1"/>
        <v>266.28855323901615</v>
      </c>
    </row>
    <row r="22" spans="1:22" x14ac:dyDescent="0.3">
      <c r="A22" s="42" t="s">
        <v>165</v>
      </c>
      <c r="B22" s="42" t="s">
        <v>243</v>
      </c>
      <c r="C22" s="42" t="s">
        <v>244</v>
      </c>
      <c r="D22" s="42" t="s">
        <v>237</v>
      </c>
      <c r="E22" s="42" t="s">
        <v>95</v>
      </c>
      <c r="F22" s="42" t="s">
        <v>95</v>
      </c>
      <c r="G22" s="42" t="s">
        <v>226</v>
      </c>
      <c r="H22" s="48">
        <v>45</v>
      </c>
      <c r="I22" s="48">
        <v>0.12328767123287671</v>
      </c>
      <c r="J22" s="48" t="s">
        <v>38</v>
      </c>
      <c r="K22" s="49">
        <v>204.7</v>
      </c>
      <c r="L22" s="52"/>
      <c r="N22">
        <f t="shared" si="0"/>
        <v>3960</v>
      </c>
      <c r="O22" s="5">
        <f ca="1"/>
        <v>202.06116743285702</v>
      </c>
      <c r="P22" s="5" t="str">
        <f ca="1"/>
        <v>c</v>
      </c>
      <c r="Q22" s="53">
        <f ca="1"/>
        <v>0.30135414092756446</v>
      </c>
      <c r="R22" s="54">
        <f ca="1"/>
        <v>0.58090418474115724</v>
      </c>
      <c r="S22" s="54">
        <f ca="1"/>
        <v>9.1763481455157015E-4</v>
      </c>
      <c r="T22" s="54">
        <f ca="1"/>
        <v>5.5134994141778213</v>
      </c>
      <c r="U22" s="5">
        <f ca="1"/>
        <v>-190.45551578597315</v>
      </c>
      <c r="V22" s="4">
        <f ca="1"/>
        <v>262.59486630025043</v>
      </c>
    </row>
    <row r="23" spans="1:22" x14ac:dyDescent="0.3">
      <c r="A23" s="41" t="s">
        <v>165</v>
      </c>
      <c r="B23" s="41" t="s">
        <v>209</v>
      </c>
      <c r="C23" s="41" t="s">
        <v>266</v>
      </c>
      <c r="D23" s="41" t="s">
        <v>238</v>
      </c>
      <c r="E23" s="41" t="s">
        <v>109</v>
      </c>
      <c r="F23" s="41" t="s">
        <v>109</v>
      </c>
      <c r="G23" s="41" t="s">
        <v>226</v>
      </c>
      <c r="H23" s="46">
        <v>45</v>
      </c>
      <c r="I23" s="46">
        <v>0.12328767123287671</v>
      </c>
      <c r="J23" s="46" t="s">
        <v>44</v>
      </c>
      <c r="K23" s="47">
        <v>132.35000000000002</v>
      </c>
      <c r="L23" s="51"/>
      <c r="N23">
        <f t="shared" si="0"/>
        <v>3960</v>
      </c>
      <c r="O23" s="5">
        <f ca="1"/>
        <v>134.57525102332056</v>
      </c>
      <c r="P23" s="5" t="str">
        <f ca="1"/>
        <v>p</v>
      </c>
      <c r="Q23" s="53">
        <f ca="1"/>
        <v>0.29472030817312955</v>
      </c>
      <c r="R23" s="54">
        <f ca="1"/>
        <v>-0.41822044577530526</v>
      </c>
      <c r="S23" s="54">
        <f ca="1"/>
        <v>9.3785813456757113E-4</v>
      </c>
      <c r="T23" s="54">
        <f ca="1"/>
        <v>5.5109630533492329</v>
      </c>
      <c r="U23" s="5">
        <f ca="1"/>
        <v>-175.49220865506706</v>
      </c>
      <c r="V23" s="4">
        <f ca="1"/>
        <v>-223.53849223226959</v>
      </c>
    </row>
    <row r="24" spans="1:22" x14ac:dyDescent="0.3">
      <c r="A24" s="42" t="s">
        <v>168</v>
      </c>
      <c r="B24" s="42" t="s">
        <v>267</v>
      </c>
      <c r="C24" s="42" t="s">
        <v>186</v>
      </c>
      <c r="D24" s="42" t="s">
        <v>239</v>
      </c>
      <c r="E24" s="42" t="s">
        <v>95</v>
      </c>
      <c r="F24" s="42" t="s">
        <v>95</v>
      </c>
      <c r="G24" s="42" t="s">
        <v>226</v>
      </c>
      <c r="H24" s="48">
        <v>45</v>
      </c>
      <c r="I24" s="48">
        <v>0.12328767123287671</v>
      </c>
      <c r="J24" s="48" t="s">
        <v>38</v>
      </c>
      <c r="K24" s="49">
        <v>198.4</v>
      </c>
      <c r="L24" s="52"/>
      <c r="N24">
        <f t="shared" si="0"/>
        <v>3970</v>
      </c>
      <c r="O24" s="5">
        <f ca="1"/>
        <v>195.7987489760817</v>
      </c>
      <c r="P24" s="5" t="str">
        <f ca="1"/>
        <v>c</v>
      </c>
      <c r="Q24" s="53">
        <f ca="1"/>
        <v>0.29968501061817016</v>
      </c>
      <c r="R24" s="54">
        <f ca="1"/>
        <v>0.57173331190285626</v>
      </c>
      <c r="S24" s="54">
        <f ca="1"/>
        <v>9.2691480458143623E-4</v>
      </c>
      <c r="T24" s="54">
        <f ca="1"/>
        <v>5.5384103117727808</v>
      </c>
      <c r="U24" s="5">
        <f ca="1"/>
        <v>-190.17865798551819</v>
      </c>
      <c r="V24" s="4">
        <f ca="1"/>
        <v>258.82754465111145</v>
      </c>
    </row>
    <row r="25" spans="1:22" x14ac:dyDescent="0.3">
      <c r="A25" s="41" t="s">
        <v>168</v>
      </c>
      <c r="B25" s="41" t="s">
        <v>242</v>
      </c>
      <c r="C25" s="41" t="s">
        <v>268</v>
      </c>
      <c r="D25" s="41" t="s">
        <v>240</v>
      </c>
      <c r="E25" s="41" t="s">
        <v>109</v>
      </c>
      <c r="F25" s="41" t="s">
        <v>109</v>
      </c>
      <c r="G25" s="41" t="s">
        <v>226</v>
      </c>
      <c r="H25" s="46">
        <v>45</v>
      </c>
      <c r="I25" s="46">
        <v>0.12328767123287671</v>
      </c>
      <c r="J25" s="46" t="s">
        <v>44</v>
      </c>
      <c r="K25" s="47">
        <v>136.04999999999998</v>
      </c>
      <c r="L25" s="51"/>
      <c r="N25">
        <f t="shared" si="0"/>
        <v>3970</v>
      </c>
      <c r="O25" s="5">
        <f ca="1"/>
        <v>138.32616753308776</v>
      </c>
      <c r="P25" s="5" t="str">
        <f ca="1"/>
        <v>p</v>
      </c>
      <c r="Q25" s="53">
        <f ca="1"/>
        <v>0.29312783135775539</v>
      </c>
      <c r="R25" s="54">
        <f ca="1"/>
        <v>-0.42759328193343582</v>
      </c>
      <c r="S25" s="54">
        <f ca="1"/>
        <v>9.4735425119654314E-4</v>
      </c>
      <c r="T25" s="54">
        <f ca="1"/>
        <v>5.5366841672150828</v>
      </c>
      <c r="U25" s="5">
        <f ca="1"/>
        <v>-175.24133992331673</v>
      </c>
      <c r="V25" s="4">
        <f ca="1"/>
        <v>-228.63876045515872</v>
      </c>
    </row>
    <row r="26" spans="1:22" x14ac:dyDescent="0.3">
      <c r="A26" s="42" t="s">
        <v>126</v>
      </c>
      <c r="B26" s="42" t="s">
        <v>214</v>
      </c>
      <c r="C26" s="42" t="s">
        <v>269</v>
      </c>
      <c r="D26" s="42" t="s">
        <v>241</v>
      </c>
      <c r="E26" s="42" t="s">
        <v>95</v>
      </c>
      <c r="F26" s="42" t="s">
        <v>95</v>
      </c>
      <c r="G26" s="42" t="s">
        <v>226</v>
      </c>
      <c r="H26" s="48">
        <v>45</v>
      </c>
      <c r="I26" s="48">
        <v>0.12328767123287671</v>
      </c>
      <c r="J26" s="48" t="s">
        <v>38</v>
      </c>
      <c r="K26" s="49">
        <v>195.3</v>
      </c>
      <c r="L26" s="52"/>
      <c r="N26">
        <f t="shared" si="0"/>
        <v>3975</v>
      </c>
      <c r="O26" s="5">
        <f ca="1"/>
        <v>192.717836077019</v>
      </c>
      <c r="P26" s="5" t="str">
        <f ca="1"/>
        <v>c</v>
      </c>
      <c r="Q26" s="53">
        <f ca="1"/>
        <v>0.29888232560256872</v>
      </c>
      <c r="R26" s="54">
        <f ca="1"/>
        <v>0.56710112021827519</v>
      </c>
      <c r="S26" s="54">
        <f ca="1"/>
        <v>9.313225844083603E-4</v>
      </c>
      <c r="T26" s="54">
        <f ca="1"/>
        <v>5.5498424646689184</v>
      </c>
      <c r="U26" s="5">
        <f ca="1"/>
        <v>-190.02179121357335</v>
      </c>
      <c r="V26" s="4">
        <f ca="1"/>
        <v>256.91455246791577</v>
      </c>
    </row>
    <row r="27" spans="1:22" x14ac:dyDescent="0.3">
      <c r="V27" s="4"/>
    </row>
    <row r="28" spans="1:22" x14ac:dyDescent="0.3">
      <c r="V28" s="4"/>
    </row>
    <row r="29" spans="1:22" x14ac:dyDescent="0.3">
      <c r="V29" s="4"/>
    </row>
    <row r="30" spans="1:22" x14ac:dyDescent="0.3">
      <c r="V30" s="4"/>
    </row>
    <row r="31" spans="1:22" x14ac:dyDescent="0.3">
      <c r="V31" s="4"/>
    </row>
    <row r="32" spans="1:22" x14ac:dyDescent="0.3">
      <c r="V32" s="4"/>
    </row>
    <row r="33" spans="22:22" x14ac:dyDescent="0.3">
      <c r="V33" s="4"/>
    </row>
    <row r="34" spans="22:22" x14ac:dyDescent="0.3">
      <c r="V34" s="4"/>
    </row>
    <row r="35" spans="22:22" x14ac:dyDescent="0.3">
      <c r="V35" s="4"/>
    </row>
    <row r="36" spans="22:22" x14ac:dyDescent="0.3">
      <c r="V36" s="4"/>
    </row>
    <row r="37" spans="22:22" x14ac:dyDescent="0.3">
      <c r="V37" s="4"/>
    </row>
    <row r="38" spans="22:22" x14ac:dyDescent="0.3">
      <c r="V38" s="4"/>
    </row>
    <row r="39" spans="22:22" x14ac:dyDescent="0.3">
      <c r="V39" s="4"/>
    </row>
    <row r="40" spans="22:22" x14ac:dyDescent="0.3">
      <c r="V40" s="4"/>
    </row>
    <row r="41" spans="22:22" x14ac:dyDescent="0.3">
      <c r="V41" s="4"/>
    </row>
    <row r="42" spans="22:22" x14ac:dyDescent="0.3">
      <c r="V42" s="4"/>
    </row>
    <row r="43" spans="22:22" x14ac:dyDescent="0.3">
      <c r="V43" s="4"/>
    </row>
    <row r="44" spans="22:22" x14ac:dyDescent="0.3">
      <c r="V44" s="4"/>
    </row>
    <row r="45" spans="22:22" x14ac:dyDescent="0.3">
      <c r="V45" s="4"/>
    </row>
    <row r="46" spans="22:22" x14ac:dyDescent="0.3">
      <c r="V46" s="4"/>
    </row>
    <row r="47" spans="22:22" x14ac:dyDescent="0.3">
      <c r="V47" s="4"/>
    </row>
    <row r="48" spans="22:22" x14ac:dyDescent="0.3">
      <c r="V48" s="4"/>
    </row>
    <row r="49" spans="22:22" x14ac:dyDescent="0.3">
      <c r="V49" s="4"/>
    </row>
    <row r="50" spans="22:22" x14ac:dyDescent="0.3">
      <c r="V50" s="4"/>
    </row>
    <row r="51" spans="22:22" x14ac:dyDescent="0.3">
      <c r="V51" s="4"/>
    </row>
    <row r="52" spans="22:22" x14ac:dyDescent="0.3">
      <c r="V52" s="4"/>
    </row>
    <row r="53" spans="22:22" x14ac:dyDescent="0.3">
      <c r="V53" s="4"/>
    </row>
    <row r="54" spans="22:22" x14ac:dyDescent="0.3">
      <c r="V54" s="4"/>
    </row>
    <row r="55" spans="22:22" x14ac:dyDescent="0.3">
      <c r="V55" s="4"/>
    </row>
    <row r="56" spans="22:22" x14ac:dyDescent="0.3">
      <c r="V56" s="4"/>
    </row>
    <row r="57" spans="22:22" x14ac:dyDescent="0.3">
      <c r="V57" s="4"/>
    </row>
    <row r="58" spans="22:22" x14ac:dyDescent="0.3">
      <c r="V58" s="4"/>
    </row>
    <row r="59" spans="22:22" x14ac:dyDescent="0.3">
      <c r="V59" s="4"/>
    </row>
    <row r="60" spans="22:22" x14ac:dyDescent="0.3">
      <c r="V60" s="4"/>
    </row>
    <row r="61" spans="22:22" x14ac:dyDescent="0.3">
      <c r="V61" s="4"/>
    </row>
    <row r="62" spans="22:22" x14ac:dyDescent="0.3">
      <c r="V62" s="4"/>
    </row>
    <row r="63" spans="22:22" x14ac:dyDescent="0.3">
      <c r="V63" s="4"/>
    </row>
    <row r="64" spans="22:22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72" spans="22:22" x14ac:dyDescent="0.3">
      <c r="V72" s="4"/>
    </row>
    <row r="73" spans="22:22" x14ac:dyDescent="0.3">
      <c r="V73" s="4"/>
    </row>
    <row r="74" spans="22:22" x14ac:dyDescent="0.3">
      <c r="V74" s="4"/>
    </row>
    <row r="75" spans="22:22" x14ac:dyDescent="0.3">
      <c r="V75" s="4"/>
    </row>
    <row r="76" spans="22:22" x14ac:dyDescent="0.3">
      <c r="V76" s="4"/>
    </row>
    <row r="77" spans="22:22" x14ac:dyDescent="0.3">
      <c r="V77" s="4"/>
    </row>
    <row r="78" spans="22:22" x14ac:dyDescent="0.3">
      <c r="V78" s="4"/>
    </row>
    <row r="79" spans="22:22" x14ac:dyDescent="0.3">
      <c r="V79" s="4"/>
    </row>
    <row r="80" spans="22:22" x14ac:dyDescent="0.3">
      <c r="V80" s="4"/>
    </row>
    <row r="81" spans="22:22" x14ac:dyDescent="0.3">
      <c r="V81" s="4"/>
    </row>
    <row r="82" spans="22:22" x14ac:dyDescent="0.3">
      <c r="V82" s="4"/>
    </row>
    <row r="83" spans="22:22" x14ac:dyDescent="0.3">
      <c r="V83" s="4"/>
    </row>
    <row r="84" spans="22:22" x14ac:dyDescent="0.3">
      <c r="V84" s="4"/>
    </row>
    <row r="85" spans="22:22" x14ac:dyDescent="0.3">
      <c r="V85" s="4"/>
    </row>
    <row r="86" spans="22:22" x14ac:dyDescent="0.3">
      <c r="V86" s="4"/>
    </row>
    <row r="87" spans="22:22" x14ac:dyDescent="0.3">
      <c r="V87" s="4"/>
    </row>
    <row r="88" spans="22:22" x14ac:dyDescent="0.3">
      <c r="V88" s="4"/>
    </row>
    <row r="89" spans="22:22" x14ac:dyDescent="0.3">
      <c r="V89" s="4"/>
    </row>
    <row r="90" spans="22:22" x14ac:dyDescent="0.3">
      <c r="V90" s="4"/>
    </row>
    <row r="91" spans="22:22" x14ac:dyDescent="0.3">
      <c r="V91" s="4"/>
    </row>
    <row r="92" spans="22:22" x14ac:dyDescent="0.3">
      <c r="V92" s="4"/>
    </row>
    <row r="93" spans="22:22" x14ac:dyDescent="0.3">
      <c r="V93" s="4"/>
    </row>
    <row r="94" spans="22:22" x14ac:dyDescent="0.3">
      <c r="V94" s="4"/>
    </row>
    <row r="95" spans="22:22" x14ac:dyDescent="0.3">
      <c r="V95" s="4"/>
    </row>
    <row r="96" spans="22:22" x14ac:dyDescent="0.3">
      <c r="V96" s="4"/>
    </row>
    <row r="97" spans="22:22" x14ac:dyDescent="0.3">
      <c r="V97" s="4"/>
    </row>
    <row r="98" spans="22:22" x14ac:dyDescent="0.3">
      <c r="V98" s="4"/>
    </row>
    <row r="99" spans="22:22" x14ac:dyDescent="0.3">
      <c r="V99" s="4"/>
    </row>
    <row r="100" spans="22:22" x14ac:dyDescent="0.3">
      <c r="V100" s="4"/>
    </row>
    <row r="101" spans="22:22" x14ac:dyDescent="0.3">
      <c r="V101" s="4"/>
    </row>
    <row r="102" spans="22:22" x14ac:dyDescent="0.3">
      <c r="V102" s="4"/>
    </row>
    <row r="103" spans="22:22" x14ac:dyDescent="0.3">
      <c r="V103" s="4"/>
    </row>
    <row r="104" spans="22:22" x14ac:dyDescent="0.3">
      <c r="V104" s="4"/>
    </row>
    <row r="105" spans="22:22" x14ac:dyDescent="0.3">
      <c r="V105" s="4"/>
    </row>
    <row r="106" spans="22:22" x14ac:dyDescent="0.3">
      <c r="V106" s="4"/>
    </row>
    <row r="107" spans="22:22" x14ac:dyDescent="0.3">
      <c r="V107" s="4"/>
    </row>
    <row r="108" spans="22:22" x14ac:dyDescent="0.3">
      <c r="V108" s="4"/>
    </row>
    <row r="109" spans="22:22" x14ac:dyDescent="0.3">
      <c r="V109" s="4"/>
    </row>
    <row r="110" spans="22:22" x14ac:dyDescent="0.3">
      <c r="V110" s="4"/>
    </row>
    <row r="111" spans="22:22" x14ac:dyDescent="0.3">
      <c r="V111" s="4"/>
    </row>
    <row r="112" spans="22:22" x14ac:dyDescent="0.3">
      <c r="V112" s="4"/>
    </row>
    <row r="113" spans="22:22" x14ac:dyDescent="0.3">
      <c r="V113" s="4"/>
    </row>
    <row r="114" spans="22:22" x14ac:dyDescent="0.3">
      <c r="V114" s="4"/>
    </row>
    <row r="115" spans="22:22" x14ac:dyDescent="0.3">
      <c r="V115" s="4"/>
    </row>
    <row r="116" spans="22:22" x14ac:dyDescent="0.3">
      <c r="V116" s="4"/>
    </row>
    <row r="117" spans="22:22" x14ac:dyDescent="0.3">
      <c r="V117" s="4"/>
    </row>
    <row r="118" spans="22:22" x14ac:dyDescent="0.3">
      <c r="V118" s="4"/>
    </row>
    <row r="119" spans="22:22" x14ac:dyDescent="0.3">
      <c r="V119" s="4"/>
    </row>
    <row r="120" spans="22:22" x14ac:dyDescent="0.3">
      <c r="V120" s="4"/>
    </row>
    <row r="121" spans="22:22" x14ac:dyDescent="0.3">
      <c r="V121" s="4"/>
    </row>
    <row r="122" spans="22:22" x14ac:dyDescent="0.3">
      <c r="V122" s="4"/>
    </row>
    <row r="123" spans="22:22" x14ac:dyDescent="0.3">
      <c r="V123" s="4"/>
    </row>
    <row r="124" spans="22:22" x14ac:dyDescent="0.3">
      <c r="V124" s="4"/>
    </row>
    <row r="125" spans="22:22" x14ac:dyDescent="0.3">
      <c r="V125" s="4"/>
    </row>
    <row r="126" spans="22:22" x14ac:dyDescent="0.3">
      <c r="V12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A958-CF67-49E0-AC2A-BEA16C5C8F6A}">
  <sheetPr codeName="Sheet4"/>
  <dimension ref="A1:L33"/>
  <sheetViews>
    <sheetView topLeftCell="A15" workbookViewId="0">
      <selection activeCell="B34" sqref="B34"/>
    </sheetView>
  </sheetViews>
  <sheetFormatPr defaultRowHeight="15.6" x14ac:dyDescent="0.3"/>
  <sheetData>
    <row r="1" spans="1:12" x14ac:dyDescent="0.3">
      <c r="A1" t="s">
        <v>31</v>
      </c>
    </row>
    <row r="2" spans="1:12" x14ac:dyDescent="0.3">
      <c r="A2" t="s">
        <v>32</v>
      </c>
      <c r="D2" t="s">
        <v>40</v>
      </c>
      <c r="G2" t="s">
        <v>39</v>
      </c>
    </row>
    <row r="3" spans="1:12" x14ac:dyDescent="0.3">
      <c r="A3" t="s">
        <v>37</v>
      </c>
      <c r="B3" t="s">
        <v>38</v>
      </c>
      <c r="D3" t="s">
        <v>37</v>
      </c>
      <c r="E3" t="s">
        <v>38</v>
      </c>
      <c r="G3" t="s">
        <v>37</v>
      </c>
      <c r="H3" t="s">
        <v>38</v>
      </c>
    </row>
    <row r="4" spans="1:12" x14ac:dyDescent="0.3">
      <c r="A4" t="s">
        <v>42</v>
      </c>
      <c r="B4">
        <v>100</v>
      </c>
      <c r="D4" t="s">
        <v>42</v>
      </c>
      <c r="E4">
        <v>100</v>
      </c>
      <c r="G4" t="s">
        <v>42</v>
      </c>
      <c r="H4">
        <v>120.96</v>
      </c>
    </row>
    <row r="5" spans="1:12" x14ac:dyDescent="0.3">
      <c r="A5" t="s">
        <v>33</v>
      </c>
      <c r="B5">
        <v>105</v>
      </c>
      <c r="D5" t="s">
        <v>33</v>
      </c>
      <c r="E5">
        <v>105</v>
      </c>
      <c r="G5" t="s">
        <v>33</v>
      </c>
      <c r="H5">
        <v>135</v>
      </c>
    </row>
    <row r="6" spans="1:12" x14ac:dyDescent="0.3">
      <c r="A6" t="s">
        <v>34</v>
      </c>
      <c r="B6">
        <v>30</v>
      </c>
      <c r="D6" t="s">
        <v>34</v>
      </c>
      <c r="E6">
        <v>30</v>
      </c>
      <c r="G6" t="s">
        <v>43</v>
      </c>
      <c r="H6">
        <v>0.01</v>
      </c>
    </row>
    <row r="7" spans="1:12" x14ac:dyDescent="0.3">
      <c r="A7" t="s">
        <v>35</v>
      </c>
      <c r="B7">
        <v>0.01</v>
      </c>
      <c r="D7" t="s">
        <v>35</v>
      </c>
      <c r="E7">
        <v>0.01</v>
      </c>
      <c r="G7" t="s">
        <v>34</v>
      </c>
      <c r="H7">
        <v>14</v>
      </c>
    </row>
    <row r="8" spans="1:12" x14ac:dyDescent="0.3">
      <c r="A8" t="s">
        <v>27</v>
      </c>
      <c r="B8">
        <v>2.2999999999999998</v>
      </c>
      <c r="D8" t="s">
        <v>41</v>
      </c>
      <c r="E8">
        <v>0.64</v>
      </c>
      <c r="G8" t="s">
        <v>41</v>
      </c>
      <c r="H8">
        <v>0.64200000000000002</v>
      </c>
    </row>
    <row r="9" spans="1:12" x14ac:dyDescent="0.3">
      <c r="A9" t="s">
        <v>32</v>
      </c>
      <c r="B9">
        <f ca="1">impliedVol(B3,B4,B5,B8,B7,B6/365)</f>
        <v>0.36885632491434034</v>
      </c>
      <c r="D9" t="s">
        <v>40</v>
      </c>
      <c r="E9">
        <f ca="1">bsPrice(E3,E4,E5,E7,E6/365,E8,0)</f>
        <v>5.2860615124516883</v>
      </c>
      <c r="G9" t="s">
        <v>39</v>
      </c>
      <c r="H9">
        <f t="array" aca="1" ref="H9:L9" ca="1">bsGreeks(H3,H4,H5,H6,H7/365,H8)</f>
        <v>0.20969699645897455</v>
      </c>
      <c r="I9">
        <f ca="1"/>
        <v>1.8933587365464535E-2</v>
      </c>
      <c r="J9">
        <f ca="1"/>
        <v>6.8216064964461531E-2</v>
      </c>
      <c r="K9">
        <f ca="1"/>
        <v>-15.705802209301295</v>
      </c>
      <c r="L9">
        <f ca="1"/>
        <v>0.90766239429661222</v>
      </c>
    </row>
    <row r="10" spans="1:12" x14ac:dyDescent="0.3">
      <c r="H10" t="s">
        <v>17</v>
      </c>
      <c r="I10" t="s">
        <v>18</v>
      </c>
      <c r="J10" t="s">
        <v>19</v>
      </c>
      <c r="K10" t="s">
        <v>20</v>
      </c>
      <c r="L10" t="s">
        <v>21</v>
      </c>
    </row>
    <row r="11" spans="1:12" x14ac:dyDescent="0.3">
      <c r="A11" t="s">
        <v>37</v>
      </c>
      <c r="B11" t="s">
        <v>44</v>
      </c>
      <c r="D11" t="s">
        <v>37</v>
      </c>
      <c r="E11" t="s">
        <v>44</v>
      </c>
    </row>
    <row r="12" spans="1:12" x14ac:dyDescent="0.3">
      <c r="A12" t="s">
        <v>42</v>
      </c>
      <c r="B12">
        <v>100</v>
      </c>
      <c r="D12" t="s">
        <v>42</v>
      </c>
      <c r="E12">
        <v>100</v>
      </c>
      <c r="G12" t="s">
        <v>37</v>
      </c>
      <c r="H12" t="s">
        <v>44</v>
      </c>
    </row>
    <row r="13" spans="1:12" x14ac:dyDescent="0.3">
      <c r="A13" t="s">
        <v>33</v>
      </c>
      <c r="B13">
        <v>101</v>
      </c>
      <c r="D13" t="s">
        <v>33</v>
      </c>
      <c r="E13">
        <v>105</v>
      </c>
      <c r="G13" t="s">
        <v>42</v>
      </c>
      <c r="H13">
        <v>120.96</v>
      </c>
    </row>
    <row r="14" spans="1:12" x14ac:dyDescent="0.3">
      <c r="A14" t="s">
        <v>34</v>
      </c>
      <c r="B14">
        <v>30</v>
      </c>
      <c r="D14" t="s">
        <v>34</v>
      </c>
      <c r="E14">
        <v>30</v>
      </c>
      <c r="G14" t="s">
        <v>33</v>
      </c>
      <c r="H14">
        <v>135</v>
      </c>
    </row>
    <row r="15" spans="1:12" x14ac:dyDescent="0.3">
      <c r="A15" t="s">
        <v>35</v>
      </c>
      <c r="B15">
        <v>0.01</v>
      </c>
      <c r="D15" t="s">
        <v>35</v>
      </c>
      <c r="E15">
        <v>0.01</v>
      </c>
      <c r="G15" t="s">
        <v>43</v>
      </c>
      <c r="H15">
        <v>0.01</v>
      </c>
    </row>
    <row r="16" spans="1:12" x14ac:dyDescent="0.3">
      <c r="A16" t="s">
        <v>28</v>
      </c>
      <c r="B16">
        <v>4.3</v>
      </c>
      <c r="D16" t="s">
        <v>41</v>
      </c>
      <c r="E16">
        <v>0.64</v>
      </c>
      <c r="G16" t="s">
        <v>34</v>
      </c>
      <c r="H16">
        <v>14</v>
      </c>
    </row>
    <row r="17" spans="1:12" x14ac:dyDescent="0.3">
      <c r="A17" t="s">
        <v>32</v>
      </c>
      <c r="B17">
        <f ca="1">impliedVol(B11,B12,B13,B16,B15,B14/365)</f>
        <v>0.33294703128780795</v>
      </c>
      <c r="D17" t="s">
        <v>40</v>
      </c>
      <c r="E17">
        <f ca="1">bsPrice(E11,E12,E13,E15,E14/365,E16,0)</f>
        <v>10.199795599190253</v>
      </c>
      <c r="G17" t="s">
        <v>41</v>
      </c>
      <c r="H17">
        <v>0.64200000000000002</v>
      </c>
    </row>
    <row r="18" spans="1:12" x14ac:dyDescent="0.3">
      <c r="G18" t="s">
        <v>39</v>
      </c>
      <c r="H18">
        <f t="array" aca="1" ref="H18:L18" ca="1">bsGreeks(H12,H13,H14,H15,H16/365,H17)</f>
        <v>-0.79030300354102545</v>
      </c>
      <c r="I18">
        <f ca="1"/>
        <v>1.8933587365464535E-2</v>
      </c>
      <c r="J18">
        <f ca="1"/>
        <v>6.8216064964461531E-2</v>
      </c>
      <c r="K18">
        <f ca="1"/>
        <v>-15.336081033664632</v>
      </c>
      <c r="L18">
        <f ca="1"/>
        <v>-4.2684340646166419</v>
      </c>
    </row>
    <row r="19" spans="1:12" x14ac:dyDescent="0.3">
      <c r="A19" t="s">
        <v>37</v>
      </c>
      <c r="B19" t="s">
        <v>44</v>
      </c>
      <c r="H19" t="s">
        <v>17</v>
      </c>
      <c r="I19" t="s">
        <v>18</v>
      </c>
      <c r="J19" t="s">
        <v>19</v>
      </c>
      <c r="K19" t="s">
        <v>20</v>
      </c>
      <c r="L19" t="s">
        <v>21</v>
      </c>
    </row>
    <row r="20" spans="1:12" x14ac:dyDescent="0.3">
      <c r="A20" t="s">
        <v>42</v>
      </c>
      <c r="B20">
        <v>4145</v>
      </c>
    </row>
    <row r="21" spans="1:12" x14ac:dyDescent="0.3">
      <c r="A21" t="s">
        <v>33</v>
      </c>
      <c r="B21">
        <v>200</v>
      </c>
    </row>
    <row r="22" spans="1:12" x14ac:dyDescent="0.3">
      <c r="A22" t="s">
        <v>34</v>
      </c>
      <c r="B22">
        <v>406</v>
      </c>
    </row>
    <row r="23" spans="1:12" x14ac:dyDescent="0.3">
      <c r="A23" t="s">
        <v>35</v>
      </c>
      <c r="B23">
        <v>0.01</v>
      </c>
    </row>
    <row r="24" spans="1:12" x14ac:dyDescent="0.3">
      <c r="A24" t="s">
        <v>28</v>
      </c>
      <c r="B24">
        <v>0.4</v>
      </c>
    </row>
    <row r="25" spans="1:12" x14ac:dyDescent="0.3">
      <c r="A25" t="s">
        <v>32</v>
      </c>
      <c r="B25" t="str">
        <f ca="1">impliedVol(B19,B20,B21,B24,B23,B22/365)</f>
        <v>Calculation Error : Vega is Zero</v>
      </c>
    </row>
    <row r="27" spans="1:12" x14ac:dyDescent="0.3">
      <c r="A27" t="s">
        <v>37</v>
      </c>
      <c r="B27" t="s">
        <v>44</v>
      </c>
    </row>
    <row r="28" spans="1:12" x14ac:dyDescent="0.3">
      <c r="A28" t="s">
        <v>42</v>
      </c>
      <c r="B28">
        <v>3930.08</v>
      </c>
    </row>
    <row r="29" spans="1:12" x14ac:dyDescent="0.3">
      <c r="A29" t="s">
        <v>33</v>
      </c>
      <c r="B29">
        <v>1200</v>
      </c>
    </row>
    <row r="30" spans="1:12" x14ac:dyDescent="0.3">
      <c r="A30" t="s">
        <v>34</v>
      </c>
      <c r="B30">
        <v>42</v>
      </c>
    </row>
    <row r="31" spans="1:12" x14ac:dyDescent="0.3">
      <c r="A31" t="s">
        <v>35</v>
      </c>
      <c r="B31">
        <v>0.01</v>
      </c>
    </row>
    <row r="32" spans="1:12" x14ac:dyDescent="0.3">
      <c r="A32" t="s">
        <v>28</v>
      </c>
      <c r="B32">
        <v>2766.35</v>
      </c>
    </row>
    <row r="33" spans="1:2" x14ac:dyDescent="0.3">
      <c r="A33" t="s">
        <v>32</v>
      </c>
      <c r="B33" t="str">
        <f ca="1">impliedVol(B27,B28,B29,B32,B31,B30/365)</f>
        <v>Calculation Error : Vega is Zero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9938D2-3065-4BFB-B9D9-3AFBC16FB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Static</vt:lpstr>
      <vt:lpstr>Details</vt:lpstr>
      <vt:lpstr>data</vt:lpstr>
      <vt:lpstr>Greeks</vt:lpstr>
      <vt:lpstr>regression</vt:lpstr>
      <vt:lpstr>_xlwings.conf</vt:lpstr>
      <vt:lpstr>greeksPosition</vt:lpstr>
      <vt:lpstr>Lapse</vt:lpstr>
      <vt:lpstr>OptExpiries</vt:lpstr>
      <vt:lpstr>spot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Manas Bhatt</cp:lastModifiedBy>
  <dcterms:created xsi:type="dcterms:W3CDTF">2015-01-25T11:31:25Z</dcterms:created>
  <dcterms:modified xsi:type="dcterms:W3CDTF">2022-05-17T14:04:43Z</dcterms:modified>
</cp:coreProperties>
</file>