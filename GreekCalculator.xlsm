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work\freelance\test\"/>
    </mc:Choice>
  </mc:AlternateContent>
  <xr:revisionPtr revIDLastSave="0" documentId="8_{DF48DC47-FE93-420B-88FD-EFB0A79B09BA}" xr6:coauthVersionLast="47" xr6:coauthVersionMax="47" xr10:uidLastSave="{00000000-0000-0000-0000-000000000000}"/>
  <bookViews>
    <workbookView xWindow="-108" yWindow="-108" windowWidth="23256" windowHeight="12576" tabRatio="500" activeTab="2" xr2:uid="{00000000-000D-0000-FFFF-FFFF00000000}"/>
  </bookViews>
  <sheets>
    <sheet name="Static" sheetId="3" r:id="rId1"/>
    <sheet name="Details" sheetId="1" r:id="rId2"/>
    <sheet name="data" sheetId="10" r:id="rId3"/>
    <sheet name="Greeks" sheetId="7" r:id="rId4"/>
    <sheet name="regression" sheetId="4" r:id="rId5"/>
    <sheet name="_xlwings.conf" sheetId="2" r:id="rId6"/>
  </sheets>
  <functionGroups builtInGroupCount="19">
    <functionGroup name="xlwings"/>
  </functionGroups>
  <definedNames>
    <definedName name="CalcMode">Static!#REF!</definedName>
    <definedName name="ExternalData_1" localSheetId="2" hidden="1">data!$A$1:$AH$245</definedName>
    <definedName name="greeksPosition">Greeks!$O$3</definedName>
    <definedName name="Lapse">Details!$J$2</definedName>
    <definedName name="OptExpiries">Details!$A$10:$A$56</definedName>
    <definedName name="spot">Details!$B$4</definedName>
    <definedName name="Timer">Details!$J$1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bsGreek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bs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elloString">
          <x14:argumentDescriptions count="1">
            <x14:argumentDescription index="0">Positional argument 1</x14:argumentDescription>
          </x14:argumentDescriptions>
        </x14:definedName>
        <x14:definedName name="impliedVo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aturity">
          <x14:argumentDescriptions count="1">
            <x14:argumentDescription index="0">Positional argument 1</x14:argumentDescription>
          </x14:argumentDescriptions>
        </x14:definedName>
        <x14:definedName name="optionCh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onChainFil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optionChainGreeks">
          <x14:argumentDescriptions count="8">
            <x14:argumentDescription index="0">Positional argument 1</x14:argumentDescription>
            <x14:argumentDescription index="1">Array of Strikes</x14:argumentDescription>
            <x14:argumentDescription index="2">Array of option Types ie c or p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optionExpi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Pri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data_a371cd50-8e58-4f45-9e4c-729eb10f29c0" name="data" connection="Query -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AI2" i="10"/>
  <c r="AI3" i="10"/>
  <c r="AI4" i="10"/>
  <c r="AI5" i="10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32" i="10"/>
  <c r="AI33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8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J2" i="10"/>
  <c r="AJ3" i="10"/>
  <c r="AJ4" i="10"/>
  <c r="AJ5" i="10"/>
  <c r="AJ6" i="10"/>
  <c r="AJ7" i="10"/>
  <c r="AJ8" i="10"/>
  <c r="AJ9" i="10"/>
  <c r="AJ10" i="10"/>
  <c r="AJ11" i="10"/>
  <c r="AJ12" i="10"/>
  <c r="AJ13" i="10"/>
  <c r="AJ14" i="10"/>
  <c r="AJ15" i="10"/>
  <c r="AJ16" i="10"/>
  <c r="AJ17" i="10"/>
  <c r="AJ18" i="10"/>
  <c r="AJ19" i="10"/>
  <c r="AJ20" i="10"/>
  <c r="AJ21" i="10"/>
  <c r="AJ22" i="10"/>
  <c r="AJ23" i="10"/>
  <c r="AJ24" i="10"/>
  <c r="AJ25" i="10"/>
  <c r="AJ26" i="10"/>
  <c r="AJ27" i="10"/>
  <c r="AJ28" i="10"/>
  <c r="AJ29" i="10"/>
  <c r="AJ30" i="10"/>
  <c r="AJ31" i="10"/>
  <c r="AJ32" i="10"/>
  <c r="AJ33" i="10"/>
  <c r="AJ34" i="10"/>
  <c r="AJ35" i="10"/>
  <c r="AJ36" i="10"/>
  <c r="AJ37" i="10"/>
  <c r="AJ38" i="10"/>
  <c r="AJ39" i="10"/>
  <c r="AJ40" i="10"/>
  <c r="AJ41" i="10"/>
  <c r="AJ42" i="10"/>
  <c r="AJ43" i="10"/>
  <c r="AJ44" i="10"/>
  <c r="AJ45" i="10"/>
  <c r="AJ46" i="10"/>
  <c r="AJ47" i="10"/>
  <c r="AJ48" i="10"/>
  <c r="AJ49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2" i="10"/>
  <c r="AJ63" i="10"/>
  <c r="AJ64" i="10"/>
  <c r="AJ65" i="10"/>
  <c r="AJ66" i="10"/>
  <c r="AJ67" i="10"/>
  <c r="AJ68" i="10"/>
  <c r="AJ69" i="10"/>
  <c r="AJ70" i="10"/>
  <c r="AJ71" i="10"/>
  <c r="AJ72" i="10"/>
  <c r="AJ73" i="10"/>
  <c r="AJ74" i="10"/>
  <c r="AJ75" i="10"/>
  <c r="AJ76" i="10"/>
  <c r="AJ77" i="10"/>
  <c r="AJ78" i="10"/>
  <c r="AJ79" i="10"/>
  <c r="AJ80" i="10"/>
  <c r="AJ81" i="10"/>
  <c r="AJ82" i="10"/>
  <c r="AJ83" i="10"/>
  <c r="AJ84" i="10"/>
  <c r="AJ85" i="10"/>
  <c r="AJ86" i="10"/>
  <c r="AJ87" i="10"/>
  <c r="AJ88" i="10"/>
  <c r="AJ89" i="10"/>
  <c r="AJ90" i="10"/>
  <c r="AJ91" i="10"/>
  <c r="AJ92" i="10"/>
  <c r="AJ93" i="10"/>
  <c r="AJ94" i="10"/>
  <c r="AJ95" i="10"/>
  <c r="AJ96" i="10"/>
  <c r="AJ97" i="10"/>
  <c r="AJ98" i="10"/>
  <c r="AJ99" i="10"/>
  <c r="AJ100" i="10"/>
  <c r="AJ101" i="10"/>
  <c r="AJ102" i="10"/>
  <c r="AJ103" i="10"/>
  <c r="AJ104" i="10"/>
  <c r="AJ105" i="10"/>
  <c r="AJ106" i="10"/>
  <c r="AJ107" i="10"/>
  <c r="AJ108" i="10"/>
  <c r="AJ109" i="10"/>
  <c r="AJ110" i="10"/>
  <c r="AJ111" i="10"/>
  <c r="AJ112" i="10"/>
  <c r="AJ113" i="10"/>
  <c r="AJ114" i="10"/>
  <c r="AJ115" i="10"/>
  <c r="AJ116" i="10"/>
  <c r="AJ117" i="10"/>
  <c r="AJ118" i="10"/>
  <c r="AJ119" i="10"/>
  <c r="AJ120" i="10"/>
  <c r="AJ121" i="10"/>
  <c r="AJ122" i="10"/>
  <c r="AJ123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36" i="10"/>
  <c r="AJ137" i="10"/>
  <c r="AJ138" i="10"/>
  <c r="AJ139" i="10"/>
  <c r="AJ140" i="10"/>
  <c r="AJ141" i="10"/>
  <c r="AJ142" i="10"/>
  <c r="AJ143" i="10"/>
  <c r="AJ144" i="10"/>
  <c r="AJ145" i="10"/>
  <c r="AJ146" i="10"/>
  <c r="AJ147" i="10"/>
  <c r="AJ148" i="10"/>
  <c r="AJ149" i="10"/>
  <c r="AJ150" i="10"/>
  <c r="AJ151" i="10"/>
  <c r="AJ152" i="10"/>
  <c r="AJ153" i="10"/>
  <c r="AJ154" i="10"/>
  <c r="AJ155" i="10"/>
  <c r="AJ156" i="10"/>
  <c r="AJ157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69" i="10"/>
  <c r="AJ170" i="10"/>
  <c r="AJ171" i="10"/>
  <c r="AJ172" i="10"/>
  <c r="AJ173" i="10"/>
  <c r="AJ174" i="10"/>
  <c r="AJ175" i="10"/>
  <c r="AJ176" i="10"/>
  <c r="AJ177" i="10"/>
  <c r="AJ178" i="10"/>
  <c r="AJ179" i="10"/>
  <c r="AJ180" i="10"/>
  <c r="AJ181" i="10"/>
  <c r="AJ182" i="10"/>
  <c r="AJ183" i="10"/>
  <c r="AJ184" i="10"/>
  <c r="AJ185" i="10"/>
  <c r="AJ186" i="10"/>
  <c r="AJ187" i="10"/>
  <c r="AJ188" i="10"/>
  <c r="AJ189" i="10"/>
  <c r="AJ190" i="10"/>
  <c r="AJ191" i="10"/>
  <c r="AJ192" i="10"/>
  <c r="AJ193" i="10"/>
  <c r="AJ194" i="10"/>
  <c r="AJ195" i="10"/>
  <c r="AJ196" i="10"/>
  <c r="AJ197" i="10"/>
  <c r="AJ198" i="10"/>
  <c r="AJ199" i="10"/>
  <c r="AJ200" i="10"/>
  <c r="AJ201" i="10"/>
  <c r="AJ202" i="10"/>
  <c r="AJ203" i="10"/>
  <c r="AJ204" i="10"/>
  <c r="AJ205" i="10"/>
  <c r="AJ206" i="10"/>
  <c r="AJ207" i="10"/>
  <c r="AJ208" i="10"/>
  <c r="AJ209" i="10"/>
  <c r="AJ210" i="10"/>
  <c r="AJ211" i="10"/>
  <c r="AJ212" i="10"/>
  <c r="AJ213" i="10"/>
  <c r="AJ214" i="10"/>
  <c r="AJ215" i="10"/>
  <c r="AJ216" i="10"/>
  <c r="AJ217" i="10"/>
  <c r="AJ218" i="10"/>
  <c r="AJ219" i="10"/>
  <c r="AJ220" i="10"/>
  <c r="AJ221" i="10"/>
  <c r="AJ222" i="10"/>
  <c r="AJ223" i="10"/>
  <c r="AJ224" i="10"/>
  <c r="AJ225" i="10"/>
  <c r="AJ226" i="10"/>
  <c r="AJ227" i="10"/>
  <c r="AJ228" i="10"/>
  <c r="AJ229" i="10"/>
  <c r="AJ230" i="10"/>
  <c r="AJ231" i="10"/>
  <c r="AJ232" i="10"/>
  <c r="AJ233" i="10"/>
  <c r="AJ234" i="10"/>
  <c r="AJ235" i="10"/>
  <c r="AJ236" i="10"/>
  <c r="AJ237" i="10"/>
  <c r="AJ238" i="10"/>
  <c r="AJ239" i="10"/>
  <c r="AJ240" i="10"/>
  <c r="AJ241" i="10"/>
  <c r="AJ242" i="10"/>
  <c r="AJ243" i="10"/>
  <c r="AJ244" i="10"/>
  <c r="AJ245" i="10"/>
  <c r="AK2" i="10"/>
  <c r="AK3" i="10"/>
  <c r="AK4" i="10"/>
  <c r="AK5" i="10"/>
  <c r="AK6" i="10"/>
  <c r="AK7" i="10"/>
  <c r="AK8" i="10"/>
  <c r="AK9" i="10"/>
  <c r="AK10" i="10"/>
  <c r="AK11" i="10"/>
  <c r="AK12" i="10"/>
  <c r="AK13" i="10"/>
  <c r="AK14" i="10"/>
  <c r="AK15" i="10"/>
  <c r="AK16" i="10"/>
  <c r="AK17" i="10"/>
  <c r="AK18" i="10"/>
  <c r="AK19" i="10"/>
  <c r="AK20" i="10"/>
  <c r="AK21" i="10"/>
  <c r="AK22" i="10"/>
  <c r="AK23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K43" i="10"/>
  <c r="AK44" i="10"/>
  <c r="AK45" i="10"/>
  <c r="AK46" i="10"/>
  <c r="AK47" i="10"/>
  <c r="AK48" i="10"/>
  <c r="AK49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K79" i="10"/>
  <c r="AK80" i="10"/>
  <c r="AK81" i="10"/>
  <c r="AK82" i="10"/>
  <c r="AK83" i="10"/>
  <c r="AK84" i="10"/>
  <c r="AK85" i="10"/>
  <c r="AK86" i="10"/>
  <c r="AK87" i="10"/>
  <c r="AK88" i="10"/>
  <c r="AK89" i="10"/>
  <c r="AK90" i="10"/>
  <c r="AK91" i="10"/>
  <c r="AK92" i="10"/>
  <c r="AK93" i="10"/>
  <c r="AK94" i="10"/>
  <c r="AK95" i="10"/>
  <c r="AK96" i="10"/>
  <c r="AK97" i="10"/>
  <c r="AK98" i="10"/>
  <c r="AK99" i="10"/>
  <c r="AK100" i="10"/>
  <c r="AK101" i="10"/>
  <c r="AK102" i="10"/>
  <c r="AK103" i="10"/>
  <c r="AK104" i="10"/>
  <c r="AK105" i="10"/>
  <c r="AK106" i="10"/>
  <c r="AK107" i="10"/>
  <c r="AK108" i="10"/>
  <c r="AK109" i="10"/>
  <c r="AK110" i="10"/>
  <c r="AK111" i="10"/>
  <c r="AK112" i="10"/>
  <c r="AK113" i="10"/>
  <c r="AK114" i="10"/>
  <c r="AK115" i="10"/>
  <c r="AK116" i="10"/>
  <c r="AK117" i="10"/>
  <c r="AK118" i="10"/>
  <c r="AK119" i="10"/>
  <c r="AK120" i="10"/>
  <c r="AK121" i="10"/>
  <c r="AK122" i="10"/>
  <c r="AK123" i="10"/>
  <c r="AK124" i="10"/>
  <c r="AK125" i="10"/>
  <c r="AK126" i="10"/>
  <c r="AK127" i="10"/>
  <c r="AK128" i="10"/>
  <c r="AK129" i="10"/>
  <c r="AK130" i="10"/>
  <c r="AK131" i="10"/>
  <c r="AK132" i="10"/>
  <c r="AK133" i="10"/>
  <c r="AK134" i="10"/>
  <c r="AK135" i="10"/>
  <c r="AK136" i="10"/>
  <c r="AK137" i="10"/>
  <c r="AK138" i="10"/>
  <c r="AK139" i="10"/>
  <c r="AK140" i="10"/>
  <c r="AK141" i="10"/>
  <c r="AK142" i="10"/>
  <c r="AK143" i="10"/>
  <c r="AK144" i="10"/>
  <c r="AK145" i="10"/>
  <c r="AK146" i="10"/>
  <c r="AK147" i="10"/>
  <c r="AK148" i="10"/>
  <c r="AK149" i="10"/>
  <c r="AK150" i="10"/>
  <c r="AK151" i="10"/>
  <c r="AK152" i="10"/>
  <c r="AK153" i="10"/>
  <c r="AK154" i="10"/>
  <c r="AK155" i="10"/>
  <c r="AK156" i="10"/>
  <c r="AK157" i="10"/>
  <c r="AK158" i="10"/>
  <c r="AK159" i="10"/>
  <c r="AK160" i="10"/>
  <c r="AK161" i="10"/>
  <c r="AK162" i="10"/>
  <c r="AK163" i="10"/>
  <c r="AK164" i="10"/>
  <c r="AK165" i="10"/>
  <c r="AK166" i="10"/>
  <c r="AK167" i="10"/>
  <c r="AK168" i="10"/>
  <c r="AK169" i="10"/>
  <c r="AK170" i="10"/>
  <c r="AK171" i="10"/>
  <c r="AK172" i="10"/>
  <c r="AK173" i="10"/>
  <c r="AK174" i="10"/>
  <c r="AK175" i="10"/>
  <c r="AK176" i="10"/>
  <c r="AK177" i="10"/>
  <c r="AK178" i="10"/>
  <c r="AK179" i="10"/>
  <c r="AK180" i="10"/>
  <c r="AK181" i="10"/>
  <c r="AK182" i="10"/>
  <c r="AK183" i="10"/>
  <c r="AK184" i="10"/>
  <c r="AK185" i="10"/>
  <c r="AK186" i="10"/>
  <c r="AK187" i="10"/>
  <c r="AK188" i="10"/>
  <c r="AK189" i="10"/>
  <c r="AK190" i="10"/>
  <c r="AK191" i="10"/>
  <c r="AK192" i="10"/>
  <c r="AK193" i="10"/>
  <c r="AK194" i="10"/>
  <c r="AK195" i="10"/>
  <c r="AK196" i="10"/>
  <c r="AK197" i="10"/>
  <c r="AK198" i="10"/>
  <c r="AK199" i="10"/>
  <c r="AK200" i="10"/>
  <c r="AK201" i="10"/>
  <c r="AK202" i="10"/>
  <c r="AK203" i="10"/>
  <c r="AK204" i="10"/>
  <c r="AK205" i="10"/>
  <c r="AK206" i="10"/>
  <c r="AK207" i="10"/>
  <c r="AK208" i="10"/>
  <c r="AK209" i="10"/>
  <c r="AK210" i="10"/>
  <c r="AK211" i="10"/>
  <c r="AK212" i="10"/>
  <c r="AK213" i="10"/>
  <c r="AK214" i="10"/>
  <c r="AK215" i="10"/>
  <c r="AK216" i="10"/>
  <c r="AK217" i="10"/>
  <c r="AK218" i="10"/>
  <c r="AK219" i="10"/>
  <c r="AK220" i="10"/>
  <c r="AK221" i="10"/>
  <c r="AK222" i="10"/>
  <c r="AK223" i="10"/>
  <c r="AK224" i="10"/>
  <c r="AK225" i="10"/>
  <c r="AK226" i="10"/>
  <c r="AK227" i="10"/>
  <c r="AK228" i="10"/>
  <c r="AK229" i="10"/>
  <c r="AK230" i="10"/>
  <c r="AK231" i="10"/>
  <c r="AK232" i="10"/>
  <c r="AK233" i="10"/>
  <c r="AK234" i="10"/>
  <c r="AK235" i="10"/>
  <c r="AK236" i="10"/>
  <c r="AK237" i="10"/>
  <c r="AK238" i="10"/>
  <c r="AK239" i="10"/>
  <c r="AK240" i="10"/>
  <c r="AK241" i="10"/>
  <c r="AK242" i="10"/>
  <c r="AK243" i="10"/>
  <c r="AK244" i="10"/>
  <c r="AK245" i="10"/>
  <c r="AL2" i="10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L43" i="10"/>
  <c r="AL44" i="10"/>
  <c r="AL45" i="10"/>
  <c r="AL46" i="10"/>
  <c r="AL47" i="10"/>
  <c r="AL48" i="10"/>
  <c r="AL49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AL70" i="10"/>
  <c r="AL71" i="10"/>
  <c r="AL72" i="10"/>
  <c r="AL73" i="10"/>
  <c r="AL74" i="10"/>
  <c r="AL75" i="10"/>
  <c r="AL76" i="10"/>
  <c r="AL77" i="10"/>
  <c r="AL78" i="10"/>
  <c r="AL79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L126" i="10"/>
  <c r="AL127" i="10"/>
  <c r="AL128" i="10"/>
  <c r="AL129" i="10"/>
  <c r="AL130" i="10"/>
  <c r="AL131" i="10"/>
  <c r="AL132" i="10"/>
  <c r="AL133" i="10"/>
  <c r="AL134" i="10"/>
  <c r="AL135" i="10"/>
  <c r="AL136" i="10"/>
  <c r="AL137" i="10"/>
  <c r="AL138" i="10"/>
  <c r="AL139" i="10"/>
  <c r="AL140" i="10"/>
  <c r="AL141" i="10"/>
  <c r="AL142" i="10"/>
  <c r="AL143" i="10"/>
  <c r="AL144" i="10"/>
  <c r="AL145" i="10"/>
  <c r="AL146" i="10"/>
  <c r="AL147" i="10"/>
  <c r="AL148" i="10"/>
  <c r="AL149" i="10"/>
  <c r="AL150" i="10"/>
  <c r="AL151" i="10"/>
  <c r="AL152" i="10"/>
  <c r="AL153" i="10"/>
  <c r="AL154" i="10"/>
  <c r="AL155" i="10"/>
  <c r="AL156" i="10"/>
  <c r="AL157" i="10"/>
  <c r="AL158" i="10"/>
  <c r="AL159" i="10"/>
  <c r="AL160" i="10"/>
  <c r="AL161" i="10"/>
  <c r="AL162" i="10"/>
  <c r="AL163" i="10"/>
  <c r="AL164" i="10"/>
  <c r="AL165" i="10"/>
  <c r="AL166" i="10"/>
  <c r="AL167" i="10"/>
  <c r="AL168" i="10"/>
  <c r="AL169" i="10"/>
  <c r="AL170" i="10"/>
  <c r="AL171" i="10"/>
  <c r="AL172" i="10"/>
  <c r="AL173" i="10"/>
  <c r="AL174" i="10"/>
  <c r="AL175" i="10"/>
  <c r="AL176" i="10"/>
  <c r="AL177" i="10"/>
  <c r="AL178" i="10"/>
  <c r="AL179" i="10"/>
  <c r="AL180" i="10"/>
  <c r="AL181" i="10"/>
  <c r="AL182" i="10"/>
  <c r="AL183" i="10"/>
  <c r="AL184" i="10"/>
  <c r="AL185" i="10"/>
  <c r="AL186" i="10"/>
  <c r="AL187" i="10"/>
  <c r="AL188" i="10"/>
  <c r="AL189" i="10"/>
  <c r="AL190" i="10"/>
  <c r="AL191" i="10"/>
  <c r="AL192" i="10"/>
  <c r="AL193" i="10"/>
  <c r="AL194" i="10"/>
  <c r="AL195" i="10"/>
  <c r="AL196" i="10"/>
  <c r="AL197" i="10"/>
  <c r="AL198" i="10"/>
  <c r="AL199" i="10"/>
  <c r="AL200" i="10"/>
  <c r="AL201" i="10"/>
  <c r="AL202" i="10"/>
  <c r="AL203" i="10"/>
  <c r="AL204" i="10"/>
  <c r="AL205" i="10"/>
  <c r="AL206" i="10"/>
  <c r="AL207" i="10"/>
  <c r="AL208" i="10"/>
  <c r="AL209" i="10"/>
  <c r="AL210" i="10"/>
  <c r="AL211" i="10"/>
  <c r="AL212" i="10"/>
  <c r="AL213" i="10"/>
  <c r="AL214" i="10"/>
  <c r="AL215" i="10"/>
  <c r="AL216" i="10"/>
  <c r="AL217" i="10"/>
  <c r="AL218" i="10"/>
  <c r="AL219" i="10"/>
  <c r="AL220" i="10"/>
  <c r="AL221" i="10"/>
  <c r="AL222" i="10"/>
  <c r="AL223" i="10"/>
  <c r="AL224" i="10"/>
  <c r="AL225" i="10"/>
  <c r="AL226" i="10"/>
  <c r="AL227" i="10"/>
  <c r="AL228" i="10"/>
  <c r="AL229" i="10"/>
  <c r="AL230" i="10"/>
  <c r="AL231" i="10"/>
  <c r="AL232" i="10"/>
  <c r="AL233" i="10"/>
  <c r="AL234" i="10"/>
  <c r="AL235" i="10"/>
  <c r="AL236" i="10"/>
  <c r="AL237" i="10"/>
  <c r="AL238" i="10"/>
  <c r="AL239" i="10"/>
  <c r="AL240" i="10"/>
  <c r="AL241" i="10"/>
  <c r="AL242" i="10"/>
  <c r="AL243" i="10"/>
  <c r="AL244" i="10"/>
  <c r="AL245" i="10"/>
  <c r="AM2" i="10"/>
  <c r="AM3" i="10"/>
  <c r="AM4" i="10"/>
  <c r="AM5" i="10"/>
  <c r="AM6" i="10"/>
  <c r="AM7" i="10"/>
  <c r="AM8" i="10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B5" i="1"/>
  <c r="O2" i="7" a="1"/>
  <c r="O2" i="7"/>
  <c r="P2" i="7"/>
  <c r="Q2" i="7"/>
  <c r="R2" i="7"/>
  <c r="S2" i="7"/>
  <c r="T2" i="7"/>
  <c r="U2" i="7"/>
  <c r="V2" i="7"/>
  <c r="O3" i="7"/>
  <c r="P3" i="7"/>
  <c r="Q3" i="7"/>
  <c r="R3" i="7"/>
  <c r="S3" i="7"/>
  <c r="T3" i="7"/>
  <c r="U3" i="7"/>
  <c r="V3" i="7"/>
  <c r="O4" i="7"/>
  <c r="P4" i="7"/>
  <c r="Q4" i="7"/>
  <c r="R4" i="7"/>
  <c r="S4" i="7"/>
  <c r="T4" i="7"/>
  <c r="U4" i="7"/>
  <c r="V4" i="7"/>
  <c r="O5" i="7"/>
  <c r="P5" i="7"/>
  <c r="Q5" i="7"/>
  <c r="R5" i="7"/>
  <c r="S5" i="7"/>
  <c r="T5" i="7"/>
  <c r="U5" i="7"/>
  <c r="V5" i="7"/>
  <c r="O6" i="7"/>
  <c r="P6" i="7"/>
  <c r="Q6" i="7"/>
  <c r="R6" i="7"/>
  <c r="S6" i="7"/>
  <c r="T6" i="7"/>
  <c r="U6" i="7"/>
  <c r="V6" i="7"/>
  <c r="O7" i="7"/>
  <c r="P7" i="7"/>
  <c r="Q7" i="7"/>
  <c r="R7" i="7"/>
  <c r="S7" i="7"/>
  <c r="T7" i="7"/>
  <c r="U7" i="7"/>
  <c r="V7" i="7"/>
  <c r="O8" i="7"/>
  <c r="P8" i="7"/>
  <c r="Q8" i="7"/>
  <c r="R8" i="7"/>
  <c r="S8" i="7"/>
  <c r="T8" i="7"/>
  <c r="U8" i="7"/>
  <c r="V8" i="7"/>
  <c r="O9" i="7"/>
  <c r="P9" i="7"/>
  <c r="Q9" i="7"/>
  <c r="R9" i="7"/>
  <c r="S9" i="7"/>
  <c r="T9" i="7"/>
  <c r="U9" i="7"/>
  <c r="V9" i="7"/>
  <c r="O10" i="7"/>
  <c r="P10" i="7"/>
  <c r="Q10" i="7"/>
  <c r="R10" i="7"/>
  <c r="S10" i="7"/>
  <c r="T10" i="7"/>
  <c r="U10" i="7"/>
  <c r="V10" i="7"/>
  <c r="O11" i="7"/>
  <c r="P11" i="7"/>
  <c r="Q11" i="7"/>
  <c r="R11" i="7"/>
  <c r="S11" i="7"/>
  <c r="T11" i="7"/>
  <c r="U11" i="7"/>
  <c r="V11" i="7"/>
  <c r="O12" i="7"/>
  <c r="P12" i="7"/>
  <c r="Q12" i="7"/>
  <c r="R12" i="7"/>
  <c r="S12" i="7"/>
  <c r="T12" i="7"/>
  <c r="U12" i="7"/>
  <c r="V12" i="7"/>
  <c r="O13" i="7"/>
  <c r="P13" i="7"/>
  <c r="Q13" i="7"/>
  <c r="R13" i="7"/>
  <c r="S13" i="7"/>
  <c r="T13" i="7"/>
  <c r="U13" i="7"/>
  <c r="V13" i="7"/>
  <c r="O14" i="7"/>
  <c r="P14" i="7"/>
  <c r="Q14" i="7"/>
  <c r="R14" i="7"/>
  <c r="S14" i="7"/>
  <c r="T14" i="7"/>
  <c r="U14" i="7"/>
  <c r="V14" i="7"/>
  <c r="O15" i="7"/>
  <c r="P15" i="7"/>
  <c r="Q15" i="7"/>
  <c r="R15" i="7"/>
  <c r="S15" i="7"/>
  <c r="T15" i="7"/>
  <c r="U15" i="7"/>
  <c r="V15" i="7"/>
  <c r="O16" i="7"/>
  <c r="P16" i="7"/>
  <c r="Q16" i="7"/>
  <c r="R16" i="7"/>
  <c r="S16" i="7"/>
  <c r="T16" i="7"/>
  <c r="U16" i="7"/>
  <c r="V16" i="7"/>
  <c r="O17" i="7"/>
  <c r="P17" i="7"/>
  <c r="Q17" i="7"/>
  <c r="R17" i="7"/>
  <c r="S17" i="7"/>
  <c r="T17" i="7"/>
  <c r="U17" i="7"/>
  <c r="V17" i="7"/>
  <c r="O18" i="7"/>
  <c r="P18" i="7"/>
  <c r="Q18" i="7"/>
  <c r="R18" i="7"/>
  <c r="S18" i="7"/>
  <c r="T18" i="7"/>
  <c r="U18" i="7"/>
  <c r="V18" i="7"/>
  <c r="O19" i="7"/>
  <c r="P19" i="7"/>
  <c r="Q19" i="7"/>
  <c r="R19" i="7"/>
  <c r="S19" i="7"/>
  <c r="T19" i="7"/>
  <c r="U19" i="7"/>
  <c r="V19" i="7"/>
  <c r="O20" i="7"/>
  <c r="P20" i="7"/>
  <c r="Q20" i="7"/>
  <c r="R20" i="7"/>
  <c r="S20" i="7"/>
  <c r="T20" i="7"/>
  <c r="U20" i="7"/>
  <c r="V20" i="7"/>
  <c r="O21" i="7"/>
  <c r="P21" i="7"/>
  <c r="Q21" i="7"/>
  <c r="R21" i="7"/>
  <c r="S21" i="7"/>
  <c r="T21" i="7"/>
  <c r="U21" i="7"/>
  <c r="V21" i="7"/>
  <c r="O22" i="7"/>
  <c r="P22" i="7"/>
  <c r="Q22" i="7"/>
  <c r="R22" i="7"/>
  <c r="S22" i="7"/>
  <c r="T22" i="7"/>
  <c r="U22" i="7"/>
  <c r="V22" i="7"/>
  <c r="O23" i="7"/>
  <c r="P23" i="7"/>
  <c r="Q23" i="7"/>
  <c r="R23" i="7"/>
  <c r="S23" i="7"/>
  <c r="T23" i="7"/>
  <c r="U23" i="7"/>
  <c r="V23" i="7"/>
  <c r="O24" i="7"/>
  <c r="P24" i="7"/>
  <c r="Q24" i="7"/>
  <c r="R24" i="7"/>
  <c r="S24" i="7"/>
  <c r="T24" i="7"/>
  <c r="U24" i="7"/>
  <c r="V24" i="7"/>
  <c r="O25" i="7"/>
  <c r="P25" i="7"/>
  <c r="Q25" i="7"/>
  <c r="R25" i="7"/>
  <c r="S25" i="7"/>
  <c r="T25" i="7"/>
  <c r="U25" i="7"/>
  <c r="V25" i="7"/>
  <c r="O26" i="7"/>
  <c r="P26" i="7"/>
  <c r="Q26" i="7"/>
  <c r="R26" i="7"/>
  <c r="S26" i="7"/>
  <c r="T26" i="7"/>
  <c r="U26" i="7"/>
  <c r="V26" i="7"/>
  <c r="AE3" i="7"/>
  <c r="AN3" i="10"/>
  <c r="AN2" i="10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C56" i="1"/>
  <c r="A10" i="1" a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B1" i="1"/>
  <c r="N26" i="7"/>
  <c r="N25" i="7"/>
  <c r="N24" i="7"/>
  <c r="N23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AN26" i="10"/>
  <c r="AN24" i="10"/>
  <c r="AN25" i="10"/>
  <c r="AO24" i="10" a="1"/>
  <c r="AO24" i="10"/>
  <c r="AP24" i="10"/>
  <c r="AQ24" i="10"/>
  <c r="AR24" i="10"/>
  <c r="AS24" i="10"/>
  <c r="AN28" i="10"/>
  <c r="AN27" i="10"/>
  <c r="AN20" i="10"/>
  <c r="AN19" i="10"/>
  <c r="AN217" i="10"/>
  <c r="AN437" i="10"/>
  <c r="AO437" i="10" a="1"/>
  <c r="AO437" i="10"/>
  <c r="AP437" i="10"/>
  <c r="AQ437" i="10"/>
  <c r="AR437" i="10"/>
  <c r="AS437" i="10"/>
  <c r="AN432" i="10"/>
  <c r="AO432" i="10" a="1"/>
  <c r="AO432" i="10"/>
  <c r="AP432" i="10"/>
  <c r="AQ432" i="10"/>
  <c r="AR432" i="10"/>
  <c r="AS432" i="10"/>
  <c r="AN433" i="10"/>
  <c r="AO433" i="10" a="1"/>
  <c r="AO433" i="10"/>
  <c r="AP433" i="10"/>
  <c r="AQ433" i="10"/>
  <c r="AR433" i="10"/>
  <c r="AS433" i="10"/>
  <c r="AN434" i="10"/>
  <c r="AO434" i="10" a="1"/>
  <c r="AO434" i="10"/>
  <c r="AP434" i="10"/>
  <c r="AQ434" i="10"/>
  <c r="AR434" i="10"/>
  <c r="AS434" i="10"/>
  <c r="AN435" i="10"/>
  <c r="AO435" i="10" a="1"/>
  <c r="AO435" i="10"/>
  <c r="AP435" i="10"/>
  <c r="AQ435" i="10"/>
  <c r="AR435" i="10"/>
  <c r="AS435" i="10"/>
  <c r="AN436" i="10"/>
  <c r="AO436" i="10" a="1"/>
  <c r="AO436" i="10"/>
  <c r="AP436" i="10"/>
  <c r="AQ436" i="10"/>
  <c r="AR436" i="10"/>
  <c r="AS436" i="10"/>
  <c r="AN274" i="10"/>
  <c r="AO274" i="10" a="1"/>
  <c r="AO274" i="10"/>
  <c r="AP274" i="10"/>
  <c r="AQ274" i="10"/>
  <c r="AR274" i="10"/>
  <c r="AS274" i="10"/>
  <c r="AN275" i="10"/>
  <c r="AO275" i="10" a="1"/>
  <c r="AO275" i="10"/>
  <c r="AP275" i="10"/>
  <c r="AQ275" i="10"/>
  <c r="AR275" i="10"/>
  <c r="AS275" i="10"/>
  <c r="AN276" i="10"/>
  <c r="AO276" i="10" a="1"/>
  <c r="AO276" i="10"/>
  <c r="AP276" i="10"/>
  <c r="AQ276" i="10"/>
  <c r="AR276" i="10"/>
  <c r="AS276" i="10"/>
  <c r="AN277" i="10"/>
  <c r="AO277" i="10" a="1"/>
  <c r="AO277" i="10"/>
  <c r="AP277" i="10"/>
  <c r="AQ277" i="10"/>
  <c r="AR277" i="10"/>
  <c r="AS277" i="10"/>
  <c r="AN278" i="10"/>
  <c r="AO278" i="10" a="1"/>
  <c r="AO278" i="10"/>
  <c r="AP278" i="10"/>
  <c r="AQ278" i="10"/>
  <c r="AR278" i="10"/>
  <c r="AS278" i="10"/>
  <c r="AN279" i="10"/>
  <c r="AO279" i="10" a="1"/>
  <c r="AO279" i="10"/>
  <c r="AP279" i="10"/>
  <c r="AQ279" i="10"/>
  <c r="AR279" i="10"/>
  <c r="AS279" i="10"/>
  <c r="AN280" i="10"/>
  <c r="AO280" i="10" a="1"/>
  <c r="AO280" i="10"/>
  <c r="AP280" i="10"/>
  <c r="AQ280" i="10"/>
  <c r="AR280" i="10"/>
  <c r="AS280" i="10"/>
  <c r="AN281" i="10"/>
  <c r="AO281" i="10" a="1"/>
  <c r="AO281" i="10"/>
  <c r="AP281" i="10"/>
  <c r="AQ281" i="10"/>
  <c r="AR281" i="10"/>
  <c r="AS281" i="10"/>
  <c r="AN282" i="10"/>
  <c r="AO282" i="10" a="1"/>
  <c r="AO282" i="10"/>
  <c r="AP282" i="10"/>
  <c r="AQ282" i="10"/>
  <c r="AR282" i="10"/>
  <c r="AS282" i="10"/>
  <c r="AN283" i="10"/>
  <c r="AO283" i="10" a="1"/>
  <c r="AO283" i="10"/>
  <c r="AP283" i="10"/>
  <c r="AQ283" i="10"/>
  <c r="AR283" i="10"/>
  <c r="AS283" i="10"/>
  <c r="AN284" i="10"/>
  <c r="AO284" i="10" a="1"/>
  <c r="AO284" i="10"/>
  <c r="AP284" i="10"/>
  <c r="AQ284" i="10"/>
  <c r="AR284" i="10"/>
  <c r="AS284" i="10"/>
  <c r="AN285" i="10"/>
  <c r="AO285" i="10" a="1"/>
  <c r="AO285" i="10"/>
  <c r="AP285" i="10"/>
  <c r="AQ285" i="10"/>
  <c r="AR285" i="10"/>
  <c r="AS285" i="10"/>
  <c r="AN286" i="10"/>
  <c r="AO286" i="10" a="1"/>
  <c r="AO286" i="10"/>
  <c r="AP286" i="10"/>
  <c r="AQ286" i="10"/>
  <c r="AR286" i="10"/>
  <c r="AS286" i="10"/>
  <c r="AN287" i="10"/>
  <c r="AO287" i="10" a="1"/>
  <c r="AO287" i="10"/>
  <c r="AP287" i="10"/>
  <c r="AQ287" i="10"/>
  <c r="AR287" i="10"/>
  <c r="AS287" i="10"/>
  <c r="AN288" i="10"/>
  <c r="AO288" i="10" a="1"/>
  <c r="AO288" i="10"/>
  <c r="AP288" i="10"/>
  <c r="AQ288" i="10"/>
  <c r="AR288" i="10"/>
  <c r="AS288" i="10"/>
  <c r="AN289" i="10"/>
  <c r="AO289" i="10" a="1"/>
  <c r="AO289" i="10"/>
  <c r="AP289" i="10"/>
  <c r="AQ289" i="10"/>
  <c r="AR289" i="10"/>
  <c r="AS289" i="10"/>
  <c r="AN290" i="10"/>
  <c r="AO290" i="10" a="1"/>
  <c r="AO290" i="10"/>
  <c r="AP290" i="10"/>
  <c r="AQ290" i="10"/>
  <c r="AR290" i="10"/>
  <c r="AS290" i="10"/>
  <c r="AN291" i="10"/>
  <c r="AO291" i="10" a="1"/>
  <c r="AO291" i="10"/>
  <c r="AP291" i="10"/>
  <c r="AQ291" i="10"/>
  <c r="AR291" i="10"/>
  <c r="AS291" i="10"/>
  <c r="AN292" i="10"/>
  <c r="AO292" i="10" a="1"/>
  <c r="AO292" i="10"/>
  <c r="AP292" i="10"/>
  <c r="AQ292" i="10"/>
  <c r="AR292" i="10"/>
  <c r="AS292" i="10"/>
  <c r="AN293" i="10"/>
  <c r="AO293" i="10" a="1"/>
  <c r="AO293" i="10"/>
  <c r="AP293" i="10"/>
  <c r="AQ293" i="10"/>
  <c r="AR293" i="10"/>
  <c r="AS293" i="10"/>
  <c r="AN294" i="10"/>
  <c r="AO294" i="10" a="1"/>
  <c r="AO294" i="10"/>
  <c r="AP294" i="10"/>
  <c r="AQ294" i="10"/>
  <c r="AR294" i="10"/>
  <c r="AS294" i="10"/>
  <c r="AN295" i="10"/>
  <c r="AO295" i="10" a="1"/>
  <c r="AO295" i="10"/>
  <c r="AP295" i="10"/>
  <c r="AQ295" i="10"/>
  <c r="AR295" i="10"/>
  <c r="AS295" i="10"/>
  <c r="AN296" i="10"/>
  <c r="AO296" i="10" a="1"/>
  <c r="AO296" i="10"/>
  <c r="AP296" i="10"/>
  <c r="AQ296" i="10"/>
  <c r="AR296" i="10"/>
  <c r="AS296" i="10"/>
  <c r="AN297" i="10"/>
  <c r="AO297" i="10" a="1"/>
  <c r="AO297" i="10"/>
  <c r="AP297" i="10"/>
  <c r="AQ297" i="10"/>
  <c r="AR297" i="10"/>
  <c r="AS297" i="10"/>
  <c r="AN298" i="10"/>
  <c r="AO298" i="10" a="1"/>
  <c r="AO298" i="10"/>
  <c r="AP298" i="10"/>
  <c r="AQ298" i="10"/>
  <c r="AR298" i="10"/>
  <c r="AS298" i="10"/>
  <c r="AN299" i="10"/>
  <c r="AO299" i="10" a="1"/>
  <c r="AO299" i="10"/>
  <c r="AP299" i="10"/>
  <c r="AQ299" i="10"/>
  <c r="AR299" i="10"/>
  <c r="AS299" i="10"/>
  <c r="AN300" i="10"/>
  <c r="AO300" i="10" a="1"/>
  <c r="AO300" i="10"/>
  <c r="AP300" i="10"/>
  <c r="AQ300" i="10"/>
  <c r="AR300" i="10"/>
  <c r="AS300" i="10"/>
  <c r="AN301" i="10"/>
  <c r="AO301" i="10" a="1"/>
  <c r="AO301" i="10"/>
  <c r="AP301" i="10"/>
  <c r="AQ301" i="10"/>
  <c r="AR301" i="10"/>
  <c r="AS301" i="10"/>
  <c r="AN302" i="10"/>
  <c r="AO302" i="10" a="1"/>
  <c r="AO302" i="10"/>
  <c r="AP302" i="10"/>
  <c r="AQ302" i="10"/>
  <c r="AR302" i="10"/>
  <c r="AS302" i="10"/>
  <c r="AN303" i="10"/>
  <c r="AO303" i="10" a="1"/>
  <c r="AO303" i="10"/>
  <c r="AP303" i="10"/>
  <c r="AQ303" i="10"/>
  <c r="AR303" i="10"/>
  <c r="AS303" i="10"/>
  <c r="AN304" i="10"/>
  <c r="AO304" i="10" a="1"/>
  <c r="AO304" i="10"/>
  <c r="AP304" i="10"/>
  <c r="AQ304" i="10"/>
  <c r="AR304" i="10"/>
  <c r="AS304" i="10"/>
  <c r="AN305" i="10"/>
  <c r="AO305" i="10" a="1"/>
  <c r="AO305" i="10"/>
  <c r="AP305" i="10"/>
  <c r="AQ305" i="10"/>
  <c r="AR305" i="10"/>
  <c r="AS305" i="10"/>
  <c r="AN306" i="10"/>
  <c r="AO306" i="10" a="1"/>
  <c r="AO306" i="10"/>
  <c r="AP306" i="10"/>
  <c r="AQ306" i="10"/>
  <c r="AR306" i="10"/>
  <c r="AS306" i="10"/>
  <c r="AN307" i="10"/>
  <c r="AO307" i="10" a="1"/>
  <c r="AO307" i="10"/>
  <c r="AP307" i="10"/>
  <c r="AQ307" i="10"/>
  <c r="AR307" i="10"/>
  <c r="AS307" i="10"/>
  <c r="AN308" i="10"/>
  <c r="AO308" i="10" a="1"/>
  <c r="AO308" i="10"/>
  <c r="AP308" i="10"/>
  <c r="AQ308" i="10"/>
  <c r="AR308" i="10"/>
  <c r="AS308" i="10"/>
  <c r="AN309" i="10"/>
  <c r="AO309" i="10" a="1"/>
  <c r="AO309" i="10"/>
  <c r="AP309" i="10"/>
  <c r="AQ309" i="10"/>
  <c r="AR309" i="10"/>
  <c r="AS309" i="10"/>
  <c r="AN310" i="10"/>
  <c r="AO310" i="10" a="1"/>
  <c r="AO310" i="10"/>
  <c r="AP310" i="10"/>
  <c r="AQ310" i="10"/>
  <c r="AR310" i="10"/>
  <c r="AS310" i="10"/>
  <c r="AN311" i="10"/>
  <c r="AO311" i="10" a="1"/>
  <c r="AO311" i="10"/>
  <c r="AP311" i="10"/>
  <c r="AQ311" i="10"/>
  <c r="AR311" i="10"/>
  <c r="AS311" i="10"/>
  <c r="AN312" i="10"/>
  <c r="AO312" i="10" a="1"/>
  <c r="AO312" i="10"/>
  <c r="AP312" i="10"/>
  <c r="AQ312" i="10"/>
  <c r="AR312" i="10"/>
  <c r="AS312" i="10"/>
  <c r="AN313" i="10"/>
  <c r="AO313" i="10" a="1"/>
  <c r="AO313" i="10"/>
  <c r="AP313" i="10"/>
  <c r="AQ313" i="10"/>
  <c r="AR313" i="10"/>
  <c r="AS313" i="10"/>
  <c r="AN314" i="10"/>
  <c r="AO314" i="10" a="1"/>
  <c r="AO314" i="10"/>
  <c r="AP314" i="10"/>
  <c r="AQ314" i="10"/>
  <c r="AR314" i="10"/>
  <c r="AS314" i="10"/>
  <c r="AN315" i="10"/>
  <c r="AO315" i="10" a="1"/>
  <c r="AO315" i="10"/>
  <c r="AP315" i="10"/>
  <c r="AQ315" i="10"/>
  <c r="AR315" i="10"/>
  <c r="AS315" i="10"/>
  <c r="AN316" i="10"/>
  <c r="AO316" i="10" a="1"/>
  <c r="AO316" i="10"/>
  <c r="AP316" i="10"/>
  <c r="AQ316" i="10"/>
  <c r="AR316" i="10"/>
  <c r="AS316" i="10"/>
  <c r="AN317" i="10"/>
  <c r="AO317" i="10" a="1"/>
  <c r="AO317" i="10"/>
  <c r="AP317" i="10"/>
  <c r="AQ317" i="10"/>
  <c r="AR317" i="10"/>
  <c r="AS317" i="10"/>
  <c r="AN318" i="10"/>
  <c r="AO318" i="10" a="1"/>
  <c r="AO318" i="10"/>
  <c r="AP318" i="10"/>
  <c r="AQ318" i="10"/>
  <c r="AR318" i="10"/>
  <c r="AS318" i="10"/>
  <c r="AN319" i="10"/>
  <c r="AO319" i="10" a="1"/>
  <c r="AO319" i="10"/>
  <c r="AP319" i="10"/>
  <c r="AQ319" i="10"/>
  <c r="AR319" i="10"/>
  <c r="AS319" i="10"/>
  <c r="AN320" i="10"/>
  <c r="AO320" i="10" a="1"/>
  <c r="AO320" i="10"/>
  <c r="AP320" i="10"/>
  <c r="AQ320" i="10"/>
  <c r="AR320" i="10"/>
  <c r="AS320" i="10"/>
  <c r="AN321" i="10"/>
  <c r="AO321" i="10" a="1"/>
  <c r="AO321" i="10"/>
  <c r="AP321" i="10"/>
  <c r="AQ321" i="10"/>
  <c r="AR321" i="10"/>
  <c r="AS321" i="10"/>
  <c r="AN322" i="10"/>
  <c r="AO322" i="10" a="1"/>
  <c r="AO322" i="10"/>
  <c r="AP322" i="10"/>
  <c r="AQ322" i="10"/>
  <c r="AR322" i="10"/>
  <c r="AS322" i="10"/>
  <c r="AN323" i="10"/>
  <c r="AO323" i="10" a="1"/>
  <c r="AO323" i="10"/>
  <c r="AP323" i="10"/>
  <c r="AQ323" i="10"/>
  <c r="AR323" i="10"/>
  <c r="AS323" i="10"/>
  <c r="AN324" i="10"/>
  <c r="AO324" i="10" a="1"/>
  <c r="AO324" i="10"/>
  <c r="AP324" i="10"/>
  <c r="AQ324" i="10"/>
  <c r="AR324" i="10"/>
  <c r="AS324" i="10"/>
  <c r="AN325" i="10"/>
  <c r="AO325" i="10" a="1"/>
  <c r="AO325" i="10"/>
  <c r="AP325" i="10"/>
  <c r="AQ325" i="10"/>
  <c r="AR325" i="10"/>
  <c r="AS325" i="10"/>
  <c r="AN326" i="10"/>
  <c r="AO326" i="10" a="1"/>
  <c r="AO326" i="10"/>
  <c r="AP326" i="10"/>
  <c r="AQ326" i="10"/>
  <c r="AR326" i="10"/>
  <c r="AS326" i="10"/>
  <c r="AN327" i="10"/>
  <c r="AO327" i="10" a="1"/>
  <c r="AO327" i="10"/>
  <c r="AP327" i="10"/>
  <c r="AQ327" i="10"/>
  <c r="AR327" i="10"/>
  <c r="AS327" i="10"/>
  <c r="AN328" i="10"/>
  <c r="AO328" i="10" a="1"/>
  <c r="AO328" i="10"/>
  <c r="AP328" i="10"/>
  <c r="AQ328" i="10"/>
  <c r="AR328" i="10"/>
  <c r="AS328" i="10"/>
  <c r="AN329" i="10"/>
  <c r="AO329" i="10" a="1"/>
  <c r="AO329" i="10"/>
  <c r="AP329" i="10"/>
  <c r="AQ329" i="10"/>
  <c r="AR329" i="10"/>
  <c r="AS329" i="10"/>
  <c r="AN330" i="10"/>
  <c r="AO330" i="10" a="1"/>
  <c r="AO330" i="10"/>
  <c r="AP330" i="10"/>
  <c r="AQ330" i="10"/>
  <c r="AR330" i="10"/>
  <c r="AS330" i="10"/>
  <c r="AN331" i="10"/>
  <c r="AO331" i="10" a="1"/>
  <c r="AO331" i="10"/>
  <c r="AP331" i="10"/>
  <c r="AQ331" i="10"/>
  <c r="AR331" i="10"/>
  <c r="AS331" i="10"/>
  <c r="AN332" i="10"/>
  <c r="AO332" i="10" a="1"/>
  <c r="AO332" i="10"/>
  <c r="AP332" i="10"/>
  <c r="AQ332" i="10"/>
  <c r="AR332" i="10"/>
  <c r="AS332" i="10"/>
  <c r="AN333" i="10"/>
  <c r="AO333" i="10" a="1"/>
  <c r="AO333" i="10"/>
  <c r="AP333" i="10"/>
  <c r="AQ333" i="10"/>
  <c r="AR333" i="10"/>
  <c r="AS333" i="10"/>
  <c r="AN334" i="10"/>
  <c r="AO334" i="10" a="1"/>
  <c r="AO334" i="10"/>
  <c r="AP334" i="10"/>
  <c r="AQ334" i="10"/>
  <c r="AR334" i="10"/>
  <c r="AS334" i="10"/>
  <c r="AN335" i="10"/>
  <c r="AO335" i="10" a="1"/>
  <c r="AO335" i="10"/>
  <c r="AP335" i="10"/>
  <c r="AQ335" i="10"/>
  <c r="AR335" i="10"/>
  <c r="AS335" i="10"/>
  <c r="AN336" i="10"/>
  <c r="AO336" i="10" a="1"/>
  <c r="AO336" i="10"/>
  <c r="AP336" i="10"/>
  <c r="AQ336" i="10"/>
  <c r="AR336" i="10"/>
  <c r="AS336" i="10"/>
  <c r="AN337" i="10"/>
  <c r="AO337" i="10" a="1"/>
  <c r="AO337" i="10"/>
  <c r="AP337" i="10"/>
  <c r="AQ337" i="10"/>
  <c r="AR337" i="10"/>
  <c r="AS337" i="10"/>
  <c r="AN338" i="10"/>
  <c r="AO338" i="10" a="1"/>
  <c r="AO338" i="10"/>
  <c r="AP338" i="10"/>
  <c r="AQ338" i="10"/>
  <c r="AR338" i="10"/>
  <c r="AS338" i="10"/>
  <c r="AN339" i="10"/>
  <c r="AO339" i="10" a="1"/>
  <c r="AO339" i="10"/>
  <c r="AP339" i="10"/>
  <c r="AQ339" i="10"/>
  <c r="AR339" i="10"/>
  <c r="AS339" i="10"/>
  <c r="AN340" i="10"/>
  <c r="AO340" i="10" a="1"/>
  <c r="AO340" i="10"/>
  <c r="AP340" i="10"/>
  <c r="AQ340" i="10"/>
  <c r="AR340" i="10"/>
  <c r="AS340" i="10"/>
  <c r="AN341" i="10"/>
  <c r="AO341" i="10" a="1"/>
  <c r="AO341" i="10"/>
  <c r="AP341" i="10"/>
  <c r="AQ341" i="10"/>
  <c r="AR341" i="10"/>
  <c r="AS341" i="10"/>
  <c r="AN342" i="10"/>
  <c r="AO342" i="10" a="1"/>
  <c r="AO342" i="10"/>
  <c r="AP342" i="10"/>
  <c r="AQ342" i="10"/>
  <c r="AR342" i="10"/>
  <c r="AS342" i="10"/>
  <c r="AN343" i="10"/>
  <c r="AO343" i="10" a="1"/>
  <c r="AO343" i="10"/>
  <c r="AP343" i="10"/>
  <c r="AQ343" i="10"/>
  <c r="AR343" i="10"/>
  <c r="AS343" i="10"/>
  <c r="AN344" i="10"/>
  <c r="AO344" i="10" a="1"/>
  <c r="AO344" i="10"/>
  <c r="AP344" i="10"/>
  <c r="AQ344" i="10"/>
  <c r="AR344" i="10"/>
  <c r="AS344" i="10"/>
  <c r="AN345" i="10"/>
  <c r="AO345" i="10" a="1"/>
  <c r="AO345" i="10"/>
  <c r="AP345" i="10"/>
  <c r="AQ345" i="10"/>
  <c r="AR345" i="10"/>
  <c r="AS345" i="10"/>
  <c r="AN346" i="10"/>
  <c r="AO346" i="10" a="1"/>
  <c r="AO346" i="10"/>
  <c r="AP346" i="10"/>
  <c r="AQ346" i="10"/>
  <c r="AR346" i="10"/>
  <c r="AS346" i="10"/>
  <c r="AN347" i="10"/>
  <c r="AO347" i="10" a="1"/>
  <c r="AO347" i="10"/>
  <c r="AP347" i="10"/>
  <c r="AQ347" i="10"/>
  <c r="AR347" i="10"/>
  <c r="AS347" i="10"/>
  <c r="AN348" i="10"/>
  <c r="AO348" i="10" a="1"/>
  <c r="AO348" i="10"/>
  <c r="AP348" i="10"/>
  <c r="AQ348" i="10"/>
  <c r="AR348" i="10"/>
  <c r="AS348" i="10"/>
  <c r="AN349" i="10"/>
  <c r="AO349" i="10" a="1"/>
  <c r="AO349" i="10"/>
  <c r="AP349" i="10"/>
  <c r="AQ349" i="10"/>
  <c r="AR349" i="10"/>
  <c r="AS349" i="10"/>
  <c r="AN350" i="10"/>
  <c r="AO350" i="10" a="1"/>
  <c r="AO350" i="10"/>
  <c r="AP350" i="10"/>
  <c r="AQ350" i="10"/>
  <c r="AR350" i="10"/>
  <c r="AS350" i="10"/>
  <c r="AN351" i="10"/>
  <c r="AO351" i="10" a="1"/>
  <c r="AO351" i="10"/>
  <c r="AP351" i="10"/>
  <c r="AQ351" i="10"/>
  <c r="AR351" i="10"/>
  <c r="AS351" i="10"/>
  <c r="AN352" i="10"/>
  <c r="AO352" i="10" a="1"/>
  <c r="AO352" i="10"/>
  <c r="AP352" i="10"/>
  <c r="AQ352" i="10"/>
  <c r="AR352" i="10"/>
  <c r="AS352" i="10"/>
  <c r="AN353" i="10"/>
  <c r="AO353" i="10" a="1"/>
  <c r="AO353" i="10"/>
  <c r="AP353" i="10"/>
  <c r="AQ353" i="10"/>
  <c r="AR353" i="10"/>
  <c r="AS353" i="10"/>
  <c r="AN354" i="10"/>
  <c r="AO354" i="10" a="1"/>
  <c r="AO354" i="10"/>
  <c r="AP354" i="10"/>
  <c r="AQ354" i="10"/>
  <c r="AR354" i="10"/>
  <c r="AS354" i="10"/>
  <c r="AN355" i="10"/>
  <c r="AO355" i="10" a="1"/>
  <c r="AO355" i="10"/>
  <c r="AP355" i="10"/>
  <c r="AQ355" i="10"/>
  <c r="AR355" i="10"/>
  <c r="AS355" i="10"/>
  <c r="AN356" i="10"/>
  <c r="AO356" i="10" a="1"/>
  <c r="AO356" i="10"/>
  <c r="AP356" i="10"/>
  <c r="AQ356" i="10"/>
  <c r="AR356" i="10"/>
  <c r="AS356" i="10"/>
  <c r="AN357" i="10"/>
  <c r="AO357" i="10" a="1"/>
  <c r="AO357" i="10"/>
  <c r="AP357" i="10"/>
  <c r="AQ357" i="10"/>
  <c r="AR357" i="10"/>
  <c r="AS357" i="10"/>
  <c r="AN358" i="10"/>
  <c r="AO358" i="10" a="1"/>
  <c r="AO358" i="10"/>
  <c r="AP358" i="10"/>
  <c r="AQ358" i="10"/>
  <c r="AR358" i="10"/>
  <c r="AS358" i="10"/>
  <c r="AN359" i="10"/>
  <c r="AO359" i="10" a="1"/>
  <c r="AO359" i="10"/>
  <c r="AP359" i="10"/>
  <c r="AQ359" i="10"/>
  <c r="AR359" i="10"/>
  <c r="AS359" i="10"/>
  <c r="AN360" i="10"/>
  <c r="AO360" i="10" a="1"/>
  <c r="AO360" i="10"/>
  <c r="AP360" i="10"/>
  <c r="AQ360" i="10"/>
  <c r="AR360" i="10"/>
  <c r="AS360" i="10"/>
  <c r="AN361" i="10"/>
  <c r="AO361" i="10" a="1"/>
  <c r="AO361" i="10"/>
  <c r="AP361" i="10"/>
  <c r="AQ361" i="10"/>
  <c r="AR361" i="10"/>
  <c r="AS361" i="10"/>
  <c r="AN362" i="10"/>
  <c r="AO362" i="10" a="1"/>
  <c r="AO362" i="10"/>
  <c r="AP362" i="10"/>
  <c r="AQ362" i="10"/>
  <c r="AR362" i="10"/>
  <c r="AS362" i="10"/>
  <c r="AN363" i="10"/>
  <c r="AO363" i="10" a="1"/>
  <c r="AO363" i="10"/>
  <c r="AP363" i="10"/>
  <c r="AQ363" i="10"/>
  <c r="AR363" i="10"/>
  <c r="AS363" i="10"/>
  <c r="AN364" i="10"/>
  <c r="AO364" i="10" a="1"/>
  <c r="AO364" i="10"/>
  <c r="AP364" i="10"/>
  <c r="AQ364" i="10"/>
  <c r="AR364" i="10"/>
  <c r="AS364" i="10"/>
  <c r="AN365" i="10"/>
  <c r="AO365" i="10" a="1"/>
  <c r="AO365" i="10"/>
  <c r="AP365" i="10"/>
  <c r="AQ365" i="10"/>
  <c r="AR365" i="10"/>
  <c r="AS365" i="10"/>
  <c r="AN366" i="10"/>
  <c r="AO366" i="10" a="1"/>
  <c r="AO366" i="10"/>
  <c r="AP366" i="10"/>
  <c r="AQ366" i="10"/>
  <c r="AR366" i="10"/>
  <c r="AS366" i="10"/>
  <c r="AN367" i="10"/>
  <c r="AO367" i="10" a="1"/>
  <c r="AO367" i="10"/>
  <c r="AP367" i="10"/>
  <c r="AQ367" i="10"/>
  <c r="AR367" i="10"/>
  <c r="AS367" i="10"/>
  <c r="AN368" i="10"/>
  <c r="AO368" i="10" a="1"/>
  <c r="AO368" i="10"/>
  <c r="AP368" i="10"/>
  <c r="AQ368" i="10"/>
  <c r="AR368" i="10"/>
  <c r="AS368" i="10"/>
  <c r="AN369" i="10"/>
  <c r="AO369" i="10" a="1"/>
  <c r="AO369" i="10"/>
  <c r="AP369" i="10"/>
  <c r="AQ369" i="10"/>
  <c r="AR369" i="10"/>
  <c r="AS369" i="10"/>
  <c r="AN370" i="10"/>
  <c r="AO370" i="10" a="1"/>
  <c r="AO370" i="10"/>
  <c r="AP370" i="10"/>
  <c r="AQ370" i="10"/>
  <c r="AR370" i="10"/>
  <c r="AS370" i="10"/>
  <c r="AN371" i="10"/>
  <c r="AO371" i="10" a="1"/>
  <c r="AO371" i="10"/>
  <c r="AP371" i="10"/>
  <c r="AQ371" i="10"/>
  <c r="AR371" i="10"/>
  <c r="AS371" i="10"/>
  <c r="AN372" i="10"/>
  <c r="AO372" i="10" a="1"/>
  <c r="AO372" i="10"/>
  <c r="AP372" i="10"/>
  <c r="AQ372" i="10"/>
  <c r="AR372" i="10"/>
  <c r="AS372" i="10"/>
  <c r="AN373" i="10"/>
  <c r="AO373" i="10" a="1"/>
  <c r="AO373" i="10"/>
  <c r="AP373" i="10"/>
  <c r="AQ373" i="10"/>
  <c r="AR373" i="10"/>
  <c r="AS373" i="10"/>
  <c r="AN374" i="10"/>
  <c r="AO374" i="10" a="1"/>
  <c r="AO374" i="10"/>
  <c r="AP374" i="10"/>
  <c r="AQ374" i="10"/>
  <c r="AR374" i="10"/>
  <c r="AS374" i="10"/>
  <c r="AN375" i="10"/>
  <c r="AO375" i="10" a="1"/>
  <c r="AO375" i="10"/>
  <c r="AP375" i="10"/>
  <c r="AQ375" i="10"/>
  <c r="AR375" i="10"/>
  <c r="AS375" i="10"/>
  <c r="AN376" i="10"/>
  <c r="AO376" i="10" a="1"/>
  <c r="AO376" i="10"/>
  <c r="AP376" i="10"/>
  <c r="AQ376" i="10"/>
  <c r="AR376" i="10"/>
  <c r="AS376" i="10"/>
  <c r="AN377" i="10"/>
  <c r="AO377" i="10" a="1"/>
  <c r="AO377" i="10"/>
  <c r="AP377" i="10"/>
  <c r="AQ377" i="10"/>
  <c r="AR377" i="10"/>
  <c r="AS377" i="10"/>
  <c r="AN378" i="10"/>
  <c r="AO378" i="10" a="1"/>
  <c r="AO378" i="10"/>
  <c r="AP378" i="10"/>
  <c r="AQ378" i="10"/>
  <c r="AR378" i="10"/>
  <c r="AS378" i="10"/>
  <c r="AN379" i="10"/>
  <c r="AO379" i="10" a="1"/>
  <c r="AO379" i="10"/>
  <c r="AP379" i="10"/>
  <c r="AQ379" i="10"/>
  <c r="AR379" i="10"/>
  <c r="AS379" i="10"/>
  <c r="AN380" i="10"/>
  <c r="AO380" i="10" a="1"/>
  <c r="AO380" i="10"/>
  <c r="AP380" i="10"/>
  <c r="AQ380" i="10"/>
  <c r="AR380" i="10"/>
  <c r="AS380" i="10"/>
  <c r="AN381" i="10"/>
  <c r="AO381" i="10" a="1"/>
  <c r="AO381" i="10"/>
  <c r="AP381" i="10"/>
  <c r="AQ381" i="10"/>
  <c r="AR381" i="10"/>
  <c r="AS381" i="10"/>
  <c r="AN382" i="10"/>
  <c r="AO382" i="10" a="1"/>
  <c r="AO382" i="10"/>
  <c r="AP382" i="10"/>
  <c r="AQ382" i="10"/>
  <c r="AR382" i="10"/>
  <c r="AS382" i="10"/>
  <c r="AN383" i="10"/>
  <c r="AO383" i="10" a="1"/>
  <c r="AO383" i="10"/>
  <c r="AP383" i="10"/>
  <c r="AQ383" i="10"/>
  <c r="AR383" i="10"/>
  <c r="AS383" i="10"/>
  <c r="AN384" i="10"/>
  <c r="AO384" i="10" a="1"/>
  <c r="AO384" i="10"/>
  <c r="AP384" i="10"/>
  <c r="AQ384" i="10"/>
  <c r="AR384" i="10"/>
  <c r="AS384" i="10"/>
  <c r="AN385" i="10"/>
  <c r="AO385" i="10" a="1"/>
  <c r="AO385" i="10"/>
  <c r="AP385" i="10"/>
  <c r="AQ385" i="10"/>
  <c r="AR385" i="10"/>
  <c r="AS385" i="10"/>
  <c r="AN386" i="10"/>
  <c r="AO386" i="10" a="1"/>
  <c r="AO386" i="10"/>
  <c r="AP386" i="10"/>
  <c r="AQ386" i="10"/>
  <c r="AR386" i="10"/>
  <c r="AS386" i="10"/>
  <c r="AN387" i="10"/>
  <c r="AO387" i="10" a="1"/>
  <c r="AO387" i="10"/>
  <c r="AP387" i="10"/>
  <c r="AQ387" i="10"/>
  <c r="AR387" i="10"/>
  <c r="AS387" i="10"/>
  <c r="AN388" i="10"/>
  <c r="AO388" i="10" a="1"/>
  <c r="AO388" i="10"/>
  <c r="AP388" i="10"/>
  <c r="AQ388" i="10"/>
  <c r="AR388" i="10"/>
  <c r="AS388" i="10"/>
  <c r="AN389" i="10"/>
  <c r="AO389" i="10" a="1"/>
  <c r="AO389" i="10"/>
  <c r="AP389" i="10"/>
  <c r="AQ389" i="10"/>
  <c r="AR389" i="10"/>
  <c r="AS389" i="10"/>
  <c r="AN390" i="10"/>
  <c r="AO390" i="10" a="1"/>
  <c r="AO390" i="10"/>
  <c r="AP390" i="10"/>
  <c r="AQ390" i="10"/>
  <c r="AR390" i="10"/>
  <c r="AS390" i="10"/>
  <c r="AN391" i="10"/>
  <c r="AO391" i="10" a="1"/>
  <c r="AO391" i="10"/>
  <c r="AP391" i="10"/>
  <c r="AQ391" i="10"/>
  <c r="AR391" i="10"/>
  <c r="AS391" i="10"/>
  <c r="AN392" i="10"/>
  <c r="AO392" i="10" a="1"/>
  <c r="AO392" i="10"/>
  <c r="AP392" i="10"/>
  <c r="AQ392" i="10"/>
  <c r="AR392" i="10"/>
  <c r="AS392" i="10"/>
  <c r="AN393" i="10"/>
  <c r="AO393" i="10" a="1"/>
  <c r="AO393" i="10"/>
  <c r="AP393" i="10"/>
  <c r="AQ393" i="10"/>
  <c r="AR393" i="10"/>
  <c r="AS393" i="10"/>
  <c r="AN394" i="10"/>
  <c r="AO394" i="10" a="1"/>
  <c r="AO394" i="10"/>
  <c r="AP394" i="10"/>
  <c r="AQ394" i="10"/>
  <c r="AR394" i="10"/>
  <c r="AS394" i="10"/>
  <c r="AN395" i="10"/>
  <c r="AO395" i="10" a="1"/>
  <c r="AO395" i="10"/>
  <c r="AP395" i="10"/>
  <c r="AQ395" i="10"/>
  <c r="AR395" i="10"/>
  <c r="AS395" i="10"/>
  <c r="AN396" i="10"/>
  <c r="AO396" i="10" a="1"/>
  <c r="AO396" i="10"/>
  <c r="AP396" i="10"/>
  <c r="AQ396" i="10"/>
  <c r="AR396" i="10"/>
  <c r="AS396" i="10"/>
  <c r="AN397" i="10"/>
  <c r="AO397" i="10" a="1"/>
  <c r="AO397" i="10"/>
  <c r="AP397" i="10"/>
  <c r="AQ397" i="10"/>
  <c r="AR397" i="10"/>
  <c r="AS397" i="10"/>
  <c r="AN398" i="10"/>
  <c r="AO398" i="10" a="1"/>
  <c r="AO398" i="10"/>
  <c r="AP398" i="10"/>
  <c r="AQ398" i="10"/>
  <c r="AR398" i="10"/>
  <c r="AS398" i="10"/>
  <c r="AN399" i="10"/>
  <c r="AO399" i="10" a="1"/>
  <c r="AO399" i="10"/>
  <c r="AP399" i="10"/>
  <c r="AQ399" i="10"/>
  <c r="AR399" i="10"/>
  <c r="AS399" i="10"/>
  <c r="AN400" i="10"/>
  <c r="AO400" i="10" a="1"/>
  <c r="AO400" i="10"/>
  <c r="AP400" i="10"/>
  <c r="AQ400" i="10"/>
  <c r="AR400" i="10"/>
  <c r="AS400" i="10"/>
  <c r="AN401" i="10"/>
  <c r="AO401" i="10" a="1"/>
  <c r="AO401" i="10"/>
  <c r="AP401" i="10"/>
  <c r="AQ401" i="10"/>
  <c r="AR401" i="10"/>
  <c r="AS401" i="10"/>
  <c r="AN402" i="10"/>
  <c r="AO402" i="10" a="1"/>
  <c r="AO402" i="10"/>
  <c r="AP402" i="10"/>
  <c r="AQ402" i="10"/>
  <c r="AR402" i="10"/>
  <c r="AS402" i="10"/>
  <c r="AN403" i="10"/>
  <c r="AO403" i="10" a="1"/>
  <c r="AO403" i="10"/>
  <c r="AP403" i="10"/>
  <c r="AQ403" i="10"/>
  <c r="AR403" i="10"/>
  <c r="AS403" i="10"/>
  <c r="AN404" i="10"/>
  <c r="AO404" i="10" a="1"/>
  <c r="AO404" i="10"/>
  <c r="AP404" i="10"/>
  <c r="AQ404" i="10"/>
  <c r="AR404" i="10"/>
  <c r="AS404" i="10"/>
  <c r="AN405" i="10"/>
  <c r="AO405" i="10" a="1"/>
  <c r="AO405" i="10"/>
  <c r="AP405" i="10"/>
  <c r="AQ405" i="10"/>
  <c r="AR405" i="10"/>
  <c r="AS405" i="10"/>
  <c r="AN406" i="10"/>
  <c r="AO406" i="10" a="1"/>
  <c r="AO406" i="10"/>
  <c r="AP406" i="10"/>
  <c r="AQ406" i="10"/>
  <c r="AR406" i="10"/>
  <c r="AS406" i="10"/>
  <c r="AN407" i="10"/>
  <c r="AO407" i="10" a="1"/>
  <c r="AO407" i="10"/>
  <c r="AP407" i="10"/>
  <c r="AQ407" i="10"/>
  <c r="AR407" i="10"/>
  <c r="AS407" i="10"/>
  <c r="AN408" i="10"/>
  <c r="AO408" i="10" a="1"/>
  <c r="AO408" i="10"/>
  <c r="AP408" i="10"/>
  <c r="AQ408" i="10"/>
  <c r="AR408" i="10"/>
  <c r="AS408" i="10"/>
  <c r="AN409" i="10"/>
  <c r="AO409" i="10" a="1"/>
  <c r="AO409" i="10"/>
  <c r="AP409" i="10"/>
  <c r="AQ409" i="10"/>
  <c r="AR409" i="10"/>
  <c r="AS409" i="10"/>
  <c r="AN410" i="10"/>
  <c r="AO410" i="10" a="1"/>
  <c r="AO410" i="10"/>
  <c r="AP410" i="10"/>
  <c r="AQ410" i="10"/>
  <c r="AR410" i="10"/>
  <c r="AS410" i="10"/>
  <c r="AN411" i="10"/>
  <c r="AO411" i="10" a="1"/>
  <c r="AO411" i="10"/>
  <c r="AP411" i="10"/>
  <c r="AQ411" i="10"/>
  <c r="AR411" i="10"/>
  <c r="AS411" i="10"/>
  <c r="AN412" i="10"/>
  <c r="AO412" i="10" a="1"/>
  <c r="AO412" i="10"/>
  <c r="AP412" i="10"/>
  <c r="AQ412" i="10"/>
  <c r="AR412" i="10"/>
  <c r="AS412" i="10"/>
  <c r="AN413" i="10"/>
  <c r="AO413" i="10" a="1"/>
  <c r="AO413" i="10"/>
  <c r="AP413" i="10"/>
  <c r="AQ413" i="10"/>
  <c r="AR413" i="10"/>
  <c r="AS413" i="10"/>
  <c r="AN414" i="10"/>
  <c r="AO414" i="10" a="1"/>
  <c r="AO414" i="10"/>
  <c r="AP414" i="10"/>
  <c r="AQ414" i="10"/>
  <c r="AR414" i="10"/>
  <c r="AS414" i="10"/>
  <c r="AN415" i="10"/>
  <c r="AO415" i="10" a="1"/>
  <c r="AO415" i="10"/>
  <c r="AP415" i="10"/>
  <c r="AQ415" i="10"/>
  <c r="AR415" i="10"/>
  <c r="AS415" i="10"/>
  <c r="AN416" i="10"/>
  <c r="AO416" i="10" a="1"/>
  <c r="AO416" i="10"/>
  <c r="AP416" i="10"/>
  <c r="AQ416" i="10"/>
  <c r="AR416" i="10"/>
  <c r="AS416" i="10"/>
  <c r="AN417" i="10"/>
  <c r="AO417" i="10" a="1"/>
  <c r="AO417" i="10"/>
  <c r="AP417" i="10"/>
  <c r="AQ417" i="10"/>
  <c r="AR417" i="10"/>
  <c r="AS417" i="10"/>
  <c r="AN418" i="10"/>
  <c r="AO418" i="10" a="1"/>
  <c r="AO418" i="10"/>
  <c r="AP418" i="10"/>
  <c r="AQ418" i="10"/>
  <c r="AR418" i="10"/>
  <c r="AS418" i="10"/>
  <c r="AN419" i="10"/>
  <c r="AO419" i="10" a="1"/>
  <c r="AO419" i="10"/>
  <c r="AP419" i="10"/>
  <c r="AQ419" i="10"/>
  <c r="AR419" i="10"/>
  <c r="AS419" i="10"/>
  <c r="AN420" i="10"/>
  <c r="AO420" i="10" a="1"/>
  <c r="AO420" i="10"/>
  <c r="AP420" i="10"/>
  <c r="AQ420" i="10"/>
  <c r="AR420" i="10"/>
  <c r="AS420" i="10"/>
  <c r="AN421" i="10"/>
  <c r="AO421" i="10" a="1"/>
  <c r="AO421" i="10"/>
  <c r="AP421" i="10"/>
  <c r="AQ421" i="10"/>
  <c r="AR421" i="10"/>
  <c r="AS421" i="10"/>
  <c r="AN422" i="10"/>
  <c r="AO422" i="10" a="1"/>
  <c r="AO422" i="10"/>
  <c r="AP422" i="10"/>
  <c r="AQ422" i="10"/>
  <c r="AR422" i="10"/>
  <c r="AS422" i="10"/>
  <c r="AN423" i="10"/>
  <c r="AO423" i="10" a="1"/>
  <c r="AO423" i="10"/>
  <c r="AP423" i="10"/>
  <c r="AQ423" i="10"/>
  <c r="AR423" i="10"/>
  <c r="AS423" i="10"/>
  <c r="AN424" i="10"/>
  <c r="AO424" i="10" a="1"/>
  <c r="AO424" i="10"/>
  <c r="AP424" i="10"/>
  <c r="AQ424" i="10"/>
  <c r="AR424" i="10"/>
  <c r="AS424" i="10"/>
  <c r="AN425" i="10"/>
  <c r="AO425" i="10" a="1"/>
  <c r="AO425" i="10"/>
  <c r="AP425" i="10"/>
  <c r="AQ425" i="10"/>
  <c r="AR425" i="10"/>
  <c r="AS425" i="10"/>
  <c r="AN426" i="10"/>
  <c r="AO426" i="10" a="1"/>
  <c r="AO426" i="10"/>
  <c r="AP426" i="10"/>
  <c r="AQ426" i="10"/>
  <c r="AR426" i="10"/>
  <c r="AS426" i="10"/>
  <c r="AN427" i="10"/>
  <c r="AO427" i="10" a="1"/>
  <c r="AO427" i="10"/>
  <c r="AP427" i="10"/>
  <c r="AQ427" i="10"/>
  <c r="AR427" i="10"/>
  <c r="AS427" i="10"/>
  <c r="AN428" i="10"/>
  <c r="AO428" i="10" a="1"/>
  <c r="AO428" i="10"/>
  <c r="AP428" i="10"/>
  <c r="AQ428" i="10"/>
  <c r="AR428" i="10"/>
  <c r="AS428" i="10"/>
  <c r="AN429" i="10"/>
  <c r="AO429" i="10" a="1"/>
  <c r="AO429" i="10"/>
  <c r="AP429" i="10"/>
  <c r="AQ429" i="10"/>
  <c r="AR429" i="10"/>
  <c r="AS429" i="10"/>
  <c r="AN430" i="10"/>
  <c r="AO430" i="10" a="1"/>
  <c r="AO430" i="10"/>
  <c r="AP430" i="10"/>
  <c r="AQ430" i="10"/>
  <c r="AR430" i="10"/>
  <c r="AS430" i="10"/>
  <c r="AN431" i="10"/>
  <c r="AO431" i="10" a="1"/>
  <c r="AO431" i="10"/>
  <c r="AP431" i="10"/>
  <c r="AQ431" i="10"/>
  <c r="AR431" i="10"/>
  <c r="AS431" i="10"/>
  <c r="AN85" i="10"/>
  <c r="AO3" i="10" a="1"/>
  <c r="AO3" i="10"/>
  <c r="AP3" i="10"/>
  <c r="AQ3" i="10"/>
  <c r="AR3" i="10"/>
  <c r="AS3" i="10"/>
  <c r="AN4" i="10"/>
  <c r="AO4" i="10" a="1"/>
  <c r="AO4" i="10"/>
  <c r="AP4" i="10"/>
  <c r="AQ4" i="10"/>
  <c r="AR4" i="10"/>
  <c r="AS4" i="10"/>
  <c r="AN5" i="10"/>
  <c r="AO5" i="10" a="1"/>
  <c r="AO5" i="10"/>
  <c r="AP5" i="10"/>
  <c r="AQ5" i="10"/>
  <c r="AR5" i="10"/>
  <c r="AS5" i="10"/>
  <c r="AN6" i="10"/>
  <c r="AO6" i="10" a="1"/>
  <c r="AO6" i="10"/>
  <c r="AP6" i="10"/>
  <c r="AQ6" i="10"/>
  <c r="AR6" i="10"/>
  <c r="AS6" i="10"/>
  <c r="AN7" i="10"/>
  <c r="AO7" i="10" a="1"/>
  <c r="AO7" i="10"/>
  <c r="AP7" i="10"/>
  <c r="AQ7" i="10"/>
  <c r="AR7" i="10"/>
  <c r="AS7" i="10"/>
  <c r="AN8" i="10"/>
  <c r="AO8" i="10" a="1"/>
  <c r="AO8" i="10"/>
  <c r="AP8" i="10"/>
  <c r="AQ8" i="10"/>
  <c r="AR8" i="10"/>
  <c r="AS8" i="10"/>
  <c r="AO2" i="10" a="1"/>
  <c r="AO2" i="10"/>
  <c r="AP2" i="10"/>
  <c r="AQ2" i="10"/>
  <c r="AR2" i="10"/>
  <c r="AS2" i="10"/>
  <c r="AN9" i="10"/>
  <c r="AN10" i="10"/>
  <c r="AN11" i="10"/>
  <c r="AN12" i="10"/>
  <c r="AN13" i="10"/>
  <c r="AN14" i="10"/>
  <c r="AN15" i="10"/>
  <c r="AN16" i="10"/>
  <c r="AN17" i="10"/>
  <c r="AN18" i="10"/>
  <c r="AN21" i="10"/>
  <c r="AN22" i="10"/>
  <c r="AN23" i="10"/>
  <c r="AN29" i="10"/>
  <c r="AN30" i="10"/>
  <c r="AN31" i="10"/>
  <c r="AN32" i="10"/>
  <c r="AN33" i="10"/>
  <c r="AN34" i="10"/>
  <c r="AN35" i="10"/>
  <c r="AN36" i="10"/>
  <c r="AN37" i="10"/>
  <c r="AN38" i="10"/>
  <c r="AN39" i="10"/>
  <c r="AN40" i="10"/>
  <c r="AN41" i="10"/>
  <c r="AN42" i="10"/>
  <c r="AN43" i="10"/>
  <c r="AN44" i="10"/>
  <c r="AN45" i="10"/>
  <c r="AN46" i="10"/>
  <c r="AN47" i="10"/>
  <c r="AN48" i="10"/>
  <c r="AN49" i="10"/>
  <c r="AN50" i="10"/>
  <c r="AN51" i="10"/>
  <c r="AN52" i="10"/>
  <c r="AN53" i="10"/>
  <c r="AN54" i="10"/>
  <c r="AN55" i="10"/>
  <c r="AN56" i="10"/>
  <c r="AN57" i="10"/>
  <c r="AN58" i="10"/>
  <c r="AN59" i="10"/>
  <c r="AN60" i="10"/>
  <c r="AN61" i="10"/>
  <c r="AN62" i="10"/>
  <c r="AN63" i="10"/>
  <c r="AN64" i="10"/>
  <c r="AN65" i="10"/>
  <c r="AN66" i="10"/>
  <c r="AN67" i="10"/>
  <c r="AN68" i="10"/>
  <c r="AN69" i="10"/>
  <c r="AN70" i="10"/>
  <c r="AN71" i="10"/>
  <c r="AN72" i="10"/>
  <c r="AN73" i="10"/>
  <c r="AN74" i="10"/>
  <c r="AN75" i="10"/>
  <c r="AN76" i="10"/>
  <c r="AN77" i="10"/>
  <c r="AN78" i="10"/>
  <c r="AN79" i="10"/>
  <c r="AN80" i="10"/>
  <c r="AN81" i="10"/>
  <c r="AN82" i="10"/>
  <c r="AN83" i="10"/>
  <c r="AN84" i="10"/>
  <c r="AN86" i="10"/>
  <c r="AN87" i="10"/>
  <c r="AN88" i="10"/>
  <c r="AN89" i="10"/>
  <c r="AN90" i="10"/>
  <c r="AN91" i="10"/>
  <c r="AN92" i="10"/>
  <c r="AN93" i="10"/>
  <c r="AN94" i="10"/>
  <c r="AN95" i="10"/>
  <c r="AN96" i="10"/>
  <c r="AN97" i="10"/>
  <c r="AN98" i="10"/>
  <c r="AN99" i="10"/>
  <c r="AN100" i="10"/>
  <c r="AN101" i="10"/>
  <c r="AN102" i="10"/>
  <c r="AN103" i="10"/>
  <c r="AN104" i="10"/>
  <c r="AN105" i="10"/>
  <c r="AN106" i="10"/>
  <c r="AN107" i="10"/>
  <c r="AN108" i="10"/>
  <c r="AN109" i="10"/>
  <c r="AN110" i="10"/>
  <c r="AN111" i="10"/>
  <c r="AN112" i="10"/>
  <c r="AN113" i="10"/>
  <c r="AN114" i="10"/>
  <c r="AN115" i="10"/>
  <c r="AN116" i="10"/>
  <c r="AN117" i="10"/>
  <c r="AN118" i="10"/>
  <c r="AN119" i="10"/>
  <c r="AN120" i="10"/>
  <c r="AN121" i="10"/>
  <c r="AN122" i="10"/>
  <c r="AN123" i="10"/>
  <c r="AN124" i="10"/>
  <c r="AN125" i="10"/>
  <c r="AN126" i="10"/>
  <c r="AN127" i="10"/>
  <c r="AN128" i="10"/>
  <c r="AN129" i="10"/>
  <c r="AN130" i="10"/>
  <c r="AN131" i="10"/>
  <c r="AN132" i="10"/>
  <c r="AN133" i="10"/>
  <c r="AN134" i="10"/>
  <c r="AN135" i="10"/>
  <c r="AN136" i="10"/>
  <c r="AN137" i="10"/>
  <c r="AN138" i="10"/>
  <c r="AN139" i="10"/>
  <c r="AN140" i="10"/>
  <c r="AN141" i="10"/>
  <c r="AN142" i="10"/>
  <c r="AN143" i="10"/>
  <c r="AN144" i="10"/>
  <c r="AN145" i="10"/>
  <c r="AN146" i="10"/>
  <c r="AN147" i="10"/>
  <c r="AN148" i="10"/>
  <c r="AN149" i="10"/>
  <c r="AN150" i="10"/>
  <c r="AN151" i="10"/>
  <c r="AN152" i="10"/>
  <c r="AN153" i="10"/>
  <c r="AN154" i="10"/>
  <c r="AN155" i="10"/>
  <c r="AN156" i="10"/>
  <c r="AN157" i="10"/>
  <c r="AN158" i="10"/>
  <c r="AN159" i="10"/>
  <c r="AN160" i="10"/>
  <c r="AN161" i="10"/>
  <c r="AN162" i="10"/>
  <c r="AN163" i="10"/>
  <c r="AN164" i="10"/>
  <c r="AN165" i="10"/>
  <c r="AN166" i="10"/>
  <c r="AN167" i="10"/>
  <c r="AN168" i="10"/>
  <c r="AN169" i="10"/>
  <c r="AN170" i="10"/>
  <c r="AN171" i="10"/>
  <c r="AN172" i="10"/>
  <c r="AN173" i="10"/>
  <c r="AN174" i="10"/>
  <c r="AN175" i="10"/>
  <c r="AN176" i="10"/>
  <c r="AN177" i="10"/>
  <c r="AN178" i="10"/>
  <c r="AN179" i="10"/>
  <c r="AN180" i="10"/>
  <c r="AN181" i="10"/>
  <c r="AN182" i="10"/>
  <c r="AN183" i="10"/>
  <c r="AN184" i="10"/>
  <c r="AN185" i="10"/>
  <c r="AN186" i="10"/>
  <c r="AN187" i="10"/>
  <c r="AN188" i="10"/>
  <c r="AN189" i="10"/>
  <c r="AN190" i="10"/>
  <c r="AN191" i="10"/>
  <c r="AN192" i="10"/>
  <c r="AN193" i="10"/>
  <c r="AN194" i="10"/>
  <c r="AN195" i="10"/>
  <c r="AN196" i="10"/>
  <c r="AN197" i="10"/>
  <c r="AN198" i="10"/>
  <c r="AN199" i="10"/>
  <c r="AN200" i="10"/>
  <c r="AN201" i="10"/>
  <c r="AN202" i="10"/>
  <c r="AN203" i="10"/>
  <c r="AN204" i="10"/>
  <c r="AN205" i="10"/>
  <c r="AN206" i="10"/>
  <c r="AN207" i="10"/>
  <c r="AN208" i="10"/>
  <c r="AN209" i="10"/>
  <c r="AN210" i="10"/>
  <c r="AN211" i="10"/>
  <c r="AN212" i="10"/>
  <c r="AN213" i="10"/>
  <c r="AN214" i="10"/>
  <c r="AN215" i="10"/>
  <c r="AN216" i="10"/>
  <c r="AN218" i="10"/>
  <c r="AN219" i="10"/>
  <c r="AN220" i="10"/>
  <c r="AN221" i="10"/>
  <c r="AN222" i="10"/>
  <c r="AN223" i="10"/>
  <c r="AN224" i="10"/>
  <c r="AN225" i="10"/>
  <c r="AN226" i="10"/>
  <c r="AN227" i="10"/>
  <c r="AN228" i="10"/>
  <c r="AN229" i="10"/>
  <c r="AN230" i="10"/>
  <c r="AN231" i="10"/>
  <c r="AN232" i="10"/>
  <c r="AN233" i="10"/>
  <c r="AN234" i="10"/>
  <c r="AN235" i="10"/>
  <c r="AN236" i="10"/>
  <c r="AN237" i="10"/>
  <c r="AN238" i="10"/>
  <c r="AN239" i="10"/>
  <c r="AN240" i="10"/>
  <c r="AN241" i="10"/>
  <c r="AN242" i="10"/>
  <c r="AN243" i="10"/>
  <c r="AN244" i="10"/>
  <c r="AN245" i="10"/>
  <c r="AN246" i="10"/>
  <c r="AN247" i="10"/>
  <c r="AN248" i="10"/>
  <c r="AN249" i="10"/>
  <c r="AN250" i="10"/>
  <c r="AN251" i="10"/>
  <c r="AN252" i="10"/>
  <c r="AN253" i="10"/>
  <c r="AN254" i="10"/>
  <c r="AN255" i="10"/>
  <c r="AN256" i="10"/>
  <c r="AN257" i="10"/>
  <c r="AN258" i="10"/>
  <c r="AN259" i="10"/>
  <c r="AN260" i="10"/>
  <c r="AN261" i="10"/>
  <c r="AN262" i="10"/>
  <c r="AN263" i="10"/>
  <c r="AN264" i="10"/>
  <c r="AN265" i="10"/>
  <c r="AN266" i="10"/>
  <c r="AN267" i="10"/>
  <c r="AN268" i="10"/>
  <c r="AN269" i="10"/>
  <c r="AN270" i="10"/>
  <c r="AN271" i="10"/>
  <c r="AN272" i="10"/>
  <c r="AN273" i="10"/>
  <c r="B25" i="4"/>
  <c r="AO10" i="10" a="1"/>
  <c r="AO10" i="10"/>
  <c r="AP10" i="10"/>
  <c r="AQ10" i="10"/>
  <c r="AR10" i="10"/>
  <c r="AS10" i="10"/>
  <c r="AO11" i="10" a="1"/>
  <c r="AO11" i="10"/>
  <c r="AP11" i="10"/>
  <c r="AQ11" i="10"/>
  <c r="AR11" i="10"/>
  <c r="AS11" i="10"/>
  <c r="AO12" i="10" a="1"/>
  <c r="AO12" i="10"/>
  <c r="AP12" i="10"/>
  <c r="AQ12" i="10"/>
  <c r="AR12" i="10"/>
  <c r="AS12" i="10"/>
  <c r="AO13" i="10" a="1"/>
  <c r="AO13" i="10"/>
  <c r="AP13" i="10"/>
  <c r="AQ13" i="10"/>
  <c r="AR13" i="10"/>
  <c r="AS13" i="10"/>
  <c r="AO14" i="10" a="1"/>
  <c r="AO14" i="10"/>
  <c r="AP14" i="10"/>
  <c r="AQ14" i="10"/>
  <c r="AR14" i="10"/>
  <c r="AS14" i="10"/>
  <c r="AO15" i="10" a="1"/>
  <c r="AO15" i="10"/>
  <c r="AP15" i="10"/>
  <c r="AQ15" i="10"/>
  <c r="AR15" i="10"/>
  <c r="AS15" i="10"/>
  <c r="AO16" i="10" a="1"/>
  <c r="AO16" i="10"/>
  <c r="AP16" i="10"/>
  <c r="AQ16" i="10"/>
  <c r="AR16" i="10"/>
  <c r="AS16" i="10"/>
  <c r="AO17" i="10" a="1"/>
  <c r="AO17" i="10"/>
  <c r="AP17" i="10"/>
  <c r="AQ17" i="10"/>
  <c r="AR17" i="10"/>
  <c r="AS17" i="10"/>
  <c r="AO18" i="10" a="1"/>
  <c r="AO18" i="10"/>
  <c r="AP18" i="10"/>
  <c r="AQ18" i="10"/>
  <c r="AR18" i="10"/>
  <c r="AS18" i="10"/>
  <c r="AO19" i="10" a="1"/>
  <c r="AO19" i="10"/>
  <c r="AP19" i="10"/>
  <c r="AQ19" i="10"/>
  <c r="AR19" i="10"/>
  <c r="AS19" i="10"/>
  <c r="AO20" i="10" a="1"/>
  <c r="AO20" i="10"/>
  <c r="AP20" i="10"/>
  <c r="AQ20" i="10"/>
  <c r="AR20" i="10"/>
  <c r="AS20" i="10"/>
  <c r="AO21" i="10" a="1"/>
  <c r="AO21" i="10"/>
  <c r="AP21" i="10"/>
  <c r="AQ21" i="10"/>
  <c r="AR21" i="10"/>
  <c r="AS21" i="10"/>
  <c r="AO22" i="10" a="1"/>
  <c r="AO22" i="10"/>
  <c r="AP22" i="10"/>
  <c r="AQ22" i="10"/>
  <c r="AR22" i="10"/>
  <c r="AS22" i="10"/>
  <c r="AO23" i="10" a="1"/>
  <c r="AO23" i="10"/>
  <c r="AP23" i="10"/>
  <c r="AQ23" i="10"/>
  <c r="AR23" i="10"/>
  <c r="AS23" i="10"/>
  <c r="AO25" i="10" a="1"/>
  <c r="AO25" i="10"/>
  <c r="AP25" i="10"/>
  <c r="AQ25" i="10"/>
  <c r="AR25" i="10"/>
  <c r="AS25" i="10"/>
  <c r="AO26" i="10" a="1"/>
  <c r="AO26" i="10"/>
  <c r="AP26" i="10"/>
  <c r="AQ26" i="10"/>
  <c r="AR26" i="10"/>
  <c r="AS26" i="10"/>
  <c r="AO27" i="10" a="1"/>
  <c r="AO27" i="10"/>
  <c r="AP27" i="10"/>
  <c r="AQ27" i="10"/>
  <c r="AR27" i="10"/>
  <c r="AS27" i="10"/>
  <c r="AO28" i="10" a="1"/>
  <c r="AO28" i="10"/>
  <c r="AP28" i="10"/>
  <c r="AQ28" i="10"/>
  <c r="AR28" i="10"/>
  <c r="AS28" i="10"/>
  <c r="AO29" i="10" a="1"/>
  <c r="AO29" i="10"/>
  <c r="AP29" i="10"/>
  <c r="AQ29" i="10"/>
  <c r="AR29" i="10"/>
  <c r="AS29" i="10"/>
  <c r="AO30" i="10" a="1"/>
  <c r="AO30" i="10"/>
  <c r="AP30" i="10"/>
  <c r="AQ30" i="10"/>
  <c r="AR30" i="10"/>
  <c r="AS30" i="10"/>
  <c r="AO31" i="10" a="1"/>
  <c r="AO31" i="10"/>
  <c r="AP31" i="10"/>
  <c r="AQ31" i="10"/>
  <c r="AR31" i="10"/>
  <c r="AS31" i="10"/>
  <c r="AO32" i="10" a="1"/>
  <c r="AO32" i="10"/>
  <c r="AP32" i="10"/>
  <c r="AQ32" i="10"/>
  <c r="AR32" i="10"/>
  <c r="AS32" i="10"/>
  <c r="AO33" i="10" a="1"/>
  <c r="AO33" i="10"/>
  <c r="AP33" i="10"/>
  <c r="AQ33" i="10"/>
  <c r="AR33" i="10"/>
  <c r="AS33" i="10"/>
  <c r="AO34" i="10" a="1"/>
  <c r="AO34" i="10"/>
  <c r="AP34" i="10"/>
  <c r="AQ34" i="10"/>
  <c r="AR34" i="10"/>
  <c r="AS34" i="10"/>
  <c r="AO35" i="10" a="1"/>
  <c r="AO35" i="10"/>
  <c r="AP35" i="10"/>
  <c r="AQ35" i="10"/>
  <c r="AR35" i="10"/>
  <c r="AS35" i="10"/>
  <c r="AO36" i="10" a="1"/>
  <c r="AO36" i="10"/>
  <c r="AP36" i="10"/>
  <c r="AQ36" i="10"/>
  <c r="AR36" i="10"/>
  <c r="AS36" i="10"/>
  <c r="AO37" i="10" a="1"/>
  <c r="AO37" i="10"/>
  <c r="AP37" i="10"/>
  <c r="AQ37" i="10"/>
  <c r="AR37" i="10"/>
  <c r="AS37" i="10"/>
  <c r="AO38" i="10" a="1"/>
  <c r="AO38" i="10"/>
  <c r="AP38" i="10"/>
  <c r="AQ38" i="10"/>
  <c r="AR38" i="10"/>
  <c r="AS38" i="10"/>
  <c r="AO39" i="10" a="1"/>
  <c r="AO39" i="10"/>
  <c r="AP39" i="10"/>
  <c r="AQ39" i="10"/>
  <c r="AR39" i="10"/>
  <c r="AS39" i="10"/>
  <c r="AO40" i="10" a="1"/>
  <c r="AO40" i="10"/>
  <c r="AP40" i="10"/>
  <c r="AQ40" i="10"/>
  <c r="AR40" i="10"/>
  <c r="AS40" i="10"/>
  <c r="AO41" i="10" a="1"/>
  <c r="AO41" i="10"/>
  <c r="AP41" i="10"/>
  <c r="AQ41" i="10"/>
  <c r="AR41" i="10"/>
  <c r="AS41" i="10"/>
  <c r="AO42" i="10" a="1"/>
  <c r="AO42" i="10"/>
  <c r="AP42" i="10"/>
  <c r="AQ42" i="10"/>
  <c r="AR42" i="10"/>
  <c r="AS42" i="10"/>
  <c r="AO43" i="10" a="1"/>
  <c r="AO43" i="10"/>
  <c r="AP43" i="10"/>
  <c r="AQ43" i="10"/>
  <c r="AR43" i="10"/>
  <c r="AS43" i="10"/>
  <c r="AO44" i="10" a="1"/>
  <c r="AO44" i="10"/>
  <c r="AP44" i="10"/>
  <c r="AQ44" i="10"/>
  <c r="AR44" i="10"/>
  <c r="AS44" i="10"/>
  <c r="AO45" i="10" a="1"/>
  <c r="AO45" i="10"/>
  <c r="AP45" i="10"/>
  <c r="AQ45" i="10"/>
  <c r="AR45" i="10"/>
  <c r="AS45" i="10"/>
  <c r="AO46" i="10" a="1"/>
  <c r="AO46" i="10"/>
  <c r="AP46" i="10"/>
  <c r="AQ46" i="10"/>
  <c r="AR46" i="10"/>
  <c r="AS46" i="10"/>
  <c r="AO47" i="10" a="1"/>
  <c r="AO47" i="10"/>
  <c r="AP47" i="10"/>
  <c r="AQ47" i="10"/>
  <c r="AR47" i="10"/>
  <c r="AS47" i="10"/>
  <c r="AO48" i="10" a="1"/>
  <c r="AO48" i="10"/>
  <c r="AP48" i="10"/>
  <c r="AQ48" i="10"/>
  <c r="AR48" i="10"/>
  <c r="AS48" i="10"/>
  <c r="AO49" i="10" a="1"/>
  <c r="AO49" i="10"/>
  <c r="AP49" i="10"/>
  <c r="AQ49" i="10"/>
  <c r="AR49" i="10"/>
  <c r="AS49" i="10"/>
  <c r="AO50" i="10" a="1"/>
  <c r="AO50" i="10"/>
  <c r="AP50" i="10"/>
  <c r="AQ50" i="10"/>
  <c r="AR50" i="10"/>
  <c r="AS50" i="10"/>
  <c r="AO51" i="10" a="1"/>
  <c r="AO51" i="10"/>
  <c r="AP51" i="10"/>
  <c r="AQ51" i="10"/>
  <c r="AR51" i="10"/>
  <c r="AS51" i="10"/>
  <c r="AO52" i="10" a="1"/>
  <c r="AO52" i="10"/>
  <c r="AP52" i="10"/>
  <c r="AQ52" i="10"/>
  <c r="AR52" i="10"/>
  <c r="AS52" i="10"/>
  <c r="AO53" i="10" a="1"/>
  <c r="AO53" i="10"/>
  <c r="AP53" i="10"/>
  <c r="AQ53" i="10"/>
  <c r="AR53" i="10"/>
  <c r="AS53" i="10"/>
  <c r="AO54" i="10" a="1"/>
  <c r="AO54" i="10"/>
  <c r="AP54" i="10"/>
  <c r="AQ54" i="10"/>
  <c r="AR54" i="10"/>
  <c r="AS54" i="10"/>
  <c r="AO55" i="10" a="1"/>
  <c r="AO55" i="10"/>
  <c r="AP55" i="10"/>
  <c r="AQ55" i="10"/>
  <c r="AR55" i="10"/>
  <c r="AS55" i="10"/>
  <c r="AO56" i="10" a="1"/>
  <c r="AO56" i="10"/>
  <c r="AP56" i="10"/>
  <c r="AQ56" i="10"/>
  <c r="AR56" i="10"/>
  <c r="AS56" i="10"/>
  <c r="AO57" i="10" a="1"/>
  <c r="AO57" i="10"/>
  <c r="AP57" i="10"/>
  <c r="AQ57" i="10"/>
  <c r="AR57" i="10"/>
  <c r="AS57" i="10"/>
  <c r="AO58" i="10" a="1"/>
  <c r="AO58" i="10"/>
  <c r="AP58" i="10"/>
  <c r="AQ58" i="10"/>
  <c r="AR58" i="10"/>
  <c r="AS58" i="10"/>
  <c r="AO59" i="10" a="1"/>
  <c r="AO59" i="10"/>
  <c r="AP59" i="10"/>
  <c r="AQ59" i="10"/>
  <c r="AR59" i="10"/>
  <c r="AS59" i="10"/>
  <c r="AO60" i="10" a="1"/>
  <c r="AO60" i="10"/>
  <c r="AP60" i="10"/>
  <c r="AQ60" i="10"/>
  <c r="AR60" i="10"/>
  <c r="AS60" i="10"/>
  <c r="AO61" i="10" a="1"/>
  <c r="AO61" i="10"/>
  <c r="AP61" i="10"/>
  <c r="AQ61" i="10"/>
  <c r="AR61" i="10"/>
  <c r="AS61" i="10"/>
  <c r="AO62" i="10" a="1"/>
  <c r="AO62" i="10"/>
  <c r="AP62" i="10"/>
  <c r="AQ62" i="10"/>
  <c r="AR62" i="10"/>
  <c r="AS62" i="10"/>
  <c r="AO63" i="10" a="1"/>
  <c r="AO63" i="10"/>
  <c r="AP63" i="10"/>
  <c r="AQ63" i="10"/>
  <c r="AR63" i="10"/>
  <c r="AS63" i="10"/>
  <c r="AO64" i="10" a="1"/>
  <c r="AO64" i="10"/>
  <c r="AP64" i="10"/>
  <c r="AQ64" i="10"/>
  <c r="AR64" i="10"/>
  <c r="AS64" i="10"/>
  <c r="AO65" i="10" a="1"/>
  <c r="AO65" i="10"/>
  <c r="AP65" i="10"/>
  <c r="AQ65" i="10"/>
  <c r="AR65" i="10"/>
  <c r="AS65" i="10"/>
  <c r="AO66" i="10" a="1"/>
  <c r="AO66" i="10"/>
  <c r="AP66" i="10"/>
  <c r="AQ66" i="10"/>
  <c r="AR66" i="10"/>
  <c r="AS66" i="10"/>
  <c r="AO67" i="10" a="1"/>
  <c r="AO67" i="10"/>
  <c r="AP67" i="10"/>
  <c r="AQ67" i="10"/>
  <c r="AR67" i="10"/>
  <c r="AS67" i="10"/>
  <c r="AO68" i="10" a="1"/>
  <c r="AO68" i="10"/>
  <c r="AP68" i="10"/>
  <c r="AQ68" i="10"/>
  <c r="AR68" i="10"/>
  <c r="AS68" i="10"/>
  <c r="AO69" i="10" a="1"/>
  <c r="AO69" i="10"/>
  <c r="AP69" i="10"/>
  <c r="AQ69" i="10"/>
  <c r="AR69" i="10"/>
  <c r="AS69" i="10"/>
  <c r="AO70" i="10" a="1"/>
  <c r="AO70" i="10"/>
  <c r="AP70" i="10"/>
  <c r="AQ70" i="10"/>
  <c r="AR70" i="10"/>
  <c r="AS70" i="10"/>
  <c r="AO71" i="10" a="1"/>
  <c r="AO71" i="10"/>
  <c r="AP71" i="10"/>
  <c r="AQ71" i="10"/>
  <c r="AR71" i="10"/>
  <c r="AS71" i="10"/>
  <c r="AO72" i="10" a="1"/>
  <c r="AO72" i="10"/>
  <c r="AP72" i="10"/>
  <c r="AQ72" i="10"/>
  <c r="AR72" i="10"/>
  <c r="AS72" i="10"/>
  <c r="AO73" i="10" a="1"/>
  <c r="AO73" i="10"/>
  <c r="AP73" i="10"/>
  <c r="AQ73" i="10"/>
  <c r="AR73" i="10"/>
  <c r="AS73" i="10"/>
  <c r="AO74" i="10" a="1"/>
  <c r="AO74" i="10"/>
  <c r="AP74" i="10"/>
  <c r="AQ74" i="10"/>
  <c r="AR74" i="10"/>
  <c r="AS74" i="10"/>
  <c r="AO75" i="10" a="1"/>
  <c r="AO75" i="10"/>
  <c r="AP75" i="10"/>
  <c r="AQ75" i="10"/>
  <c r="AR75" i="10"/>
  <c r="AS75" i="10"/>
  <c r="AO76" i="10" a="1"/>
  <c r="AO76" i="10"/>
  <c r="AP76" i="10"/>
  <c r="AQ76" i="10"/>
  <c r="AR76" i="10"/>
  <c r="AS76" i="10"/>
  <c r="AO77" i="10" a="1"/>
  <c r="AO77" i="10"/>
  <c r="AP77" i="10"/>
  <c r="AQ77" i="10"/>
  <c r="AR77" i="10"/>
  <c r="AS77" i="10"/>
  <c r="AO78" i="10" a="1"/>
  <c r="AO78" i="10"/>
  <c r="AP78" i="10"/>
  <c r="AQ78" i="10"/>
  <c r="AR78" i="10"/>
  <c r="AS78" i="10"/>
  <c r="AO79" i="10" a="1"/>
  <c r="AO79" i="10"/>
  <c r="AP79" i="10"/>
  <c r="AQ79" i="10"/>
  <c r="AR79" i="10"/>
  <c r="AS79" i="10"/>
  <c r="AO80" i="10" a="1"/>
  <c r="AO80" i="10"/>
  <c r="AP80" i="10"/>
  <c r="AQ80" i="10"/>
  <c r="AR80" i="10"/>
  <c r="AS80" i="10"/>
  <c r="AO81" i="10" a="1"/>
  <c r="AO81" i="10"/>
  <c r="AP81" i="10"/>
  <c r="AQ81" i="10"/>
  <c r="AR81" i="10"/>
  <c r="AS81" i="10"/>
  <c r="AO82" i="10" a="1"/>
  <c r="AO82" i="10"/>
  <c r="AP82" i="10"/>
  <c r="AQ82" i="10"/>
  <c r="AR82" i="10"/>
  <c r="AS82" i="10"/>
  <c r="AO83" i="10" a="1"/>
  <c r="AO83" i="10"/>
  <c r="AP83" i="10"/>
  <c r="AQ83" i="10"/>
  <c r="AR83" i="10"/>
  <c r="AS83" i="10"/>
  <c r="AO84" i="10" a="1"/>
  <c r="AO84" i="10"/>
  <c r="AP84" i="10"/>
  <c r="AQ84" i="10"/>
  <c r="AR84" i="10"/>
  <c r="AS84" i="10"/>
  <c r="AO85" i="10" a="1"/>
  <c r="AO85" i="10"/>
  <c r="AP85" i="10"/>
  <c r="AQ85" i="10"/>
  <c r="AR85" i="10"/>
  <c r="AS85" i="10"/>
  <c r="AO86" i="10" a="1"/>
  <c r="AO86" i="10"/>
  <c r="AP86" i="10"/>
  <c r="AQ86" i="10"/>
  <c r="AR86" i="10"/>
  <c r="AS86" i="10"/>
  <c r="AO87" i="10" a="1"/>
  <c r="AO87" i="10"/>
  <c r="AP87" i="10"/>
  <c r="AQ87" i="10"/>
  <c r="AR87" i="10"/>
  <c r="AS87" i="10"/>
  <c r="AO88" i="10" a="1"/>
  <c r="AO88" i="10"/>
  <c r="AP88" i="10"/>
  <c r="AQ88" i="10"/>
  <c r="AR88" i="10"/>
  <c r="AS88" i="10"/>
  <c r="AO89" i="10" a="1"/>
  <c r="AO89" i="10"/>
  <c r="AP89" i="10"/>
  <c r="AQ89" i="10"/>
  <c r="AR89" i="10"/>
  <c r="AS89" i="10"/>
  <c r="AO90" i="10" a="1"/>
  <c r="AO90" i="10"/>
  <c r="AP90" i="10"/>
  <c r="AQ90" i="10"/>
  <c r="AR90" i="10"/>
  <c r="AS90" i="10"/>
  <c r="AO91" i="10" a="1"/>
  <c r="AO91" i="10"/>
  <c r="AP91" i="10"/>
  <c r="AQ91" i="10"/>
  <c r="AR91" i="10"/>
  <c r="AS91" i="10"/>
  <c r="AO92" i="10" a="1"/>
  <c r="AO92" i="10"/>
  <c r="AP92" i="10"/>
  <c r="AQ92" i="10"/>
  <c r="AR92" i="10"/>
  <c r="AS92" i="10"/>
  <c r="AO93" i="10" a="1"/>
  <c r="AO93" i="10"/>
  <c r="AP93" i="10"/>
  <c r="AQ93" i="10"/>
  <c r="AR93" i="10"/>
  <c r="AS93" i="10"/>
  <c r="AO94" i="10" a="1"/>
  <c r="AO94" i="10"/>
  <c r="AP94" i="10"/>
  <c r="AQ94" i="10"/>
  <c r="AR94" i="10"/>
  <c r="AS94" i="10"/>
  <c r="AO95" i="10" a="1"/>
  <c r="AO95" i="10"/>
  <c r="AP95" i="10"/>
  <c r="AQ95" i="10"/>
  <c r="AR95" i="10"/>
  <c r="AS95" i="10"/>
  <c r="AO96" i="10" a="1"/>
  <c r="AO96" i="10"/>
  <c r="AP96" i="10"/>
  <c r="AQ96" i="10"/>
  <c r="AR96" i="10"/>
  <c r="AS96" i="10"/>
  <c r="AO97" i="10" a="1"/>
  <c r="AO97" i="10"/>
  <c r="AP97" i="10"/>
  <c r="AQ97" i="10"/>
  <c r="AR97" i="10"/>
  <c r="AS97" i="10"/>
  <c r="AO98" i="10" a="1"/>
  <c r="AO98" i="10"/>
  <c r="AP98" i="10"/>
  <c r="AQ98" i="10"/>
  <c r="AR98" i="10"/>
  <c r="AS98" i="10"/>
  <c r="AO99" i="10" a="1"/>
  <c r="AO99" i="10"/>
  <c r="AP99" i="10"/>
  <c r="AQ99" i="10"/>
  <c r="AR99" i="10"/>
  <c r="AS99" i="10"/>
  <c r="AO100" i="10" a="1"/>
  <c r="AO100" i="10"/>
  <c r="AP100" i="10"/>
  <c r="AQ100" i="10"/>
  <c r="AR100" i="10"/>
  <c r="AS100" i="10"/>
  <c r="AO101" i="10" a="1"/>
  <c r="AO101" i="10"/>
  <c r="AP101" i="10"/>
  <c r="AQ101" i="10"/>
  <c r="AR101" i="10"/>
  <c r="AS101" i="10"/>
  <c r="AO102" i="10" a="1"/>
  <c r="AO102" i="10"/>
  <c r="AP102" i="10"/>
  <c r="AQ102" i="10"/>
  <c r="AR102" i="10"/>
  <c r="AS102" i="10"/>
  <c r="AO103" i="10" a="1"/>
  <c r="AO103" i="10"/>
  <c r="AP103" i="10"/>
  <c r="AQ103" i="10"/>
  <c r="AR103" i="10"/>
  <c r="AS103" i="10"/>
  <c r="AO104" i="10" a="1"/>
  <c r="AO104" i="10"/>
  <c r="AP104" i="10"/>
  <c r="AQ104" i="10"/>
  <c r="AR104" i="10"/>
  <c r="AS104" i="10"/>
  <c r="AO105" i="10" a="1"/>
  <c r="AO105" i="10"/>
  <c r="AP105" i="10"/>
  <c r="AQ105" i="10"/>
  <c r="AR105" i="10"/>
  <c r="AS105" i="10"/>
  <c r="AO106" i="10" a="1"/>
  <c r="AO106" i="10"/>
  <c r="AP106" i="10"/>
  <c r="AQ106" i="10"/>
  <c r="AR106" i="10"/>
  <c r="AS106" i="10"/>
  <c r="AO107" i="10" a="1"/>
  <c r="AO107" i="10"/>
  <c r="AP107" i="10"/>
  <c r="AQ107" i="10"/>
  <c r="AR107" i="10"/>
  <c r="AS107" i="10"/>
  <c r="AO108" i="10" a="1"/>
  <c r="AO108" i="10"/>
  <c r="AP108" i="10"/>
  <c r="AQ108" i="10"/>
  <c r="AR108" i="10"/>
  <c r="AS108" i="10"/>
  <c r="AO109" i="10" a="1"/>
  <c r="AO109" i="10"/>
  <c r="AP109" i="10"/>
  <c r="AQ109" i="10"/>
  <c r="AR109" i="10"/>
  <c r="AS109" i="10"/>
  <c r="AO110" i="10" a="1"/>
  <c r="AO110" i="10"/>
  <c r="AP110" i="10"/>
  <c r="AQ110" i="10"/>
  <c r="AR110" i="10"/>
  <c r="AS110" i="10"/>
  <c r="AO111" i="10" a="1"/>
  <c r="AO111" i="10"/>
  <c r="AP111" i="10"/>
  <c r="AQ111" i="10"/>
  <c r="AR111" i="10"/>
  <c r="AS111" i="10"/>
  <c r="AO112" i="10" a="1"/>
  <c r="AO112" i="10"/>
  <c r="AP112" i="10"/>
  <c r="AQ112" i="10"/>
  <c r="AR112" i="10"/>
  <c r="AS112" i="10"/>
  <c r="AO113" i="10" a="1"/>
  <c r="AO113" i="10"/>
  <c r="AP113" i="10"/>
  <c r="AQ113" i="10"/>
  <c r="AR113" i="10"/>
  <c r="AS113" i="10"/>
  <c r="AO114" i="10" a="1"/>
  <c r="AO114" i="10"/>
  <c r="AP114" i="10"/>
  <c r="AQ114" i="10"/>
  <c r="AR114" i="10"/>
  <c r="AS114" i="10"/>
  <c r="AO115" i="10" a="1"/>
  <c r="AO115" i="10"/>
  <c r="AP115" i="10"/>
  <c r="AQ115" i="10"/>
  <c r="AR115" i="10"/>
  <c r="AS115" i="10"/>
  <c r="AO116" i="10" a="1"/>
  <c r="AO116" i="10"/>
  <c r="AP116" i="10"/>
  <c r="AQ116" i="10"/>
  <c r="AR116" i="10"/>
  <c r="AS116" i="10"/>
  <c r="AO117" i="10" a="1"/>
  <c r="AO117" i="10"/>
  <c r="AP117" i="10"/>
  <c r="AQ117" i="10"/>
  <c r="AR117" i="10"/>
  <c r="AS117" i="10"/>
  <c r="AO118" i="10" a="1"/>
  <c r="AO118" i="10"/>
  <c r="AP118" i="10"/>
  <c r="AQ118" i="10"/>
  <c r="AR118" i="10"/>
  <c r="AS118" i="10"/>
  <c r="AO119" i="10" a="1"/>
  <c r="AO119" i="10"/>
  <c r="AP119" i="10"/>
  <c r="AQ119" i="10"/>
  <c r="AR119" i="10"/>
  <c r="AS119" i="10"/>
  <c r="AO120" i="10" a="1"/>
  <c r="AO120" i="10"/>
  <c r="AP120" i="10"/>
  <c r="AQ120" i="10"/>
  <c r="AR120" i="10"/>
  <c r="AS120" i="10"/>
  <c r="AO121" i="10" a="1"/>
  <c r="AO121" i="10"/>
  <c r="AP121" i="10"/>
  <c r="AQ121" i="10"/>
  <c r="AR121" i="10"/>
  <c r="AS121" i="10"/>
  <c r="AO122" i="10" a="1"/>
  <c r="AO122" i="10"/>
  <c r="AP122" i="10"/>
  <c r="AQ122" i="10"/>
  <c r="AR122" i="10"/>
  <c r="AS122" i="10"/>
  <c r="AO123" i="10" a="1"/>
  <c r="AO123" i="10"/>
  <c r="AP123" i="10"/>
  <c r="AQ123" i="10"/>
  <c r="AR123" i="10"/>
  <c r="AS123" i="10"/>
  <c r="AO124" i="10" a="1"/>
  <c r="AO124" i="10"/>
  <c r="AP124" i="10"/>
  <c r="AQ124" i="10"/>
  <c r="AR124" i="10"/>
  <c r="AS124" i="10"/>
  <c r="AO125" i="10" a="1"/>
  <c r="AO125" i="10"/>
  <c r="AP125" i="10"/>
  <c r="AQ125" i="10"/>
  <c r="AR125" i="10"/>
  <c r="AS125" i="10"/>
  <c r="AO126" i="10" a="1"/>
  <c r="AO126" i="10"/>
  <c r="AP126" i="10"/>
  <c r="AQ126" i="10"/>
  <c r="AR126" i="10"/>
  <c r="AS126" i="10"/>
  <c r="AO127" i="10" a="1"/>
  <c r="AO127" i="10"/>
  <c r="AP127" i="10"/>
  <c r="AQ127" i="10"/>
  <c r="AR127" i="10"/>
  <c r="AS127" i="10"/>
  <c r="AO128" i="10" a="1"/>
  <c r="AO128" i="10"/>
  <c r="AP128" i="10"/>
  <c r="AQ128" i="10"/>
  <c r="AR128" i="10"/>
  <c r="AS128" i="10"/>
  <c r="AO129" i="10" a="1"/>
  <c r="AO129" i="10"/>
  <c r="AP129" i="10"/>
  <c r="AQ129" i="10"/>
  <c r="AR129" i="10"/>
  <c r="AS129" i="10"/>
  <c r="AO130" i="10" a="1"/>
  <c r="AO130" i="10"/>
  <c r="AP130" i="10"/>
  <c r="AQ130" i="10"/>
  <c r="AR130" i="10"/>
  <c r="AS130" i="10"/>
  <c r="AO131" i="10" a="1"/>
  <c r="AO131" i="10"/>
  <c r="AP131" i="10"/>
  <c r="AQ131" i="10"/>
  <c r="AR131" i="10"/>
  <c r="AS131" i="10"/>
  <c r="AO132" i="10" a="1"/>
  <c r="AO132" i="10"/>
  <c r="AP132" i="10"/>
  <c r="AQ132" i="10"/>
  <c r="AR132" i="10"/>
  <c r="AS132" i="10"/>
  <c r="AO133" i="10" a="1"/>
  <c r="AO133" i="10"/>
  <c r="AP133" i="10"/>
  <c r="AQ133" i="10"/>
  <c r="AR133" i="10"/>
  <c r="AS133" i="10"/>
  <c r="AO134" i="10" a="1"/>
  <c r="AO134" i="10"/>
  <c r="AP134" i="10"/>
  <c r="AQ134" i="10"/>
  <c r="AR134" i="10"/>
  <c r="AS134" i="10"/>
  <c r="AO135" i="10" a="1"/>
  <c r="AO135" i="10"/>
  <c r="AP135" i="10"/>
  <c r="AQ135" i="10"/>
  <c r="AR135" i="10"/>
  <c r="AS135" i="10"/>
  <c r="AO136" i="10" a="1"/>
  <c r="AO136" i="10"/>
  <c r="AP136" i="10"/>
  <c r="AQ136" i="10"/>
  <c r="AR136" i="10"/>
  <c r="AS136" i="10"/>
  <c r="AO137" i="10" a="1"/>
  <c r="AO137" i="10"/>
  <c r="AP137" i="10"/>
  <c r="AQ137" i="10"/>
  <c r="AR137" i="10"/>
  <c r="AS137" i="10"/>
  <c r="AO138" i="10" a="1"/>
  <c r="AO138" i="10"/>
  <c r="AP138" i="10"/>
  <c r="AQ138" i="10"/>
  <c r="AR138" i="10"/>
  <c r="AS138" i="10"/>
  <c r="AO139" i="10" a="1"/>
  <c r="AO139" i="10"/>
  <c r="AP139" i="10"/>
  <c r="AQ139" i="10"/>
  <c r="AR139" i="10"/>
  <c r="AS139" i="10"/>
  <c r="AO140" i="10" a="1"/>
  <c r="AO140" i="10"/>
  <c r="AP140" i="10"/>
  <c r="AQ140" i="10"/>
  <c r="AR140" i="10"/>
  <c r="AS140" i="10"/>
  <c r="AO141" i="10" a="1"/>
  <c r="AO141" i="10"/>
  <c r="AP141" i="10"/>
  <c r="AQ141" i="10"/>
  <c r="AR141" i="10"/>
  <c r="AS141" i="10"/>
  <c r="AO142" i="10" a="1"/>
  <c r="AO142" i="10"/>
  <c r="AP142" i="10"/>
  <c r="AQ142" i="10"/>
  <c r="AR142" i="10"/>
  <c r="AS142" i="10"/>
  <c r="AO143" i="10" a="1"/>
  <c r="AO143" i="10"/>
  <c r="AP143" i="10"/>
  <c r="AQ143" i="10"/>
  <c r="AR143" i="10"/>
  <c r="AS143" i="10"/>
  <c r="AO144" i="10" a="1"/>
  <c r="AO144" i="10"/>
  <c r="AP144" i="10"/>
  <c r="AQ144" i="10"/>
  <c r="AR144" i="10"/>
  <c r="AS144" i="10"/>
  <c r="AO145" i="10" a="1"/>
  <c r="AO145" i="10"/>
  <c r="AP145" i="10"/>
  <c r="AQ145" i="10"/>
  <c r="AR145" i="10"/>
  <c r="AS145" i="10"/>
  <c r="AO146" i="10" a="1"/>
  <c r="AO146" i="10"/>
  <c r="AP146" i="10"/>
  <c r="AQ146" i="10"/>
  <c r="AR146" i="10"/>
  <c r="AS146" i="10"/>
  <c r="AO147" i="10" a="1"/>
  <c r="AO147" i="10"/>
  <c r="AP147" i="10"/>
  <c r="AQ147" i="10"/>
  <c r="AR147" i="10"/>
  <c r="AS147" i="10"/>
  <c r="AO148" i="10" a="1"/>
  <c r="AO148" i="10"/>
  <c r="AP148" i="10"/>
  <c r="AQ148" i="10"/>
  <c r="AR148" i="10"/>
  <c r="AS148" i="10"/>
  <c r="AO149" i="10" a="1"/>
  <c r="AO149" i="10"/>
  <c r="AP149" i="10"/>
  <c r="AQ149" i="10"/>
  <c r="AR149" i="10"/>
  <c r="AS149" i="10"/>
  <c r="AO150" i="10" a="1"/>
  <c r="AO150" i="10"/>
  <c r="AP150" i="10"/>
  <c r="AQ150" i="10"/>
  <c r="AR150" i="10"/>
  <c r="AS150" i="10"/>
  <c r="AO151" i="10" a="1"/>
  <c r="AO151" i="10"/>
  <c r="AP151" i="10"/>
  <c r="AQ151" i="10"/>
  <c r="AR151" i="10"/>
  <c r="AS151" i="10"/>
  <c r="AO152" i="10" a="1"/>
  <c r="AO152" i="10"/>
  <c r="AP152" i="10"/>
  <c r="AQ152" i="10"/>
  <c r="AR152" i="10"/>
  <c r="AS152" i="10"/>
  <c r="AO153" i="10" a="1"/>
  <c r="AO153" i="10"/>
  <c r="AP153" i="10"/>
  <c r="AQ153" i="10"/>
  <c r="AR153" i="10"/>
  <c r="AS153" i="10"/>
  <c r="AO154" i="10" a="1"/>
  <c r="AO154" i="10"/>
  <c r="AP154" i="10"/>
  <c r="AQ154" i="10"/>
  <c r="AR154" i="10"/>
  <c r="AS154" i="10"/>
  <c r="AO155" i="10" a="1"/>
  <c r="AO155" i="10"/>
  <c r="AP155" i="10"/>
  <c r="AQ155" i="10"/>
  <c r="AR155" i="10"/>
  <c r="AS155" i="10"/>
  <c r="AO156" i="10" a="1"/>
  <c r="AO156" i="10"/>
  <c r="AP156" i="10"/>
  <c r="AQ156" i="10"/>
  <c r="AR156" i="10"/>
  <c r="AS156" i="10"/>
  <c r="AO157" i="10" a="1"/>
  <c r="AO157" i="10"/>
  <c r="AP157" i="10"/>
  <c r="AQ157" i="10"/>
  <c r="AR157" i="10"/>
  <c r="AS157" i="10"/>
  <c r="AO158" i="10" a="1"/>
  <c r="AO158" i="10"/>
  <c r="AP158" i="10"/>
  <c r="AQ158" i="10"/>
  <c r="AR158" i="10"/>
  <c r="AS158" i="10"/>
  <c r="AO159" i="10" a="1"/>
  <c r="AO159" i="10"/>
  <c r="AP159" i="10"/>
  <c r="AQ159" i="10"/>
  <c r="AR159" i="10"/>
  <c r="AS159" i="10"/>
  <c r="AO160" i="10" a="1"/>
  <c r="AO160" i="10"/>
  <c r="AP160" i="10"/>
  <c r="AQ160" i="10"/>
  <c r="AR160" i="10"/>
  <c r="AS160" i="10"/>
  <c r="AO161" i="10" a="1"/>
  <c r="AO161" i="10"/>
  <c r="AP161" i="10"/>
  <c r="AQ161" i="10"/>
  <c r="AR161" i="10"/>
  <c r="AS161" i="10"/>
  <c r="AO162" i="10" a="1"/>
  <c r="AO162" i="10"/>
  <c r="AP162" i="10"/>
  <c r="AQ162" i="10"/>
  <c r="AR162" i="10"/>
  <c r="AS162" i="10"/>
  <c r="AO163" i="10" a="1"/>
  <c r="AO163" i="10"/>
  <c r="AP163" i="10"/>
  <c r="AQ163" i="10"/>
  <c r="AR163" i="10"/>
  <c r="AS163" i="10"/>
  <c r="AO164" i="10" a="1"/>
  <c r="AO164" i="10"/>
  <c r="AP164" i="10"/>
  <c r="AQ164" i="10"/>
  <c r="AR164" i="10"/>
  <c r="AS164" i="10"/>
  <c r="AO165" i="10" a="1"/>
  <c r="AO165" i="10"/>
  <c r="AP165" i="10"/>
  <c r="AQ165" i="10"/>
  <c r="AR165" i="10"/>
  <c r="AS165" i="10"/>
  <c r="AO166" i="10" a="1"/>
  <c r="AO166" i="10"/>
  <c r="AP166" i="10"/>
  <c r="AQ166" i="10"/>
  <c r="AR166" i="10"/>
  <c r="AS166" i="10"/>
  <c r="AO167" i="10" a="1"/>
  <c r="AO167" i="10"/>
  <c r="AP167" i="10"/>
  <c r="AQ167" i="10"/>
  <c r="AR167" i="10"/>
  <c r="AS167" i="10"/>
  <c r="AO168" i="10" a="1"/>
  <c r="AO168" i="10"/>
  <c r="AP168" i="10"/>
  <c r="AQ168" i="10"/>
  <c r="AR168" i="10"/>
  <c r="AS168" i="10"/>
  <c r="AO169" i="10" a="1"/>
  <c r="AO169" i="10"/>
  <c r="AP169" i="10"/>
  <c r="AQ169" i="10"/>
  <c r="AR169" i="10"/>
  <c r="AS169" i="10"/>
  <c r="AO170" i="10" a="1"/>
  <c r="AO170" i="10"/>
  <c r="AP170" i="10"/>
  <c r="AQ170" i="10"/>
  <c r="AR170" i="10"/>
  <c r="AS170" i="10"/>
  <c r="AO171" i="10" a="1"/>
  <c r="AO171" i="10"/>
  <c r="AP171" i="10"/>
  <c r="AQ171" i="10"/>
  <c r="AR171" i="10"/>
  <c r="AS171" i="10"/>
  <c r="AO172" i="10" a="1"/>
  <c r="AO172" i="10"/>
  <c r="AP172" i="10"/>
  <c r="AQ172" i="10"/>
  <c r="AR172" i="10"/>
  <c r="AS172" i="10"/>
  <c r="AO173" i="10" a="1"/>
  <c r="AO173" i="10"/>
  <c r="AP173" i="10"/>
  <c r="AQ173" i="10"/>
  <c r="AR173" i="10"/>
  <c r="AS173" i="10"/>
  <c r="AO174" i="10" a="1"/>
  <c r="AO174" i="10"/>
  <c r="AP174" i="10"/>
  <c r="AQ174" i="10"/>
  <c r="AR174" i="10"/>
  <c r="AS174" i="10"/>
  <c r="AO175" i="10" a="1"/>
  <c r="AO175" i="10"/>
  <c r="AP175" i="10"/>
  <c r="AQ175" i="10"/>
  <c r="AR175" i="10"/>
  <c r="AS175" i="10"/>
  <c r="AO176" i="10" a="1"/>
  <c r="AO176" i="10"/>
  <c r="AP176" i="10"/>
  <c r="AQ176" i="10"/>
  <c r="AR176" i="10"/>
  <c r="AS176" i="10"/>
  <c r="AO177" i="10" a="1"/>
  <c r="AO177" i="10"/>
  <c r="AP177" i="10"/>
  <c r="AQ177" i="10"/>
  <c r="AR177" i="10"/>
  <c r="AS177" i="10"/>
  <c r="AO178" i="10" a="1"/>
  <c r="AO178" i="10"/>
  <c r="AP178" i="10"/>
  <c r="AQ178" i="10"/>
  <c r="AR178" i="10"/>
  <c r="AS178" i="10"/>
  <c r="AO179" i="10" a="1"/>
  <c r="AO179" i="10"/>
  <c r="AP179" i="10"/>
  <c r="AQ179" i="10"/>
  <c r="AR179" i="10"/>
  <c r="AS179" i="10"/>
  <c r="AO180" i="10" a="1"/>
  <c r="AO180" i="10"/>
  <c r="AP180" i="10"/>
  <c r="AQ180" i="10"/>
  <c r="AR180" i="10"/>
  <c r="AS180" i="10"/>
  <c r="AO181" i="10" a="1"/>
  <c r="AO181" i="10"/>
  <c r="AP181" i="10"/>
  <c r="AQ181" i="10"/>
  <c r="AR181" i="10"/>
  <c r="AS181" i="10"/>
  <c r="AO182" i="10" a="1"/>
  <c r="AO182" i="10"/>
  <c r="AP182" i="10"/>
  <c r="AQ182" i="10"/>
  <c r="AR182" i="10"/>
  <c r="AS182" i="10"/>
  <c r="AO183" i="10" a="1"/>
  <c r="AO183" i="10"/>
  <c r="AP183" i="10"/>
  <c r="AQ183" i="10"/>
  <c r="AR183" i="10"/>
  <c r="AS183" i="10"/>
  <c r="AO184" i="10" a="1"/>
  <c r="AO184" i="10"/>
  <c r="AP184" i="10"/>
  <c r="AQ184" i="10"/>
  <c r="AR184" i="10"/>
  <c r="AS184" i="10"/>
  <c r="AO185" i="10" a="1"/>
  <c r="AO185" i="10"/>
  <c r="AP185" i="10"/>
  <c r="AQ185" i="10"/>
  <c r="AR185" i="10"/>
  <c r="AS185" i="10"/>
  <c r="AO186" i="10" a="1"/>
  <c r="AO186" i="10"/>
  <c r="AP186" i="10"/>
  <c r="AQ186" i="10"/>
  <c r="AR186" i="10"/>
  <c r="AS186" i="10"/>
  <c r="AO187" i="10" a="1"/>
  <c r="AO187" i="10"/>
  <c r="AP187" i="10"/>
  <c r="AQ187" i="10"/>
  <c r="AR187" i="10"/>
  <c r="AS187" i="10"/>
  <c r="AO188" i="10" a="1"/>
  <c r="AO188" i="10"/>
  <c r="AP188" i="10"/>
  <c r="AQ188" i="10"/>
  <c r="AR188" i="10"/>
  <c r="AS188" i="10"/>
  <c r="AO189" i="10" a="1"/>
  <c r="AO189" i="10"/>
  <c r="AP189" i="10"/>
  <c r="AQ189" i="10"/>
  <c r="AR189" i="10"/>
  <c r="AS189" i="10"/>
  <c r="AO190" i="10" a="1"/>
  <c r="AO190" i="10"/>
  <c r="AP190" i="10"/>
  <c r="AQ190" i="10"/>
  <c r="AR190" i="10"/>
  <c r="AS190" i="10"/>
  <c r="AO191" i="10" a="1"/>
  <c r="AO191" i="10"/>
  <c r="AP191" i="10"/>
  <c r="AQ191" i="10"/>
  <c r="AR191" i="10"/>
  <c r="AS191" i="10"/>
  <c r="AO192" i="10" a="1"/>
  <c r="AO192" i="10"/>
  <c r="AP192" i="10"/>
  <c r="AQ192" i="10"/>
  <c r="AR192" i="10"/>
  <c r="AS192" i="10"/>
  <c r="AO193" i="10" a="1"/>
  <c r="AO193" i="10"/>
  <c r="AP193" i="10"/>
  <c r="AQ193" i="10"/>
  <c r="AR193" i="10"/>
  <c r="AS193" i="10"/>
  <c r="AO194" i="10" a="1"/>
  <c r="AO194" i="10"/>
  <c r="AP194" i="10"/>
  <c r="AQ194" i="10"/>
  <c r="AR194" i="10"/>
  <c r="AS194" i="10"/>
  <c r="AO195" i="10" a="1"/>
  <c r="AO195" i="10"/>
  <c r="AP195" i="10"/>
  <c r="AQ195" i="10"/>
  <c r="AR195" i="10"/>
  <c r="AS195" i="10"/>
  <c r="AO196" i="10" a="1"/>
  <c r="AO196" i="10"/>
  <c r="AP196" i="10"/>
  <c r="AQ196" i="10"/>
  <c r="AR196" i="10"/>
  <c r="AS196" i="10"/>
  <c r="AO197" i="10" a="1"/>
  <c r="AO197" i="10"/>
  <c r="AP197" i="10"/>
  <c r="AQ197" i="10"/>
  <c r="AR197" i="10"/>
  <c r="AS197" i="10"/>
  <c r="AO198" i="10" a="1"/>
  <c r="AO198" i="10"/>
  <c r="AP198" i="10"/>
  <c r="AQ198" i="10"/>
  <c r="AR198" i="10"/>
  <c r="AS198" i="10"/>
  <c r="AO199" i="10" a="1"/>
  <c r="AO199" i="10"/>
  <c r="AP199" i="10"/>
  <c r="AQ199" i="10"/>
  <c r="AR199" i="10"/>
  <c r="AS199" i="10"/>
  <c r="AO200" i="10" a="1"/>
  <c r="AO200" i="10"/>
  <c r="AP200" i="10"/>
  <c r="AQ200" i="10"/>
  <c r="AR200" i="10"/>
  <c r="AS200" i="10"/>
  <c r="AO201" i="10" a="1"/>
  <c r="AO201" i="10"/>
  <c r="AP201" i="10"/>
  <c r="AQ201" i="10"/>
  <c r="AR201" i="10"/>
  <c r="AS201" i="10"/>
  <c r="AO202" i="10" a="1"/>
  <c r="AO202" i="10"/>
  <c r="AP202" i="10"/>
  <c r="AQ202" i="10"/>
  <c r="AR202" i="10"/>
  <c r="AS202" i="10"/>
  <c r="AO203" i="10" a="1"/>
  <c r="AO203" i="10"/>
  <c r="AP203" i="10"/>
  <c r="AQ203" i="10"/>
  <c r="AR203" i="10"/>
  <c r="AS203" i="10"/>
  <c r="AO204" i="10" a="1"/>
  <c r="AO204" i="10"/>
  <c r="AP204" i="10"/>
  <c r="AQ204" i="10"/>
  <c r="AR204" i="10"/>
  <c r="AS204" i="10"/>
  <c r="AO205" i="10" a="1"/>
  <c r="AO205" i="10"/>
  <c r="AP205" i="10"/>
  <c r="AQ205" i="10"/>
  <c r="AR205" i="10"/>
  <c r="AS205" i="10"/>
  <c r="AO206" i="10" a="1"/>
  <c r="AO206" i="10"/>
  <c r="AP206" i="10"/>
  <c r="AQ206" i="10"/>
  <c r="AR206" i="10"/>
  <c r="AS206" i="10"/>
  <c r="AO207" i="10" a="1"/>
  <c r="AO207" i="10"/>
  <c r="AP207" i="10"/>
  <c r="AQ207" i="10"/>
  <c r="AR207" i="10"/>
  <c r="AS207" i="10"/>
  <c r="AO208" i="10" a="1"/>
  <c r="AO208" i="10"/>
  <c r="AP208" i="10"/>
  <c r="AQ208" i="10"/>
  <c r="AR208" i="10"/>
  <c r="AS208" i="10"/>
  <c r="AO209" i="10" a="1"/>
  <c r="AO209" i="10"/>
  <c r="AP209" i="10"/>
  <c r="AQ209" i="10"/>
  <c r="AR209" i="10"/>
  <c r="AS209" i="10"/>
  <c r="AO210" i="10" a="1"/>
  <c r="AO210" i="10"/>
  <c r="AP210" i="10"/>
  <c r="AQ210" i="10"/>
  <c r="AR210" i="10"/>
  <c r="AS210" i="10"/>
  <c r="AO211" i="10" a="1"/>
  <c r="AO211" i="10"/>
  <c r="AP211" i="10"/>
  <c r="AQ211" i="10"/>
  <c r="AR211" i="10"/>
  <c r="AS211" i="10"/>
  <c r="AO212" i="10" a="1"/>
  <c r="AO212" i="10"/>
  <c r="AP212" i="10"/>
  <c r="AQ212" i="10"/>
  <c r="AR212" i="10"/>
  <c r="AS212" i="10"/>
  <c r="AO213" i="10" a="1"/>
  <c r="AO213" i="10"/>
  <c r="AP213" i="10"/>
  <c r="AQ213" i="10"/>
  <c r="AR213" i="10"/>
  <c r="AS213" i="10"/>
  <c r="AO214" i="10" a="1"/>
  <c r="AO214" i="10"/>
  <c r="AP214" i="10"/>
  <c r="AQ214" i="10"/>
  <c r="AR214" i="10"/>
  <c r="AS214" i="10"/>
  <c r="AO215" i="10" a="1"/>
  <c r="AO215" i="10"/>
  <c r="AP215" i="10"/>
  <c r="AQ215" i="10"/>
  <c r="AR215" i="10"/>
  <c r="AS215" i="10"/>
  <c r="AO216" i="10" a="1"/>
  <c r="AO216" i="10"/>
  <c r="AP216" i="10"/>
  <c r="AQ216" i="10"/>
  <c r="AR216" i="10"/>
  <c r="AS216" i="10"/>
  <c r="AO217" i="10" a="1"/>
  <c r="AO217" i="10"/>
  <c r="AP217" i="10"/>
  <c r="AQ217" i="10"/>
  <c r="AR217" i="10"/>
  <c r="AS217" i="10"/>
  <c r="AO218" i="10" a="1"/>
  <c r="AO218" i="10"/>
  <c r="AP218" i="10"/>
  <c r="AQ218" i="10"/>
  <c r="AR218" i="10"/>
  <c r="AS218" i="10"/>
  <c r="AO219" i="10" a="1"/>
  <c r="AO219" i="10"/>
  <c r="AP219" i="10"/>
  <c r="AQ219" i="10"/>
  <c r="AR219" i="10"/>
  <c r="AS219" i="10"/>
  <c r="AO220" i="10" a="1"/>
  <c r="AO220" i="10"/>
  <c r="AP220" i="10"/>
  <c r="AQ220" i="10"/>
  <c r="AR220" i="10"/>
  <c r="AS220" i="10"/>
  <c r="AO221" i="10" a="1"/>
  <c r="AO221" i="10"/>
  <c r="AP221" i="10"/>
  <c r="AQ221" i="10"/>
  <c r="AR221" i="10"/>
  <c r="AS221" i="10"/>
  <c r="AO222" i="10" a="1"/>
  <c r="AO222" i="10"/>
  <c r="AP222" i="10"/>
  <c r="AQ222" i="10"/>
  <c r="AR222" i="10"/>
  <c r="AS222" i="10"/>
  <c r="AO223" i="10" a="1"/>
  <c r="AO223" i="10"/>
  <c r="AP223" i="10"/>
  <c r="AQ223" i="10"/>
  <c r="AR223" i="10"/>
  <c r="AS223" i="10"/>
  <c r="AO224" i="10" a="1"/>
  <c r="AO224" i="10"/>
  <c r="AP224" i="10"/>
  <c r="AQ224" i="10"/>
  <c r="AR224" i="10"/>
  <c r="AS224" i="10"/>
  <c r="AO225" i="10" a="1"/>
  <c r="AO225" i="10"/>
  <c r="AP225" i="10"/>
  <c r="AQ225" i="10"/>
  <c r="AR225" i="10"/>
  <c r="AS225" i="10"/>
  <c r="AO226" i="10" a="1"/>
  <c r="AO226" i="10"/>
  <c r="AP226" i="10"/>
  <c r="AQ226" i="10"/>
  <c r="AR226" i="10"/>
  <c r="AS226" i="10"/>
  <c r="AO227" i="10" a="1"/>
  <c r="AO227" i="10"/>
  <c r="AP227" i="10"/>
  <c r="AQ227" i="10"/>
  <c r="AR227" i="10"/>
  <c r="AS227" i="10"/>
  <c r="AO228" i="10" a="1"/>
  <c r="AO228" i="10"/>
  <c r="AP228" i="10"/>
  <c r="AQ228" i="10"/>
  <c r="AR228" i="10"/>
  <c r="AS228" i="10"/>
  <c r="AO229" i="10" a="1"/>
  <c r="AO229" i="10"/>
  <c r="AP229" i="10"/>
  <c r="AQ229" i="10"/>
  <c r="AR229" i="10"/>
  <c r="AS229" i="10"/>
  <c r="AO230" i="10" a="1"/>
  <c r="AO230" i="10"/>
  <c r="AP230" i="10"/>
  <c r="AQ230" i="10"/>
  <c r="AR230" i="10"/>
  <c r="AS230" i="10"/>
  <c r="AO231" i="10" a="1"/>
  <c r="AO231" i="10"/>
  <c r="AP231" i="10"/>
  <c r="AQ231" i="10"/>
  <c r="AR231" i="10"/>
  <c r="AS231" i="10"/>
  <c r="AO232" i="10" a="1"/>
  <c r="AO232" i="10"/>
  <c r="AP232" i="10"/>
  <c r="AQ232" i="10"/>
  <c r="AR232" i="10"/>
  <c r="AS232" i="10"/>
  <c r="AO233" i="10" a="1"/>
  <c r="AO233" i="10"/>
  <c r="AP233" i="10"/>
  <c r="AQ233" i="10"/>
  <c r="AR233" i="10"/>
  <c r="AS233" i="10"/>
  <c r="AO234" i="10" a="1"/>
  <c r="AO234" i="10"/>
  <c r="AP234" i="10"/>
  <c r="AQ234" i="10"/>
  <c r="AR234" i="10"/>
  <c r="AS234" i="10"/>
  <c r="AO235" i="10" a="1"/>
  <c r="AO235" i="10"/>
  <c r="AP235" i="10"/>
  <c r="AQ235" i="10"/>
  <c r="AR235" i="10"/>
  <c r="AS235" i="10"/>
  <c r="AO236" i="10" a="1"/>
  <c r="AO236" i="10"/>
  <c r="AP236" i="10"/>
  <c r="AQ236" i="10"/>
  <c r="AR236" i="10"/>
  <c r="AS236" i="10"/>
  <c r="AO237" i="10" a="1"/>
  <c r="AO237" i="10"/>
  <c r="AP237" i="10"/>
  <c r="AQ237" i="10"/>
  <c r="AR237" i="10"/>
  <c r="AS237" i="10"/>
  <c r="AO238" i="10" a="1"/>
  <c r="AO238" i="10"/>
  <c r="AP238" i="10"/>
  <c r="AQ238" i="10"/>
  <c r="AR238" i="10"/>
  <c r="AS238" i="10"/>
  <c r="AO239" i="10" a="1"/>
  <c r="AO239" i="10"/>
  <c r="AP239" i="10"/>
  <c r="AQ239" i="10"/>
  <c r="AR239" i="10"/>
  <c r="AS239" i="10"/>
  <c r="AO240" i="10" a="1"/>
  <c r="AO240" i="10"/>
  <c r="AP240" i="10"/>
  <c r="AQ240" i="10"/>
  <c r="AR240" i="10"/>
  <c r="AS240" i="10"/>
  <c r="AO241" i="10" a="1"/>
  <c r="AO241" i="10"/>
  <c r="AP241" i="10"/>
  <c r="AQ241" i="10"/>
  <c r="AR241" i="10"/>
  <c r="AS241" i="10"/>
  <c r="AO242" i="10" a="1"/>
  <c r="AO242" i="10"/>
  <c r="AP242" i="10"/>
  <c r="AQ242" i="10"/>
  <c r="AR242" i="10"/>
  <c r="AS242" i="10"/>
  <c r="AO243" i="10" a="1"/>
  <c r="AO243" i="10"/>
  <c r="AP243" i="10"/>
  <c r="AQ243" i="10"/>
  <c r="AR243" i="10"/>
  <c r="AS243" i="10"/>
  <c r="AO244" i="10" a="1"/>
  <c r="AO244" i="10"/>
  <c r="AP244" i="10"/>
  <c r="AQ244" i="10"/>
  <c r="AR244" i="10"/>
  <c r="AS244" i="10"/>
  <c r="AO245" i="10" a="1"/>
  <c r="AO245" i="10"/>
  <c r="AP245" i="10"/>
  <c r="AQ245" i="10"/>
  <c r="AR245" i="10"/>
  <c r="AS245" i="10"/>
  <c r="AO246" i="10" a="1"/>
  <c r="AO246" i="10"/>
  <c r="AP246" i="10"/>
  <c r="AQ246" i="10"/>
  <c r="AR246" i="10"/>
  <c r="AS246" i="10"/>
  <c r="AO247" i="10" a="1"/>
  <c r="AO247" i="10"/>
  <c r="AP247" i="10"/>
  <c r="AQ247" i="10"/>
  <c r="AR247" i="10"/>
  <c r="AS247" i="10"/>
  <c r="AO248" i="10" a="1"/>
  <c r="AO248" i="10"/>
  <c r="AP248" i="10"/>
  <c r="AQ248" i="10"/>
  <c r="AR248" i="10"/>
  <c r="AS248" i="10"/>
  <c r="AO249" i="10" a="1"/>
  <c r="AO249" i="10"/>
  <c r="AP249" i="10"/>
  <c r="AQ249" i="10"/>
  <c r="AR249" i="10"/>
  <c r="AS249" i="10"/>
  <c r="AO250" i="10" a="1"/>
  <c r="AO250" i="10"/>
  <c r="AP250" i="10"/>
  <c r="AQ250" i="10"/>
  <c r="AR250" i="10"/>
  <c r="AS250" i="10"/>
  <c r="AO251" i="10" a="1"/>
  <c r="AO251" i="10"/>
  <c r="AP251" i="10"/>
  <c r="AQ251" i="10"/>
  <c r="AR251" i="10"/>
  <c r="AS251" i="10"/>
  <c r="AO252" i="10" a="1"/>
  <c r="AO252" i="10"/>
  <c r="AP252" i="10"/>
  <c r="AQ252" i="10"/>
  <c r="AR252" i="10"/>
  <c r="AS252" i="10"/>
  <c r="AO253" i="10" a="1"/>
  <c r="AO253" i="10"/>
  <c r="AP253" i="10"/>
  <c r="AQ253" i="10"/>
  <c r="AR253" i="10"/>
  <c r="AS253" i="10"/>
  <c r="AO254" i="10" a="1"/>
  <c r="AO254" i="10"/>
  <c r="AP254" i="10"/>
  <c r="AQ254" i="10"/>
  <c r="AR254" i="10"/>
  <c r="AS254" i="10"/>
  <c r="AO255" i="10" a="1"/>
  <c r="AO255" i="10"/>
  <c r="AP255" i="10"/>
  <c r="AQ255" i="10"/>
  <c r="AR255" i="10"/>
  <c r="AS255" i="10"/>
  <c r="AO256" i="10" a="1"/>
  <c r="AO256" i="10"/>
  <c r="AP256" i="10"/>
  <c r="AQ256" i="10"/>
  <c r="AR256" i="10"/>
  <c r="AS256" i="10"/>
  <c r="AO257" i="10" a="1"/>
  <c r="AO257" i="10"/>
  <c r="AP257" i="10"/>
  <c r="AQ257" i="10"/>
  <c r="AR257" i="10"/>
  <c r="AS257" i="10"/>
  <c r="AO258" i="10" a="1"/>
  <c r="AO258" i="10"/>
  <c r="AP258" i="10"/>
  <c r="AQ258" i="10"/>
  <c r="AR258" i="10"/>
  <c r="AS258" i="10"/>
  <c r="AO259" i="10" a="1"/>
  <c r="AO259" i="10"/>
  <c r="AP259" i="10"/>
  <c r="AQ259" i="10"/>
  <c r="AR259" i="10"/>
  <c r="AS259" i="10"/>
  <c r="AO260" i="10" a="1"/>
  <c r="AO260" i="10"/>
  <c r="AP260" i="10"/>
  <c r="AQ260" i="10"/>
  <c r="AR260" i="10"/>
  <c r="AS260" i="10"/>
  <c r="AO261" i="10" a="1"/>
  <c r="AO261" i="10"/>
  <c r="AP261" i="10"/>
  <c r="AQ261" i="10"/>
  <c r="AR261" i="10"/>
  <c r="AS261" i="10"/>
  <c r="AO262" i="10" a="1"/>
  <c r="AO262" i="10"/>
  <c r="AP262" i="10"/>
  <c r="AQ262" i="10"/>
  <c r="AR262" i="10"/>
  <c r="AS262" i="10"/>
  <c r="AO263" i="10" a="1"/>
  <c r="AO263" i="10"/>
  <c r="AP263" i="10"/>
  <c r="AQ263" i="10"/>
  <c r="AR263" i="10"/>
  <c r="AS263" i="10"/>
  <c r="AO264" i="10" a="1"/>
  <c r="AO264" i="10"/>
  <c r="AP264" i="10"/>
  <c r="AQ264" i="10"/>
  <c r="AR264" i="10"/>
  <c r="AS264" i="10"/>
  <c r="AO265" i="10" a="1"/>
  <c r="AO265" i="10"/>
  <c r="AP265" i="10"/>
  <c r="AQ265" i="10"/>
  <c r="AR265" i="10"/>
  <c r="AS265" i="10"/>
  <c r="AO266" i="10" a="1"/>
  <c r="AO266" i="10"/>
  <c r="AP266" i="10"/>
  <c r="AQ266" i="10"/>
  <c r="AR266" i="10"/>
  <c r="AS266" i="10"/>
  <c r="AO267" i="10" a="1"/>
  <c r="AO267" i="10"/>
  <c r="AP267" i="10"/>
  <c r="AQ267" i="10"/>
  <c r="AR267" i="10"/>
  <c r="AS267" i="10"/>
  <c r="AO268" i="10" a="1"/>
  <c r="AO268" i="10"/>
  <c r="AP268" i="10"/>
  <c r="AQ268" i="10"/>
  <c r="AR268" i="10"/>
  <c r="AS268" i="10"/>
  <c r="AO269" i="10" a="1"/>
  <c r="AO269" i="10"/>
  <c r="AP269" i="10"/>
  <c r="AQ269" i="10"/>
  <c r="AR269" i="10"/>
  <c r="AS269" i="10"/>
  <c r="AO270" i="10" a="1"/>
  <c r="AO270" i="10"/>
  <c r="AP270" i="10"/>
  <c r="AQ270" i="10"/>
  <c r="AR270" i="10"/>
  <c r="AS270" i="10"/>
  <c r="AO271" i="10" a="1"/>
  <c r="AO271" i="10"/>
  <c r="AP271" i="10"/>
  <c r="AQ271" i="10"/>
  <c r="AR271" i="10"/>
  <c r="AS271" i="10"/>
  <c r="AO272" i="10" a="1"/>
  <c r="AO272" i="10"/>
  <c r="AP272" i="10"/>
  <c r="AQ272" i="10"/>
  <c r="AR272" i="10"/>
  <c r="AS272" i="10"/>
  <c r="AO273" i="10" a="1"/>
  <c r="AO273" i="10"/>
  <c r="AP273" i="10"/>
  <c r="AQ273" i="10"/>
  <c r="AR273" i="10"/>
  <c r="AS273" i="10"/>
  <c r="AO9" i="10" a="1"/>
  <c r="AO9" i="10"/>
  <c r="AP9" i="10"/>
  <c r="AQ9" i="10"/>
  <c r="AR9" i="10"/>
  <c r="AS9" i="10"/>
  <c r="B9" i="4"/>
  <c r="B17" i="4"/>
  <c r="H18" i="4" a="1"/>
  <c r="H18" i="4"/>
  <c r="I18" i="4"/>
  <c r="J18" i="4"/>
  <c r="K18" i="4"/>
  <c r="L18" i="4"/>
  <c r="H9" i="4" a="1"/>
  <c r="H9" i="4"/>
  <c r="I9" i="4"/>
  <c r="J9" i="4"/>
  <c r="K9" i="4"/>
  <c r="L9" i="4"/>
  <c r="E17" i="4"/>
  <c r="E9" i="4"/>
  <c r="AU1" i="10" a="1"/>
  <c r="AU1" i="10"/>
  <c r="AV1" i="10"/>
  <c r="AW1" i="10"/>
  <c r="AX1" i="10"/>
  <c r="AY1" i="10"/>
  <c r="AZ1" i="10"/>
  <c r="BA1" i="10"/>
  <c r="BB1" i="10"/>
  <c r="AU2" i="10"/>
  <c r="AV2" i="10"/>
  <c r="AW2" i="10"/>
  <c r="AX2" i="10"/>
  <c r="AY2" i="10"/>
  <c r="AZ2" i="10"/>
  <c r="BA2" i="10"/>
  <c r="BB2" i="10"/>
  <c r="AU3" i="10"/>
  <c r="AV3" i="10"/>
  <c r="AW3" i="10"/>
  <c r="AX3" i="10"/>
  <c r="AY3" i="10"/>
  <c r="AZ3" i="10"/>
  <c r="BA3" i="10"/>
  <c r="BB3" i="10"/>
  <c r="AU4" i="10"/>
  <c r="AV4" i="10"/>
  <c r="AW4" i="10"/>
  <c r="AX4" i="10"/>
  <c r="AY4" i="10"/>
  <c r="AZ4" i="10"/>
  <c r="BA4" i="10"/>
  <c r="BB4" i="10"/>
  <c r="AU5" i="10"/>
  <c r="AV5" i="10"/>
  <c r="AW5" i="10"/>
  <c r="AX5" i="10"/>
  <c r="AY5" i="10"/>
  <c r="AZ5" i="10"/>
  <c r="BA5" i="10"/>
  <c r="BB5" i="10"/>
  <c r="AU6" i="10"/>
  <c r="AV6" i="10"/>
  <c r="AW6" i="10"/>
  <c r="AX6" i="10"/>
  <c r="AY6" i="10"/>
  <c r="AZ6" i="10"/>
  <c r="BA6" i="10"/>
  <c r="BB6" i="10"/>
  <c r="AU7" i="10"/>
  <c r="AV7" i="10"/>
  <c r="AW7" i="10"/>
  <c r="AX7" i="10"/>
  <c r="AY7" i="10"/>
  <c r="AZ7" i="10"/>
  <c r="BA7" i="10"/>
  <c r="BB7" i="10"/>
  <c r="AU8" i="10"/>
  <c r="AV8" i="10"/>
  <c r="AW8" i="10"/>
  <c r="AX8" i="10"/>
  <c r="AY8" i="10"/>
  <c r="AZ8" i="10"/>
  <c r="BA8" i="10"/>
  <c r="BB8" i="10"/>
  <c r="AU9" i="10"/>
  <c r="AV9" i="10"/>
  <c r="AW9" i="10"/>
  <c r="AX9" i="10"/>
  <c r="AY9" i="10"/>
  <c r="AZ9" i="10"/>
  <c r="BA9" i="10"/>
  <c r="BB9" i="10"/>
  <c r="AU10" i="10"/>
  <c r="AV10" i="10"/>
  <c r="AW10" i="10"/>
  <c r="AX10" i="10"/>
  <c r="AY10" i="10"/>
  <c r="AZ10" i="10"/>
  <c r="BA10" i="10"/>
  <c r="BB10" i="10"/>
  <c r="AU11" i="10"/>
  <c r="AV11" i="10"/>
  <c r="AW11" i="10"/>
  <c r="AX11" i="10"/>
  <c r="AY11" i="10"/>
  <c r="AZ11" i="10"/>
  <c r="BA11" i="10"/>
  <c r="BB11" i="10"/>
  <c r="AU12" i="10"/>
  <c r="AV12" i="10"/>
  <c r="AW12" i="10"/>
  <c r="AX12" i="10"/>
  <c r="AY12" i="10"/>
  <c r="AZ12" i="10"/>
  <c r="BA12" i="10"/>
  <c r="BB12" i="10"/>
  <c r="AU13" i="10"/>
  <c r="AV13" i="10"/>
  <c r="AW13" i="10"/>
  <c r="AX13" i="10"/>
  <c r="AY13" i="10"/>
  <c r="AZ13" i="10"/>
  <c r="BA13" i="10"/>
  <c r="BB13" i="10"/>
  <c r="AU14" i="10"/>
  <c r="AV14" i="10"/>
  <c r="AW14" i="10"/>
  <c r="AX14" i="10"/>
  <c r="AY14" i="10"/>
  <c r="AZ14" i="10"/>
  <c r="BA14" i="10"/>
  <c r="BB14" i="10"/>
  <c r="AU15" i="10"/>
  <c r="AV15" i="10"/>
  <c r="AW15" i="10"/>
  <c r="AX15" i="10"/>
  <c r="AY15" i="10"/>
  <c r="AZ15" i="10"/>
  <c r="BA15" i="10"/>
  <c r="BB15" i="10"/>
  <c r="AU16" i="10"/>
  <c r="AV16" i="10"/>
  <c r="AW16" i="10"/>
  <c r="AX16" i="10"/>
  <c r="AY16" i="10"/>
  <c r="AZ16" i="10"/>
  <c r="BA16" i="10"/>
  <c r="BB16" i="10"/>
  <c r="AU17" i="10"/>
  <c r="AV17" i="10"/>
  <c r="AW17" i="10"/>
  <c r="AX17" i="10"/>
  <c r="AY17" i="10"/>
  <c r="AZ17" i="10"/>
  <c r="BA17" i="10"/>
  <c r="BB17" i="10"/>
  <c r="AU18" i="10"/>
  <c r="AV18" i="10"/>
  <c r="AW18" i="10"/>
  <c r="AX18" i="10"/>
  <c r="AY18" i="10"/>
  <c r="AZ18" i="10"/>
  <c r="BA18" i="10"/>
  <c r="BB18" i="10"/>
  <c r="AU19" i="10"/>
  <c r="AV19" i="10"/>
  <c r="AW19" i="10"/>
  <c r="AX19" i="10"/>
  <c r="AY19" i="10"/>
  <c r="AZ19" i="10"/>
  <c r="BA19" i="10"/>
  <c r="BB19" i="10"/>
  <c r="AU20" i="10"/>
  <c r="AV20" i="10"/>
  <c r="AW20" i="10"/>
  <c r="AX20" i="10"/>
  <c r="AY20" i="10"/>
  <c r="AZ20" i="10"/>
  <c r="BA20" i="10"/>
  <c r="BB20" i="10"/>
  <c r="AU21" i="10"/>
  <c r="AV21" i="10"/>
  <c r="AW21" i="10"/>
  <c r="AX21" i="10"/>
  <c r="AY21" i="10"/>
  <c r="AZ21" i="10"/>
  <c r="BA21" i="10"/>
  <c r="BB21" i="10"/>
  <c r="AU22" i="10"/>
  <c r="AV22" i="10"/>
  <c r="AW22" i="10"/>
  <c r="AX22" i="10"/>
  <c r="AY22" i="10"/>
  <c r="AZ22" i="10"/>
  <c r="BA22" i="10"/>
  <c r="BB22" i="10"/>
  <c r="AU23" i="10"/>
  <c r="AV23" i="10"/>
  <c r="AW23" i="10"/>
  <c r="AX23" i="10"/>
  <c r="AY23" i="10"/>
  <c r="AZ23" i="10"/>
  <c r="BA23" i="10"/>
  <c r="BB23" i="10"/>
  <c r="AU24" i="10"/>
  <c r="AV24" i="10"/>
  <c r="AW24" i="10"/>
  <c r="AX24" i="10"/>
  <c r="AY24" i="10"/>
  <c r="AZ24" i="10"/>
  <c r="BA24" i="10"/>
  <c r="BB24" i="10"/>
  <c r="AU25" i="10"/>
  <c r="AV25" i="10"/>
  <c r="AW25" i="10"/>
  <c r="AX25" i="10"/>
  <c r="AY25" i="10"/>
  <c r="AZ25" i="10"/>
  <c r="BA25" i="10"/>
  <c r="BB25" i="10"/>
  <c r="AU26" i="10"/>
  <c r="AV26" i="10"/>
  <c r="AW26" i="10"/>
  <c r="AX26" i="10"/>
  <c r="AY26" i="10"/>
  <c r="AZ26" i="10"/>
  <c r="BA26" i="10"/>
  <c r="BB26" i="10"/>
  <c r="AU27" i="10"/>
  <c r="AV27" i="10"/>
  <c r="AW27" i="10"/>
  <c r="AX27" i="10"/>
  <c r="AY27" i="10"/>
  <c r="AZ27" i="10"/>
  <c r="BA27" i="10"/>
  <c r="BB27" i="10"/>
  <c r="AU28" i="10"/>
  <c r="AV28" i="10"/>
  <c r="AW28" i="10"/>
  <c r="AX28" i="10"/>
  <c r="AY28" i="10"/>
  <c r="AZ28" i="10"/>
  <c r="BA28" i="10"/>
  <c r="BB28" i="10"/>
  <c r="AU29" i="10"/>
  <c r="AV29" i="10"/>
  <c r="AW29" i="10"/>
  <c r="AX29" i="10"/>
  <c r="AY29" i="10"/>
  <c r="AZ29" i="10"/>
  <c r="BA29" i="10"/>
  <c r="BB29" i="10"/>
  <c r="AU30" i="10"/>
  <c r="AV30" i="10"/>
  <c r="AW30" i="10"/>
  <c r="AX30" i="10"/>
  <c r="AY30" i="10"/>
  <c r="AZ30" i="10"/>
  <c r="BA30" i="10"/>
  <c r="BB30" i="10"/>
  <c r="AU31" i="10"/>
  <c r="AV31" i="10"/>
  <c r="AW31" i="10"/>
  <c r="AX31" i="10"/>
  <c r="AY31" i="10"/>
  <c r="AZ31" i="10"/>
  <c r="BA31" i="10"/>
  <c r="BB31" i="10"/>
  <c r="AU32" i="10"/>
  <c r="AV32" i="10"/>
  <c r="AW32" i="10"/>
  <c r="AX32" i="10"/>
  <c r="AY32" i="10"/>
  <c r="AZ32" i="10"/>
  <c r="BA32" i="10"/>
  <c r="BB32" i="10"/>
  <c r="AU33" i="10"/>
  <c r="AV33" i="10"/>
  <c r="AW33" i="10"/>
  <c r="AX33" i="10"/>
  <c r="AY33" i="10"/>
  <c r="AZ33" i="10"/>
  <c r="BA33" i="10"/>
  <c r="BB33" i="10"/>
  <c r="AU34" i="10"/>
  <c r="AV34" i="10"/>
  <c r="AW34" i="10"/>
  <c r="AX34" i="10"/>
  <c r="AY34" i="10"/>
  <c r="AZ34" i="10"/>
  <c r="BA34" i="10"/>
  <c r="BB34" i="10"/>
  <c r="AU35" i="10"/>
  <c r="AV35" i="10"/>
  <c r="AW35" i="10"/>
  <c r="AX35" i="10"/>
  <c r="AY35" i="10"/>
  <c r="AZ35" i="10"/>
  <c r="BA35" i="10"/>
  <c r="BB35" i="10"/>
  <c r="AU36" i="10"/>
  <c r="AV36" i="10"/>
  <c r="AW36" i="10"/>
  <c r="AX36" i="10"/>
  <c r="AY36" i="10"/>
  <c r="AZ36" i="10"/>
  <c r="BA36" i="10"/>
  <c r="BB36" i="10"/>
  <c r="AU37" i="10"/>
  <c r="AV37" i="10"/>
  <c r="AW37" i="10"/>
  <c r="AX37" i="10"/>
  <c r="AY37" i="10"/>
  <c r="AZ37" i="10"/>
  <c r="BA37" i="10"/>
  <c r="BB37" i="10"/>
  <c r="AU38" i="10"/>
  <c r="AV38" i="10"/>
  <c r="AW38" i="10"/>
  <c r="AX38" i="10"/>
  <c r="AY38" i="10"/>
  <c r="AZ38" i="10"/>
  <c r="BA38" i="10"/>
  <c r="BB38" i="10"/>
  <c r="AU39" i="10"/>
  <c r="AV39" i="10"/>
  <c r="AW39" i="10"/>
  <c r="AX39" i="10"/>
  <c r="AY39" i="10"/>
  <c r="AZ39" i="10"/>
  <c r="BA39" i="10"/>
  <c r="BB39" i="10"/>
  <c r="AU40" i="10"/>
  <c r="AV40" i="10"/>
  <c r="AW40" i="10"/>
  <c r="AX40" i="10"/>
  <c r="AY40" i="10"/>
  <c r="AZ40" i="10"/>
  <c r="BA40" i="10"/>
  <c r="BB40" i="10"/>
  <c r="AU41" i="10"/>
  <c r="AV41" i="10"/>
  <c r="AW41" i="10"/>
  <c r="AX41" i="10"/>
  <c r="AY41" i="10"/>
  <c r="AZ41" i="10"/>
  <c r="BA41" i="10"/>
  <c r="BB41" i="10"/>
  <c r="AU42" i="10"/>
  <c r="AV42" i="10"/>
  <c r="AW42" i="10"/>
  <c r="AX42" i="10"/>
  <c r="AY42" i="10"/>
  <c r="AZ42" i="10"/>
  <c r="BA42" i="10"/>
  <c r="BB42" i="10"/>
  <c r="AU43" i="10"/>
  <c r="AV43" i="10"/>
  <c r="AW43" i="10"/>
  <c r="AX43" i="10"/>
  <c r="AY43" i="10"/>
  <c r="AZ43" i="10"/>
  <c r="BA43" i="10"/>
  <c r="BB43" i="10"/>
  <c r="AU44" i="10"/>
  <c r="AV44" i="10"/>
  <c r="AW44" i="10"/>
  <c r="AX44" i="10"/>
  <c r="AY44" i="10"/>
  <c r="AZ44" i="10"/>
  <c r="BA44" i="10"/>
  <c r="BB44" i="10"/>
  <c r="AU45" i="10"/>
  <c r="AV45" i="10"/>
  <c r="AW45" i="10"/>
  <c r="AX45" i="10"/>
  <c r="AY45" i="10"/>
  <c r="AZ45" i="10"/>
  <c r="BA45" i="10"/>
  <c r="BB45" i="10"/>
  <c r="AU46" i="10"/>
  <c r="AV46" i="10"/>
  <c r="AW46" i="10"/>
  <c r="AX46" i="10"/>
  <c r="AY46" i="10"/>
  <c r="AZ46" i="10"/>
  <c r="BA46" i="10"/>
  <c r="BB46" i="10"/>
  <c r="AU47" i="10"/>
  <c r="AV47" i="10"/>
  <c r="AW47" i="10"/>
  <c r="AX47" i="10"/>
  <c r="AY47" i="10"/>
  <c r="AZ47" i="10"/>
  <c r="BA47" i="10"/>
  <c r="BB47" i="10"/>
  <c r="AU48" i="10"/>
  <c r="AV48" i="10"/>
  <c r="AW48" i="10"/>
  <c r="AX48" i="10"/>
  <c r="AY48" i="10"/>
  <c r="AZ48" i="10"/>
  <c r="BA48" i="10"/>
  <c r="BB48" i="10"/>
  <c r="AU49" i="10"/>
  <c r="AV49" i="10"/>
  <c r="AW49" i="10"/>
  <c r="AX49" i="10"/>
  <c r="AY49" i="10"/>
  <c r="AZ49" i="10"/>
  <c r="BA49" i="10"/>
  <c r="BB49" i="10"/>
  <c r="AU50" i="10"/>
  <c r="AV50" i="10"/>
  <c r="AW50" i="10"/>
  <c r="AX50" i="10"/>
  <c r="AY50" i="10"/>
  <c r="AZ50" i="10"/>
  <c r="BA50" i="10"/>
  <c r="BB50" i="10"/>
  <c r="AU51" i="10"/>
  <c r="AV51" i="10"/>
  <c r="AW51" i="10"/>
  <c r="AX51" i="10"/>
  <c r="AY51" i="10"/>
  <c r="AZ51" i="10"/>
  <c r="BA51" i="10"/>
  <c r="BB51" i="10"/>
  <c r="AU52" i="10"/>
  <c r="AV52" i="10"/>
  <c r="AW52" i="10"/>
  <c r="AX52" i="10"/>
  <c r="AY52" i="10"/>
  <c r="AZ52" i="10"/>
  <c r="BA52" i="10"/>
  <c r="BB52" i="10"/>
  <c r="AU53" i="10"/>
  <c r="AV53" i="10"/>
  <c r="AW53" i="10"/>
  <c r="AX53" i="10"/>
  <c r="AY53" i="10"/>
  <c r="AZ53" i="10"/>
  <c r="BA53" i="10"/>
  <c r="BB53" i="10"/>
  <c r="AU54" i="10"/>
  <c r="AV54" i="10"/>
  <c r="AW54" i="10"/>
  <c r="AX54" i="10"/>
  <c r="AY54" i="10"/>
  <c r="AZ54" i="10"/>
  <c r="BA54" i="10"/>
  <c r="BB54" i="10"/>
  <c r="AU55" i="10"/>
  <c r="AV55" i="10"/>
  <c r="AW55" i="10"/>
  <c r="AX55" i="10"/>
  <c r="AY55" i="10"/>
  <c r="AZ55" i="10"/>
  <c r="BA55" i="10"/>
  <c r="BB55" i="10"/>
  <c r="AU56" i="10"/>
  <c r="AV56" i="10"/>
  <c r="AW56" i="10"/>
  <c r="AX56" i="10"/>
  <c r="AY56" i="10"/>
  <c r="AZ56" i="10"/>
  <c r="BA56" i="10"/>
  <c r="BB56" i="10"/>
  <c r="AU57" i="10"/>
  <c r="AV57" i="10"/>
  <c r="AW57" i="10"/>
  <c r="AX57" i="10"/>
  <c r="AY57" i="10"/>
  <c r="AZ57" i="10"/>
  <c r="BA57" i="10"/>
  <c r="BB57" i="10"/>
  <c r="AU58" i="10"/>
  <c r="AV58" i="10"/>
  <c r="AW58" i="10"/>
  <c r="AX58" i="10"/>
  <c r="AY58" i="10"/>
  <c r="AZ58" i="10"/>
  <c r="BA58" i="10"/>
  <c r="BB58" i="10"/>
  <c r="AU59" i="10"/>
  <c r="AV59" i="10"/>
  <c r="AW59" i="10"/>
  <c r="AX59" i="10"/>
  <c r="AY59" i="10"/>
  <c r="AZ59" i="10"/>
  <c r="BA59" i="10"/>
  <c r="BB59" i="10"/>
  <c r="AU60" i="10"/>
  <c r="AV60" i="10"/>
  <c r="AW60" i="10"/>
  <c r="AX60" i="10"/>
  <c r="AY60" i="10"/>
  <c r="AZ60" i="10"/>
  <c r="BA60" i="10"/>
  <c r="BB60" i="10"/>
  <c r="AU61" i="10"/>
  <c r="AV61" i="10"/>
  <c r="AW61" i="10"/>
  <c r="AX61" i="10"/>
  <c r="AY61" i="10"/>
  <c r="AZ61" i="10"/>
  <c r="BA61" i="10"/>
  <c r="BB61" i="10"/>
  <c r="AU62" i="10"/>
  <c r="AV62" i="10"/>
  <c r="AW62" i="10"/>
  <c r="AX62" i="10"/>
  <c r="AY62" i="10"/>
  <c r="AZ62" i="10"/>
  <c r="BA62" i="10"/>
  <c r="BB62" i="10"/>
  <c r="AU63" i="10"/>
  <c r="AV63" i="10"/>
  <c r="AW63" i="10"/>
  <c r="AX63" i="10"/>
  <c r="AY63" i="10"/>
  <c r="AZ63" i="10"/>
  <c r="BA63" i="10"/>
  <c r="BB63" i="10"/>
  <c r="AU64" i="10"/>
  <c r="AV64" i="10"/>
  <c r="AW64" i="10"/>
  <c r="AX64" i="10"/>
  <c r="AY64" i="10"/>
  <c r="AZ64" i="10"/>
  <c r="BA64" i="10"/>
  <c r="BB64" i="10"/>
  <c r="AU65" i="10"/>
  <c r="AV65" i="10"/>
  <c r="AW65" i="10"/>
  <c r="AX65" i="10"/>
  <c r="AY65" i="10"/>
  <c r="AZ65" i="10"/>
  <c r="BA65" i="10"/>
  <c r="BB65" i="10"/>
  <c r="AU66" i="10"/>
  <c r="AV66" i="10"/>
  <c r="AW66" i="10"/>
  <c r="AX66" i="10"/>
  <c r="AY66" i="10"/>
  <c r="AZ66" i="10"/>
  <c r="BA66" i="10"/>
  <c r="BB66" i="10"/>
  <c r="AU67" i="10"/>
  <c r="AV67" i="10"/>
  <c r="AW67" i="10"/>
  <c r="AX67" i="10"/>
  <c r="AY67" i="10"/>
  <c r="AZ67" i="10"/>
  <c r="BA67" i="10"/>
  <c r="BB67" i="10"/>
  <c r="AU68" i="10"/>
  <c r="AV68" i="10"/>
  <c r="AW68" i="10"/>
  <c r="AX68" i="10"/>
  <c r="AY68" i="10"/>
  <c r="AZ68" i="10"/>
  <c r="BA68" i="10"/>
  <c r="BB68" i="10"/>
  <c r="AU69" i="10"/>
  <c r="AV69" i="10"/>
  <c r="AW69" i="10"/>
  <c r="AX69" i="10"/>
  <c r="AY69" i="10"/>
  <c r="AZ69" i="10"/>
  <c r="BA69" i="10"/>
  <c r="BB69" i="10"/>
  <c r="AU70" i="10"/>
  <c r="AV70" i="10"/>
  <c r="AW70" i="10"/>
  <c r="AX70" i="10"/>
  <c r="AY70" i="10"/>
  <c r="AZ70" i="10"/>
  <c r="BA70" i="10"/>
  <c r="BB70" i="10"/>
  <c r="AU71" i="10"/>
  <c r="AV71" i="10"/>
  <c r="AW71" i="10"/>
  <c r="AX71" i="10"/>
  <c r="AY71" i="10"/>
  <c r="AZ71" i="10"/>
  <c r="BA71" i="10"/>
  <c r="BB71" i="10"/>
  <c r="AU72" i="10"/>
  <c r="AV72" i="10"/>
  <c r="AW72" i="10"/>
  <c r="AX72" i="10"/>
  <c r="AY72" i="10"/>
  <c r="AZ72" i="10"/>
  <c r="BA72" i="10"/>
  <c r="BB72" i="10"/>
  <c r="AU73" i="10"/>
  <c r="AV73" i="10"/>
  <c r="AW73" i="10"/>
  <c r="AX73" i="10"/>
  <c r="AY73" i="10"/>
  <c r="AZ73" i="10"/>
  <c r="BA73" i="10"/>
  <c r="BB73" i="10"/>
  <c r="AU74" i="10"/>
  <c r="AV74" i="10"/>
  <c r="AW74" i="10"/>
  <c r="AX74" i="10"/>
  <c r="AY74" i="10"/>
  <c r="AZ74" i="10"/>
  <c r="BA74" i="10"/>
  <c r="BB74" i="10"/>
  <c r="AU75" i="10"/>
  <c r="AV75" i="10"/>
  <c r="AW75" i="10"/>
  <c r="AX75" i="10"/>
  <c r="AY75" i="10"/>
  <c r="AZ75" i="10"/>
  <c r="BA75" i="10"/>
  <c r="BB75" i="10"/>
  <c r="AU76" i="10"/>
  <c r="AV76" i="10"/>
  <c r="AW76" i="10"/>
  <c r="AX76" i="10"/>
  <c r="AY76" i="10"/>
  <c r="AZ76" i="10"/>
  <c r="BA76" i="10"/>
  <c r="BB76" i="10"/>
  <c r="AU77" i="10"/>
  <c r="AV77" i="10"/>
  <c r="AW77" i="10"/>
  <c r="AX77" i="10"/>
  <c r="AY77" i="10"/>
  <c r="AZ77" i="10"/>
  <c r="BA77" i="10"/>
  <c r="BB77" i="10"/>
  <c r="AU78" i="10"/>
  <c r="AV78" i="10"/>
  <c r="AW78" i="10"/>
  <c r="AX78" i="10"/>
  <c r="AY78" i="10"/>
  <c r="AZ78" i="10"/>
  <c r="BA78" i="10"/>
  <c r="BB78" i="10"/>
  <c r="AU79" i="10"/>
  <c r="AV79" i="10"/>
  <c r="AW79" i="10"/>
  <c r="AX79" i="10"/>
  <c r="AY79" i="10"/>
  <c r="AZ79" i="10"/>
  <c r="BA79" i="10"/>
  <c r="BB79" i="10"/>
  <c r="AU80" i="10"/>
  <c r="AV80" i="10"/>
  <c r="AW80" i="10"/>
  <c r="AX80" i="10"/>
  <c r="AY80" i="10"/>
  <c r="AZ80" i="10"/>
  <c r="BA80" i="10"/>
  <c r="BB80" i="10"/>
  <c r="AU81" i="10"/>
  <c r="AV81" i="10"/>
  <c r="AW81" i="10"/>
  <c r="AX81" i="10"/>
  <c r="AY81" i="10"/>
  <c r="AZ81" i="10"/>
  <c r="BA81" i="10"/>
  <c r="BB81" i="10"/>
  <c r="AU82" i="10"/>
  <c r="AV82" i="10"/>
  <c r="AW82" i="10"/>
  <c r="AX82" i="10"/>
  <c r="AY82" i="10"/>
  <c r="AZ82" i="10"/>
  <c r="BA82" i="10"/>
  <c r="BB82" i="10"/>
  <c r="AU83" i="10"/>
  <c r="AV83" i="10"/>
  <c r="AW83" i="10"/>
  <c r="AX83" i="10"/>
  <c r="AY83" i="10"/>
  <c r="AZ83" i="10"/>
  <c r="BA83" i="10"/>
  <c r="BB83" i="10"/>
  <c r="AU84" i="10"/>
  <c r="AV84" i="10"/>
  <c r="AW84" i="10"/>
  <c r="AX84" i="10"/>
  <c r="AY84" i="10"/>
  <c r="AZ84" i="10"/>
  <c r="BA84" i="10"/>
  <c r="BB84" i="10"/>
  <c r="AU85" i="10"/>
  <c r="AV85" i="10"/>
  <c r="AW85" i="10"/>
  <c r="AX85" i="10"/>
  <c r="AY85" i="10"/>
  <c r="AZ85" i="10"/>
  <c r="BA85" i="10"/>
  <c r="BB85" i="10"/>
  <c r="AU86" i="10"/>
  <c r="AV86" i="10"/>
  <c r="AW86" i="10"/>
  <c r="AX86" i="10"/>
  <c r="AY86" i="10"/>
  <c r="AZ86" i="10"/>
  <c r="BA86" i="10"/>
  <c r="BB86" i="10"/>
  <c r="AU87" i="10"/>
  <c r="AV87" i="10"/>
  <c r="AW87" i="10"/>
  <c r="AX87" i="10"/>
  <c r="AY87" i="10"/>
  <c r="AZ87" i="10"/>
  <c r="BA87" i="10"/>
  <c r="BB87" i="10"/>
  <c r="AU88" i="10"/>
  <c r="AV88" i="10"/>
  <c r="AW88" i="10"/>
  <c r="AX88" i="10"/>
  <c r="AY88" i="10"/>
  <c r="AZ88" i="10"/>
  <c r="BA88" i="10"/>
  <c r="BB88" i="10"/>
  <c r="AU89" i="10"/>
  <c r="AV89" i="10"/>
  <c r="AW89" i="10"/>
  <c r="AX89" i="10"/>
  <c r="AY89" i="10"/>
  <c r="AZ89" i="10"/>
  <c r="BA89" i="10"/>
  <c r="BB89" i="10"/>
  <c r="AU90" i="10"/>
  <c r="AV90" i="10"/>
  <c r="AW90" i="10"/>
  <c r="AX90" i="10"/>
  <c r="AY90" i="10"/>
  <c r="AZ90" i="10"/>
  <c r="BA90" i="10"/>
  <c r="BB90" i="10"/>
  <c r="AU91" i="10"/>
  <c r="AV91" i="10"/>
  <c r="AW91" i="10"/>
  <c r="AX91" i="10"/>
  <c r="AY91" i="10"/>
  <c r="AZ91" i="10"/>
  <c r="BA91" i="10"/>
  <c r="BB91" i="10"/>
  <c r="AU92" i="10"/>
  <c r="AV92" i="10"/>
  <c r="AW92" i="10"/>
  <c r="AX92" i="10"/>
  <c r="AY92" i="10"/>
  <c r="AZ92" i="10"/>
  <c r="BA92" i="10"/>
  <c r="BB92" i="10"/>
  <c r="AU93" i="10"/>
  <c r="AV93" i="10"/>
  <c r="AW93" i="10"/>
  <c r="AX93" i="10"/>
  <c r="AY93" i="10"/>
  <c r="AZ93" i="10"/>
  <c r="BA93" i="10"/>
  <c r="BB93" i="10"/>
  <c r="AU94" i="10"/>
  <c r="AV94" i="10"/>
  <c r="AW94" i="10"/>
  <c r="AX94" i="10"/>
  <c r="AY94" i="10"/>
  <c r="AZ94" i="10"/>
  <c r="BA94" i="10"/>
  <c r="BB94" i="10"/>
  <c r="AU95" i="10"/>
  <c r="AV95" i="10"/>
  <c r="AW95" i="10"/>
  <c r="AX95" i="10"/>
  <c r="AY95" i="10"/>
  <c r="AZ95" i="10"/>
  <c r="BA95" i="10"/>
  <c r="BB95" i="10"/>
  <c r="AU96" i="10"/>
  <c r="AV96" i="10"/>
  <c r="AW96" i="10"/>
  <c r="AX96" i="10"/>
  <c r="AY96" i="10"/>
  <c r="AZ96" i="10"/>
  <c r="BA96" i="10"/>
  <c r="BB96" i="10"/>
  <c r="AU97" i="10"/>
  <c r="AV97" i="10"/>
  <c r="AW97" i="10"/>
  <c r="AX97" i="10"/>
  <c r="AY97" i="10"/>
  <c r="AZ97" i="10"/>
  <c r="BA97" i="10"/>
  <c r="BB97" i="10"/>
  <c r="AU98" i="10"/>
  <c r="AV98" i="10"/>
  <c r="AW98" i="10"/>
  <c r="AX98" i="10"/>
  <c r="AY98" i="10"/>
  <c r="AZ98" i="10"/>
  <c r="BA98" i="10"/>
  <c r="BB98" i="10"/>
  <c r="AU99" i="10"/>
  <c r="AV99" i="10"/>
  <c r="AW99" i="10"/>
  <c r="AX99" i="10"/>
  <c r="AY99" i="10"/>
  <c r="AZ99" i="10"/>
  <c r="BA99" i="10"/>
  <c r="BB99" i="10"/>
  <c r="AU100" i="10"/>
  <c r="AV100" i="10"/>
  <c r="AW100" i="10"/>
  <c r="AX100" i="10"/>
  <c r="AY100" i="10"/>
  <c r="AZ100" i="10"/>
  <c r="BA100" i="10"/>
  <c r="BB100" i="10"/>
  <c r="AU101" i="10"/>
  <c r="AV101" i="10"/>
  <c r="AW101" i="10"/>
  <c r="AX101" i="10"/>
  <c r="AY101" i="10"/>
  <c r="AZ101" i="10"/>
  <c r="BA101" i="10"/>
  <c r="BB101" i="10"/>
  <c r="AU102" i="10"/>
  <c r="AV102" i="10"/>
  <c r="AW102" i="10"/>
  <c r="AX102" i="10"/>
  <c r="AY102" i="10"/>
  <c r="AZ102" i="10"/>
  <c r="BA102" i="10"/>
  <c r="BB102" i="10"/>
  <c r="AU103" i="10"/>
  <c r="AV103" i="10"/>
  <c r="AW103" i="10"/>
  <c r="AX103" i="10"/>
  <c r="AY103" i="10"/>
  <c r="AZ103" i="10"/>
  <c r="BA103" i="10"/>
  <c r="BB103" i="10"/>
  <c r="AU104" i="10"/>
  <c r="AV104" i="10"/>
  <c r="AW104" i="10"/>
  <c r="AX104" i="10"/>
  <c r="AY104" i="10"/>
  <c r="AZ104" i="10"/>
  <c r="BA104" i="10"/>
  <c r="BB104" i="10"/>
  <c r="AU105" i="10"/>
  <c r="AV105" i="10"/>
  <c r="AW105" i="10"/>
  <c r="AX105" i="10"/>
  <c r="AY105" i="10"/>
  <c r="AZ105" i="10"/>
  <c r="BA105" i="10"/>
  <c r="BB105" i="10"/>
  <c r="AU106" i="10"/>
  <c r="AV106" i="10"/>
  <c r="AW106" i="10"/>
  <c r="AX106" i="10"/>
  <c r="AY106" i="10"/>
  <c r="AZ106" i="10"/>
  <c r="BA106" i="10"/>
  <c r="BB106" i="10"/>
  <c r="AU107" i="10"/>
  <c r="AV107" i="10"/>
  <c r="AW107" i="10"/>
  <c r="AX107" i="10"/>
  <c r="AY107" i="10"/>
  <c r="AZ107" i="10"/>
  <c r="BA107" i="10"/>
  <c r="BB107" i="10"/>
  <c r="AU108" i="10"/>
  <c r="AV108" i="10"/>
  <c r="AW108" i="10"/>
  <c r="AX108" i="10"/>
  <c r="AY108" i="10"/>
  <c r="AZ108" i="10"/>
  <c r="BA108" i="10"/>
  <c r="BB108" i="10"/>
  <c r="AU109" i="10"/>
  <c r="AV109" i="10"/>
  <c r="AW109" i="10"/>
  <c r="AX109" i="10"/>
  <c r="AY109" i="10"/>
  <c r="AZ109" i="10"/>
  <c r="BA109" i="10"/>
  <c r="BB109" i="10"/>
  <c r="AU110" i="10"/>
  <c r="AV110" i="10"/>
  <c r="AW110" i="10"/>
  <c r="AX110" i="10"/>
  <c r="AY110" i="10"/>
  <c r="AZ110" i="10"/>
  <c r="BA110" i="10"/>
  <c r="BB110" i="10"/>
  <c r="AU111" i="10"/>
  <c r="AV111" i="10"/>
  <c r="AW111" i="10"/>
  <c r="AX111" i="10"/>
  <c r="AY111" i="10"/>
  <c r="AZ111" i="10"/>
  <c r="BA111" i="10"/>
  <c r="BB111" i="10"/>
  <c r="AU112" i="10"/>
  <c r="AV112" i="10"/>
  <c r="AW112" i="10"/>
  <c r="AX112" i="10"/>
  <c r="AY112" i="10"/>
  <c r="AZ112" i="10"/>
  <c r="BA112" i="10"/>
  <c r="BB112" i="10"/>
  <c r="AU113" i="10"/>
  <c r="AV113" i="10"/>
  <c r="AW113" i="10"/>
  <c r="AX113" i="10"/>
  <c r="AY113" i="10"/>
  <c r="AZ113" i="10"/>
  <c r="BA113" i="10"/>
  <c r="BB113" i="10"/>
  <c r="AU114" i="10"/>
  <c r="AV114" i="10"/>
  <c r="AW114" i="10"/>
  <c r="AX114" i="10"/>
  <c r="AY114" i="10"/>
  <c r="AZ114" i="10"/>
  <c r="BA114" i="10"/>
  <c r="BB114" i="10"/>
  <c r="AU115" i="10"/>
  <c r="AV115" i="10"/>
  <c r="AW115" i="10"/>
  <c r="AX115" i="10"/>
  <c r="AY115" i="10"/>
  <c r="AZ115" i="10"/>
  <c r="BA115" i="10"/>
  <c r="BB115" i="10"/>
  <c r="AU116" i="10"/>
  <c r="AV116" i="10"/>
  <c r="AW116" i="10"/>
  <c r="AX116" i="10"/>
  <c r="AY116" i="10"/>
  <c r="AZ116" i="10"/>
  <c r="BA116" i="10"/>
  <c r="BB116" i="10"/>
  <c r="AU117" i="10"/>
  <c r="AV117" i="10"/>
  <c r="AW117" i="10"/>
  <c r="AX117" i="10"/>
  <c r="AY117" i="10"/>
  <c r="AZ117" i="10"/>
  <c r="BA117" i="10"/>
  <c r="BB117" i="10"/>
  <c r="AU118" i="10"/>
  <c r="AV118" i="10"/>
  <c r="AW118" i="10"/>
  <c r="AX118" i="10"/>
  <c r="AY118" i="10"/>
  <c r="AZ118" i="10"/>
  <c r="BA118" i="10"/>
  <c r="BB118" i="10"/>
  <c r="AU119" i="10"/>
  <c r="AV119" i="10"/>
  <c r="AW119" i="10"/>
  <c r="AX119" i="10"/>
  <c r="AY119" i="10"/>
  <c r="AZ119" i="10"/>
  <c r="BA119" i="10"/>
  <c r="BB119" i="10"/>
  <c r="AU120" i="10"/>
  <c r="AV120" i="10"/>
  <c r="AW120" i="10"/>
  <c r="AX120" i="10"/>
  <c r="AY120" i="10"/>
  <c r="AZ120" i="10"/>
  <c r="BA120" i="10"/>
  <c r="BB120" i="10"/>
  <c r="AU121" i="10"/>
  <c r="AV121" i="10"/>
  <c r="AW121" i="10"/>
  <c r="AX121" i="10"/>
  <c r="AY121" i="10"/>
  <c r="AZ121" i="10"/>
  <c r="BA121" i="10"/>
  <c r="BB121" i="10"/>
  <c r="AU122" i="10"/>
  <c r="AV122" i="10"/>
  <c r="AW122" i="10"/>
  <c r="AX122" i="10"/>
  <c r="AY122" i="10"/>
  <c r="AZ122" i="10"/>
  <c r="BA122" i="10"/>
  <c r="BB122" i="10"/>
  <c r="AU123" i="10"/>
  <c r="AV123" i="10"/>
  <c r="AW123" i="10"/>
  <c r="AX123" i="10"/>
  <c r="AY123" i="10"/>
  <c r="AZ123" i="10"/>
  <c r="BA123" i="10"/>
  <c r="BB123" i="10"/>
  <c r="AU124" i="10"/>
  <c r="AV124" i="10"/>
  <c r="AW124" i="10"/>
  <c r="AX124" i="10"/>
  <c r="AY124" i="10"/>
  <c r="AZ124" i="10"/>
  <c r="BA124" i="10"/>
  <c r="BB124" i="10"/>
  <c r="AU125" i="10"/>
  <c r="AV125" i="10"/>
  <c r="AW125" i="10"/>
  <c r="AX125" i="10"/>
  <c r="AY125" i="10"/>
  <c r="AZ125" i="10"/>
  <c r="BA125" i="10"/>
  <c r="BB125" i="10"/>
  <c r="AU126" i="10"/>
  <c r="AV126" i="10"/>
  <c r="AW126" i="10"/>
  <c r="AX126" i="10"/>
  <c r="AY126" i="10"/>
  <c r="AZ126" i="10"/>
  <c r="BA126" i="10"/>
  <c r="BB126" i="10"/>
  <c r="AU127" i="10"/>
  <c r="AV127" i="10"/>
  <c r="AW127" i="10"/>
  <c r="AX127" i="10"/>
  <c r="AY127" i="10"/>
  <c r="AZ127" i="10"/>
  <c r="BA127" i="10"/>
  <c r="BB127" i="10"/>
  <c r="AU128" i="10"/>
  <c r="AV128" i="10"/>
  <c r="AW128" i="10"/>
  <c r="AX128" i="10"/>
  <c r="AY128" i="10"/>
  <c r="AZ128" i="10"/>
  <c r="BA128" i="10"/>
  <c r="BB128" i="10"/>
  <c r="AU129" i="10"/>
  <c r="AV129" i="10"/>
  <c r="AW129" i="10"/>
  <c r="AX129" i="10"/>
  <c r="AY129" i="10"/>
  <c r="AZ129" i="10"/>
  <c r="BA129" i="10"/>
  <c r="BB129" i="10"/>
  <c r="AU130" i="10"/>
  <c r="AV130" i="10"/>
  <c r="AW130" i="10"/>
  <c r="AX130" i="10"/>
  <c r="AY130" i="10"/>
  <c r="AZ130" i="10"/>
  <c r="BA130" i="10"/>
  <c r="BB130" i="10"/>
  <c r="AU131" i="10"/>
  <c r="AV131" i="10"/>
  <c r="AW131" i="10"/>
  <c r="AX131" i="10"/>
  <c r="AY131" i="10"/>
  <c r="AZ131" i="10"/>
  <c r="BA131" i="10"/>
  <c r="BB131" i="10"/>
  <c r="AU132" i="10"/>
  <c r="AV132" i="10"/>
  <c r="AW132" i="10"/>
  <c r="AX132" i="10"/>
  <c r="AY132" i="10"/>
  <c r="AZ132" i="10"/>
  <c r="BA132" i="10"/>
  <c r="BB132" i="10"/>
  <c r="AU133" i="10"/>
  <c r="AV133" i="10"/>
  <c r="AW133" i="10"/>
  <c r="AX133" i="10"/>
  <c r="AY133" i="10"/>
  <c r="AZ133" i="10"/>
  <c r="BA133" i="10"/>
  <c r="BB133" i="10"/>
  <c r="AU134" i="10"/>
  <c r="AV134" i="10"/>
  <c r="AW134" i="10"/>
  <c r="AX134" i="10"/>
  <c r="AY134" i="10"/>
  <c r="AZ134" i="10"/>
  <c r="BA134" i="10"/>
  <c r="BB134" i="10"/>
  <c r="AU135" i="10"/>
  <c r="AV135" i="10"/>
  <c r="AW135" i="10"/>
  <c r="AX135" i="10"/>
  <c r="AY135" i="10"/>
  <c r="AZ135" i="10"/>
  <c r="BA135" i="10"/>
  <c r="BB135" i="10"/>
  <c r="AU136" i="10"/>
  <c r="AV136" i="10"/>
  <c r="AW136" i="10"/>
  <c r="AX136" i="10"/>
  <c r="AY136" i="10"/>
  <c r="AZ136" i="10"/>
  <c r="BA136" i="10"/>
  <c r="BB136" i="10"/>
  <c r="AU137" i="10"/>
  <c r="AV137" i="10"/>
  <c r="AW137" i="10"/>
  <c r="AX137" i="10"/>
  <c r="AY137" i="10"/>
  <c r="AZ137" i="10"/>
  <c r="BA137" i="10"/>
  <c r="BB137" i="10"/>
  <c r="AU138" i="10"/>
  <c r="AV138" i="10"/>
  <c r="AW138" i="10"/>
  <c r="AX138" i="10"/>
  <c r="AY138" i="10"/>
  <c r="AZ138" i="10"/>
  <c r="BA138" i="10"/>
  <c r="BB138" i="10"/>
  <c r="AU139" i="10"/>
  <c r="AV139" i="10"/>
  <c r="AW139" i="10"/>
  <c r="AX139" i="10"/>
  <c r="AY139" i="10"/>
  <c r="AZ139" i="10"/>
  <c r="BA139" i="10"/>
  <c r="BB139" i="10"/>
  <c r="AU140" i="10"/>
  <c r="AV140" i="10"/>
  <c r="AW140" i="10"/>
  <c r="AX140" i="10"/>
  <c r="AY140" i="10"/>
  <c r="AZ140" i="10"/>
  <c r="BA140" i="10"/>
  <c r="BB140" i="10"/>
  <c r="AU141" i="10"/>
  <c r="AV141" i="10"/>
  <c r="AW141" i="10"/>
  <c r="AX141" i="10"/>
  <c r="AY141" i="10"/>
  <c r="AZ141" i="10"/>
  <c r="BA141" i="10"/>
  <c r="BB141" i="10"/>
  <c r="AU142" i="10"/>
  <c r="AV142" i="10"/>
  <c r="AW142" i="10"/>
  <c r="AX142" i="10"/>
  <c r="AY142" i="10"/>
  <c r="AZ142" i="10"/>
  <c r="BA142" i="10"/>
  <c r="BB142" i="10"/>
  <c r="AU143" i="10"/>
  <c r="AV143" i="10"/>
  <c r="AW143" i="10"/>
  <c r="AX143" i="10"/>
  <c r="AY143" i="10"/>
  <c r="AZ143" i="10"/>
  <c r="BA143" i="10"/>
  <c r="BB143" i="10"/>
  <c r="AU144" i="10"/>
  <c r="AV144" i="10"/>
  <c r="AW144" i="10"/>
  <c r="AX144" i="10"/>
  <c r="AY144" i="10"/>
  <c r="AZ144" i="10"/>
  <c r="BA144" i="10"/>
  <c r="BB144" i="10"/>
  <c r="AU145" i="10"/>
  <c r="AV145" i="10"/>
  <c r="AW145" i="10"/>
  <c r="AX145" i="10"/>
  <c r="AY145" i="10"/>
  <c r="AZ145" i="10"/>
  <c r="BA145" i="10"/>
  <c r="BB145" i="10"/>
  <c r="AU146" i="10"/>
  <c r="AV146" i="10"/>
  <c r="AW146" i="10"/>
  <c r="AX146" i="10"/>
  <c r="AY146" i="10"/>
  <c r="AZ146" i="10"/>
  <c r="BA146" i="10"/>
  <c r="BB146" i="10"/>
  <c r="AU147" i="10"/>
  <c r="AV147" i="10"/>
  <c r="AW147" i="10"/>
  <c r="AX147" i="10"/>
  <c r="AY147" i="10"/>
  <c r="AZ147" i="10"/>
  <c r="BA147" i="10"/>
  <c r="BB147" i="10"/>
  <c r="AU148" i="10"/>
  <c r="AV148" i="10"/>
  <c r="AW148" i="10"/>
  <c r="AX148" i="10"/>
  <c r="AY148" i="10"/>
  <c r="AZ148" i="10"/>
  <c r="BA148" i="10"/>
  <c r="BB148" i="10"/>
  <c r="AU149" i="10"/>
  <c r="AV149" i="10"/>
  <c r="AW149" i="10"/>
  <c r="AX149" i="10"/>
  <c r="AY149" i="10"/>
  <c r="AZ149" i="10"/>
  <c r="BA149" i="10"/>
  <c r="BB149" i="10"/>
  <c r="AU150" i="10"/>
  <c r="AV150" i="10"/>
  <c r="AW150" i="10"/>
  <c r="AX150" i="10"/>
  <c r="AY150" i="10"/>
  <c r="AZ150" i="10"/>
  <c r="BA150" i="10"/>
  <c r="BB150" i="10"/>
  <c r="AU151" i="10"/>
  <c r="AV151" i="10"/>
  <c r="AW151" i="10"/>
  <c r="AX151" i="10"/>
  <c r="AY151" i="10"/>
  <c r="AZ151" i="10"/>
  <c r="BA151" i="10"/>
  <c r="BB151" i="10"/>
  <c r="AU152" i="10"/>
  <c r="AV152" i="10"/>
  <c r="AW152" i="10"/>
  <c r="AX152" i="10"/>
  <c r="AY152" i="10"/>
  <c r="AZ152" i="10"/>
  <c r="BA152" i="10"/>
  <c r="BB152" i="10"/>
  <c r="AU153" i="10"/>
  <c r="AV153" i="10"/>
  <c r="AW153" i="10"/>
  <c r="AX153" i="10"/>
  <c r="AY153" i="10"/>
  <c r="AZ153" i="10"/>
  <c r="BA153" i="10"/>
  <c r="BB153" i="10"/>
  <c r="AU154" i="10"/>
  <c r="AV154" i="10"/>
  <c r="AW154" i="10"/>
  <c r="AX154" i="10"/>
  <c r="AY154" i="10"/>
  <c r="AZ154" i="10"/>
  <c r="BA154" i="10"/>
  <c r="BB154" i="10"/>
  <c r="AU155" i="10"/>
  <c r="AV155" i="10"/>
  <c r="AW155" i="10"/>
  <c r="AX155" i="10"/>
  <c r="AY155" i="10"/>
  <c r="AZ155" i="10"/>
  <c r="BA155" i="10"/>
  <c r="BB155" i="10"/>
  <c r="AU156" i="10"/>
  <c r="AV156" i="10"/>
  <c r="AW156" i="10"/>
  <c r="AX156" i="10"/>
  <c r="AY156" i="10"/>
  <c r="AZ156" i="10"/>
  <c r="BA156" i="10"/>
  <c r="BB156" i="10"/>
  <c r="AU157" i="10"/>
  <c r="AV157" i="10"/>
  <c r="AW157" i="10"/>
  <c r="AX157" i="10"/>
  <c r="AY157" i="10"/>
  <c r="AZ157" i="10"/>
  <c r="BA157" i="10"/>
  <c r="BB157" i="10"/>
  <c r="AU158" i="10"/>
  <c r="AV158" i="10"/>
  <c r="AW158" i="10"/>
  <c r="AX158" i="10"/>
  <c r="AY158" i="10"/>
  <c r="AZ158" i="10"/>
  <c r="BA158" i="10"/>
  <c r="BB158" i="10"/>
  <c r="AU159" i="10"/>
  <c r="AV159" i="10"/>
  <c r="AW159" i="10"/>
  <c r="AX159" i="10"/>
  <c r="AY159" i="10"/>
  <c r="AZ159" i="10"/>
  <c r="BA159" i="10"/>
  <c r="BB159" i="10"/>
  <c r="AU160" i="10"/>
  <c r="AV160" i="10"/>
  <c r="AW160" i="10"/>
  <c r="AX160" i="10"/>
  <c r="AY160" i="10"/>
  <c r="AZ160" i="10"/>
  <c r="BA160" i="10"/>
  <c r="BB160" i="10"/>
  <c r="AU161" i="10"/>
  <c r="AV161" i="10"/>
  <c r="AW161" i="10"/>
  <c r="AX161" i="10"/>
  <c r="AY161" i="10"/>
  <c r="AZ161" i="10"/>
  <c r="BA161" i="10"/>
  <c r="BB161" i="10"/>
  <c r="AU162" i="10"/>
  <c r="AV162" i="10"/>
  <c r="AW162" i="10"/>
  <c r="AX162" i="10"/>
  <c r="AY162" i="10"/>
  <c r="AZ162" i="10"/>
  <c r="BA162" i="10"/>
  <c r="BB162" i="10"/>
  <c r="AU163" i="10"/>
  <c r="AV163" i="10"/>
  <c r="AW163" i="10"/>
  <c r="AX163" i="10"/>
  <c r="AY163" i="10"/>
  <c r="AZ163" i="10"/>
  <c r="BA163" i="10"/>
  <c r="BB163" i="10"/>
  <c r="AU164" i="10"/>
  <c r="AV164" i="10"/>
  <c r="AW164" i="10"/>
  <c r="AX164" i="10"/>
  <c r="AY164" i="10"/>
  <c r="AZ164" i="10"/>
  <c r="BA164" i="10"/>
  <c r="BB164" i="10"/>
  <c r="AU165" i="10"/>
  <c r="AV165" i="10"/>
  <c r="AW165" i="10"/>
  <c r="AX165" i="10"/>
  <c r="AY165" i="10"/>
  <c r="AZ165" i="10"/>
  <c r="BA165" i="10"/>
  <c r="BB165" i="10"/>
  <c r="AU166" i="10"/>
  <c r="AV166" i="10"/>
  <c r="AW166" i="10"/>
  <c r="AX166" i="10"/>
  <c r="AY166" i="10"/>
  <c r="AZ166" i="10"/>
  <c r="BA166" i="10"/>
  <c r="BB166" i="10"/>
  <c r="AU167" i="10"/>
  <c r="AV167" i="10"/>
  <c r="AW167" i="10"/>
  <c r="AX167" i="10"/>
  <c r="AY167" i="10"/>
  <c r="AZ167" i="10"/>
  <c r="BA167" i="10"/>
  <c r="BB167" i="10"/>
  <c r="AU168" i="10"/>
  <c r="AV168" i="10"/>
  <c r="AW168" i="10"/>
  <c r="AX168" i="10"/>
  <c r="AY168" i="10"/>
  <c r="AZ168" i="10"/>
  <c r="BA168" i="10"/>
  <c r="BB168" i="10"/>
  <c r="AU169" i="10"/>
  <c r="AV169" i="10"/>
  <c r="AW169" i="10"/>
  <c r="AX169" i="10"/>
  <c r="AY169" i="10"/>
  <c r="AZ169" i="10"/>
  <c r="BA169" i="10"/>
  <c r="BB169" i="10"/>
  <c r="AU170" i="10"/>
  <c r="AV170" i="10"/>
  <c r="AW170" i="10"/>
  <c r="AX170" i="10"/>
  <c r="AY170" i="10"/>
  <c r="AZ170" i="10"/>
  <c r="BA170" i="10"/>
  <c r="BB170" i="10"/>
  <c r="AU171" i="10"/>
  <c r="AV171" i="10"/>
  <c r="AW171" i="10"/>
  <c r="AX171" i="10"/>
  <c r="AY171" i="10"/>
  <c r="AZ171" i="10"/>
  <c r="BA171" i="10"/>
  <c r="BB171" i="10"/>
  <c r="AU172" i="10"/>
  <c r="AV172" i="10"/>
  <c r="AW172" i="10"/>
  <c r="AX172" i="10"/>
  <c r="AY172" i="10"/>
  <c r="AZ172" i="10"/>
  <c r="BA172" i="10"/>
  <c r="BB172" i="10"/>
  <c r="AU173" i="10"/>
  <c r="AV173" i="10"/>
  <c r="AW173" i="10"/>
  <c r="AX173" i="10"/>
  <c r="AY173" i="10"/>
  <c r="AZ173" i="10"/>
  <c r="BA173" i="10"/>
  <c r="BB173" i="10"/>
  <c r="AU174" i="10"/>
  <c r="AV174" i="10"/>
  <c r="AW174" i="10"/>
  <c r="AX174" i="10"/>
  <c r="AY174" i="10"/>
  <c r="AZ174" i="10"/>
  <c r="BA174" i="10"/>
  <c r="BB174" i="10"/>
  <c r="AU175" i="10"/>
  <c r="AV175" i="10"/>
  <c r="AW175" i="10"/>
  <c r="AX175" i="10"/>
  <c r="AY175" i="10"/>
  <c r="AZ175" i="10"/>
  <c r="BA175" i="10"/>
  <c r="BB175" i="10"/>
  <c r="AU176" i="10"/>
  <c r="AV176" i="10"/>
  <c r="AW176" i="10"/>
  <c r="AX176" i="10"/>
  <c r="AY176" i="10"/>
  <c r="AZ176" i="10"/>
  <c r="BA176" i="10"/>
  <c r="BB176" i="10"/>
  <c r="AU177" i="10"/>
  <c r="AV177" i="10"/>
  <c r="AW177" i="10"/>
  <c r="AX177" i="10"/>
  <c r="AY177" i="10"/>
  <c r="AZ177" i="10"/>
  <c r="BA177" i="10"/>
  <c r="BB177" i="10"/>
  <c r="AU178" i="10"/>
  <c r="AV178" i="10"/>
  <c r="AW178" i="10"/>
  <c r="AX178" i="10"/>
  <c r="AY178" i="10"/>
  <c r="AZ178" i="10"/>
  <c r="BA178" i="10"/>
  <c r="BB178" i="10"/>
  <c r="AU179" i="10"/>
  <c r="AV179" i="10"/>
  <c r="AW179" i="10"/>
  <c r="AX179" i="10"/>
  <c r="AY179" i="10"/>
  <c r="AZ179" i="10"/>
  <c r="BA179" i="10"/>
  <c r="BB179" i="10"/>
  <c r="AU180" i="10"/>
  <c r="AV180" i="10"/>
  <c r="AW180" i="10"/>
  <c r="AX180" i="10"/>
  <c r="AY180" i="10"/>
  <c r="AZ180" i="10"/>
  <c r="BA180" i="10"/>
  <c r="BB180" i="10"/>
  <c r="AU181" i="10"/>
  <c r="AV181" i="10"/>
  <c r="AW181" i="10"/>
  <c r="AX181" i="10"/>
  <c r="AY181" i="10"/>
  <c r="AZ181" i="10"/>
  <c r="BA181" i="10"/>
  <c r="BB181" i="10"/>
  <c r="AU182" i="10"/>
  <c r="AV182" i="10"/>
  <c r="AW182" i="10"/>
  <c r="AX182" i="10"/>
  <c r="AY182" i="10"/>
  <c r="AZ182" i="10"/>
  <c r="BA182" i="10"/>
  <c r="BB182" i="10"/>
  <c r="AU183" i="10"/>
  <c r="AV183" i="10"/>
  <c r="AW183" i="10"/>
  <c r="AX183" i="10"/>
  <c r="AY183" i="10"/>
  <c r="AZ183" i="10"/>
  <c r="BA183" i="10"/>
  <c r="BB183" i="10"/>
  <c r="AU184" i="10"/>
  <c r="AV184" i="10"/>
  <c r="AW184" i="10"/>
  <c r="AX184" i="10"/>
  <c r="AY184" i="10"/>
  <c r="AZ184" i="10"/>
  <c r="BA184" i="10"/>
  <c r="BB184" i="10"/>
  <c r="AU185" i="10"/>
  <c r="AV185" i="10"/>
  <c r="AW185" i="10"/>
  <c r="AX185" i="10"/>
  <c r="AY185" i="10"/>
  <c r="AZ185" i="10"/>
  <c r="BA185" i="10"/>
  <c r="BB185" i="10"/>
  <c r="AU186" i="10"/>
  <c r="AV186" i="10"/>
  <c r="AW186" i="10"/>
  <c r="AX186" i="10"/>
  <c r="AY186" i="10"/>
  <c r="AZ186" i="10"/>
  <c r="BA186" i="10"/>
  <c r="BB186" i="10"/>
  <c r="AU187" i="10"/>
  <c r="AV187" i="10"/>
  <c r="AW187" i="10"/>
  <c r="AX187" i="10"/>
  <c r="AY187" i="10"/>
  <c r="AZ187" i="10"/>
  <c r="BA187" i="10"/>
  <c r="BB187" i="10"/>
  <c r="AU188" i="10"/>
  <c r="AV188" i="10"/>
  <c r="AW188" i="10"/>
  <c r="AX188" i="10"/>
  <c r="AY188" i="10"/>
  <c r="AZ188" i="10"/>
  <c r="BA188" i="10"/>
  <c r="BB188" i="10"/>
  <c r="AU189" i="10"/>
  <c r="AV189" i="10"/>
  <c r="AW189" i="10"/>
  <c r="AX189" i="10"/>
  <c r="AY189" i="10"/>
  <c r="AZ189" i="10"/>
  <c r="BA189" i="10"/>
  <c r="BB189" i="10"/>
  <c r="AU190" i="10"/>
  <c r="AV190" i="10"/>
  <c r="AW190" i="10"/>
  <c r="AX190" i="10"/>
  <c r="AY190" i="10"/>
  <c r="AZ190" i="10"/>
  <c r="BA190" i="10"/>
  <c r="BB190" i="10"/>
  <c r="AU191" i="10"/>
  <c r="AV191" i="10"/>
  <c r="AW191" i="10"/>
  <c r="AX191" i="10"/>
  <c r="AY191" i="10"/>
  <c r="AZ191" i="10"/>
  <c r="BA191" i="10"/>
  <c r="BB191" i="10"/>
  <c r="AU192" i="10"/>
  <c r="AV192" i="10"/>
  <c r="AW192" i="10"/>
  <c r="AX192" i="10"/>
  <c r="AY192" i="10"/>
  <c r="AZ192" i="10"/>
  <c r="BA192" i="10"/>
  <c r="BB192" i="10"/>
  <c r="AU193" i="10"/>
  <c r="AV193" i="10"/>
  <c r="AW193" i="10"/>
  <c r="AX193" i="10"/>
  <c r="AY193" i="10"/>
  <c r="AZ193" i="10"/>
  <c r="BA193" i="10"/>
  <c r="BB193" i="10"/>
  <c r="AU194" i="10"/>
  <c r="AV194" i="10"/>
  <c r="AW194" i="10"/>
  <c r="AX194" i="10"/>
  <c r="AY194" i="10"/>
  <c r="AZ194" i="10"/>
  <c r="BA194" i="10"/>
  <c r="BB194" i="10"/>
  <c r="AU195" i="10"/>
  <c r="AV195" i="10"/>
  <c r="AW195" i="10"/>
  <c r="AX195" i="10"/>
  <c r="AY195" i="10"/>
  <c r="AZ195" i="10"/>
  <c r="BA195" i="10"/>
  <c r="BB195" i="10"/>
  <c r="AU196" i="10"/>
  <c r="AV196" i="10"/>
  <c r="AW196" i="10"/>
  <c r="AX196" i="10"/>
  <c r="AY196" i="10"/>
  <c r="AZ196" i="10"/>
  <c r="BA196" i="10"/>
  <c r="BB196" i="10"/>
  <c r="AU197" i="10"/>
  <c r="AV197" i="10"/>
  <c r="AW197" i="10"/>
  <c r="AX197" i="10"/>
  <c r="AY197" i="10"/>
  <c r="AZ197" i="10"/>
  <c r="BA197" i="10"/>
  <c r="BB197" i="10"/>
  <c r="AU198" i="10"/>
  <c r="AV198" i="10"/>
  <c r="AW198" i="10"/>
  <c r="AX198" i="10"/>
  <c r="AY198" i="10"/>
  <c r="AZ198" i="10"/>
  <c r="BA198" i="10"/>
  <c r="BB198" i="10"/>
  <c r="AU199" i="10"/>
  <c r="AV199" i="10"/>
  <c r="AW199" i="10"/>
  <c r="AX199" i="10"/>
  <c r="AY199" i="10"/>
  <c r="AZ199" i="10"/>
  <c r="BA199" i="10"/>
  <c r="BB199" i="10"/>
  <c r="AU200" i="10"/>
  <c r="AV200" i="10"/>
  <c r="AW200" i="10"/>
  <c r="AX200" i="10"/>
  <c r="AY200" i="10"/>
  <c r="AZ200" i="10"/>
  <c r="BA200" i="10"/>
  <c r="BB200" i="10"/>
  <c r="AU201" i="10"/>
  <c r="AV201" i="10"/>
  <c r="AW201" i="10"/>
  <c r="AX201" i="10"/>
  <c r="AY201" i="10"/>
  <c r="AZ201" i="10"/>
  <c r="BA201" i="10"/>
  <c r="BB201" i="10"/>
  <c r="AU202" i="10"/>
  <c r="AV202" i="10"/>
  <c r="AW202" i="10"/>
  <c r="AX202" i="10"/>
  <c r="AY202" i="10"/>
  <c r="AZ202" i="10"/>
  <c r="BA202" i="10"/>
  <c r="BB202" i="10"/>
  <c r="AU203" i="10"/>
  <c r="AV203" i="10"/>
  <c r="AW203" i="10"/>
  <c r="AX203" i="10"/>
  <c r="AY203" i="10"/>
  <c r="AZ203" i="10"/>
  <c r="BA203" i="10"/>
  <c r="BB203" i="10"/>
  <c r="AU204" i="10"/>
  <c r="AV204" i="10"/>
  <c r="AW204" i="10"/>
  <c r="AX204" i="10"/>
  <c r="AY204" i="10"/>
  <c r="AZ204" i="10"/>
  <c r="BA204" i="10"/>
  <c r="BB204" i="10"/>
  <c r="AU205" i="10"/>
  <c r="AV205" i="10"/>
  <c r="AW205" i="10"/>
  <c r="AX205" i="10"/>
  <c r="AY205" i="10"/>
  <c r="AZ205" i="10"/>
  <c r="BA205" i="10"/>
  <c r="BB205" i="10"/>
  <c r="AU206" i="10"/>
  <c r="AV206" i="10"/>
  <c r="AW206" i="10"/>
  <c r="AX206" i="10"/>
  <c r="AY206" i="10"/>
  <c r="AZ206" i="10"/>
  <c r="BA206" i="10"/>
  <c r="BB206" i="10"/>
  <c r="AU207" i="10"/>
  <c r="AV207" i="10"/>
  <c r="AW207" i="10"/>
  <c r="AX207" i="10"/>
  <c r="AY207" i="10"/>
  <c r="AZ207" i="10"/>
  <c r="BA207" i="10"/>
  <c r="BB207" i="10"/>
  <c r="AU208" i="10"/>
  <c r="AV208" i="10"/>
  <c r="AW208" i="10"/>
  <c r="AX208" i="10"/>
  <c r="AY208" i="10"/>
  <c r="AZ208" i="10"/>
  <c r="BA208" i="10"/>
  <c r="BB208" i="10"/>
  <c r="AU209" i="10"/>
  <c r="AV209" i="10"/>
  <c r="AW209" i="10"/>
  <c r="AX209" i="10"/>
  <c r="AY209" i="10"/>
  <c r="AZ209" i="10"/>
  <c r="BA209" i="10"/>
  <c r="BB209" i="10"/>
  <c r="AU210" i="10"/>
  <c r="AV210" i="10"/>
  <c r="AW210" i="10"/>
  <c r="AX210" i="10"/>
  <c r="AY210" i="10"/>
  <c r="AZ210" i="10"/>
  <c r="BA210" i="10"/>
  <c r="BB210" i="10"/>
  <c r="AU211" i="10"/>
  <c r="AV211" i="10"/>
  <c r="AW211" i="10"/>
  <c r="AX211" i="10"/>
  <c r="AY211" i="10"/>
  <c r="AZ211" i="10"/>
  <c r="BA211" i="10"/>
  <c r="BB211" i="10"/>
  <c r="AU212" i="10"/>
  <c r="AV212" i="10"/>
  <c r="AW212" i="10"/>
  <c r="AX212" i="10"/>
  <c r="AY212" i="10"/>
  <c r="AZ212" i="10"/>
  <c r="BA212" i="10"/>
  <c r="BB212" i="10"/>
  <c r="AU213" i="10"/>
  <c r="AV213" i="10"/>
  <c r="AW213" i="10"/>
  <c r="AX213" i="10"/>
  <c r="AY213" i="10"/>
  <c r="AZ213" i="10"/>
  <c r="BA213" i="10"/>
  <c r="BB213" i="10"/>
  <c r="AU214" i="10"/>
  <c r="AV214" i="10"/>
  <c r="AW214" i="10"/>
  <c r="AX214" i="10"/>
  <c r="AY214" i="10"/>
  <c r="AZ214" i="10"/>
  <c r="BA214" i="10"/>
  <c r="BB214" i="10"/>
  <c r="AU215" i="10"/>
  <c r="AV215" i="10"/>
  <c r="AW215" i="10"/>
  <c r="AX215" i="10"/>
  <c r="AY215" i="10"/>
  <c r="AZ215" i="10"/>
  <c r="BA215" i="10"/>
  <c r="BB215" i="10"/>
  <c r="AU216" i="10"/>
  <c r="AV216" i="10"/>
  <c r="AW216" i="10"/>
  <c r="AX216" i="10"/>
  <c r="AY216" i="10"/>
  <c r="AZ216" i="10"/>
  <c r="BA216" i="10"/>
  <c r="BB216" i="10"/>
  <c r="AU217" i="10"/>
  <c r="AV217" i="10"/>
  <c r="AW217" i="10"/>
  <c r="AX217" i="10"/>
  <c r="AY217" i="10"/>
  <c r="AZ217" i="10"/>
  <c r="BA217" i="10"/>
  <c r="BB217" i="10"/>
  <c r="AU218" i="10"/>
  <c r="AV218" i="10"/>
  <c r="AW218" i="10"/>
  <c r="AX218" i="10"/>
  <c r="AY218" i="10"/>
  <c r="AZ218" i="10"/>
  <c r="BA218" i="10"/>
  <c r="BB218" i="10"/>
  <c r="AU219" i="10"/>
  <c r="AV219" i="10"/>
  <c r="AW219" i="10"/>
  <c r="AX219" i="10"/>
  <c r="AY219" i="10"/>
  <c r="AZ219" i="10"/>
  <c r="BA219" i="10"/>
  <c r="BB219" i="10"/>
  <c r="AU220" i="10"/>
  <c r="AV220" i="10"/>
  <c r="AW220" i="10"/>
  <c r="AX220" i="10"/>
  <c r="AY220" i="10"/>
  <c r="AZ220" i="10"/>
  <c r="BA220" i="10"/>
  <c r="BB220" i="10"/>
  <c r="AU221" i="10"/>
  <c r="AV221" i="10"/>
  <c r="AW221" i="10"/>
  <c r="AX221" i="10"/>
  <c r="AY221" i="10"/>
  <c r="AZ221" i="10"/>
  <c r="BA221" i="10"/>
  <c r="BB221" i="10"/>
  <c r="AU222" i="10"/>
  <c r="AV222" i="10"/>
  <c r="AW222" i="10"/>
  <c r="AX222" i="10"/>
  <c r="AY222" i="10"/>
  <c r="AZ222" i="10"/>
  <c r="BA222" i="10"/>
  <c r="BB222" i="10"/>
  <c r="AU223" i="10"/>
  <c r="AV223" i="10"/>
  <c r="AW223" i="10"/>
  <c r="AX223" i="10"/>
  <c r="AY223" i="10"/>
  <c r="AZ223" i="10"/>
  <c r="BA223" i="10"/>
  <c r="BB223" i="10"/>
  <c r="AU224" i="10"/>
  <c r="AV224" i="10"/>
  <c r="AW224" i="10"/>
  <c r="AX224" i="10"/>
  <c r="AY224" i="10"/>
  <c r="AZ224" i="10"/>
  <c r="BA224" i="10"/>
  <c r="BB224" i="10"/>
  <c r="AU225" i="10"/>
  <c r="AV225" i="10"/>
  <c r="AW225" i="10"/>
  <c r="AX225" i="10"/>
  <c r="AY225" i="10"/>
  <c r="AZ225" i="10"/>
  <c r="BA225" i="10"/>
  <c r="BB225" i="10"/>
  <c r="AU226" i="10"/>
  <c r="AV226" i="10"/>
  <c r="AW226" i="10"/>
  <c r="AX226" i="10"/>
  <c r="AY226" i="10"/>
  <c r="AZ226" i="10"/>
  <c r="BA226" i="10"/>
  <c r="BB226" i="10"/>
  <c r="AU227" i="10"/>
  <c r="AV227" i="10"/>
  <c r="AW227" i="10"/>
  <c r="AX227" i="10"/>
  <c r="AY227" i="10"/>
  <c r="AZ227" i="10"/>
  <c r="BA227" i="10"/>
  <c r="BB227" i="10"/>
  <c r="AU228" i="10"/>
  <c r="AV228" i="10"/>
  <c r="AW228" i="10"/>
  <c r="AX228" i="10"/>
  <c r="AY228" i="10"/>
  <c r="AZ228" i="10"/>
  <c r="BA228" i="10"/>
  <c r="BB228" i="10"/>
  <c r="AU229" i="10"/>
  <c r="AV229" i="10"/>
  <c r="AW229" i="10"/>
  <c r="AX229" i="10"/>
  <c r="AY229" i="10"/>
  <c r="AZ229" i="10"/>
  <c r="BA229" i="10"/>
  <c r="BB229" i="10"/>
  <c r="AU230" i="10"/>
  <c r="AV230" i="10"/>
  <c r="AW230" i="10"/>
  <c r="AX230" i="10"/>
  <c r="AY230" i="10"/>
  <c r="AZ230" i="10"/>
  <c r="BA230" i="10"/>
  <c r="BB230" i="10"/>
  <c r="AU231" i="10"/>
  <c r="AV231" i="10"/>
  <c r="AW231" i="10"/>
  <c r="AX231" i="10"/>
  <c r="AY231" i="10"/>
  <c r="AZ231" i="10"/>
  <c r="BA231" i="10"/>
  <c r="BB231" i="10"/>
  <c r="AU232" i="10"/>
  <c r="AV232" i="10"/>
  <c r="AW232" i="10"/>
  <c r="AX232" i="10"/>
  <c r="AY232" i="10"/>
  <c r="AZ232" i="10"/>
  <c r="BA232" i="10"/>
  <c r="BB232" i="10"/>
  <c r="AU233" i="10"/>
  <c r="AV233" i="10"/>
  <c r="AW233" i="10"/>
  <c r="AX233" i="10"/>
  <c r="AY233" i="10"/>
  <c r="AZ233" i="10"/>
  <c r="BA233" i="10"/>
  <c r="BB233" i="10"/>
  <c r="AU234" i="10"/>
  <c r="AV234" i="10"/>
  <c r="AW234" i="10"/>
  <c r="AX234" i="10"/>
  <c r="AY234" i="10"/>
  <c r="AZ234" i="10"/>
  <c r="BA234" i="10"/>
  <c r="BB234" i="10"/>
  <c r="AU235" i="10"/>
  <c r="AV235" i="10"/>
  <c r="AW235" i="10"/>
  <c r="AX235" i="10"/>
  <c r="AY235" i="10"/>
  <c r="AZ235" i="10"/>
  <c r="BA235" i="10"/>
  <c r="BB235" i="10"/>
  <c r="AU236" i="10"/>
  <c r="AV236" i="10"/>
  <c r="AW236" i="10"/>
  <c r="AX236" i="10"/>
  <c r="AY236" i="10"/>
  <c r="AZ236" i="10"/>
  <c r="BA236" i="10"/>
  <c r="BB236" i="10"/>
  <c r="AU237" i="10"/>
  <c r="AV237" i="10"/>
  <c r="AW237" i="10"/>
  <c r="AX237" i="10"/>
  <c r="AY237" i="10"/>
  <c r="AZ237" i="10"/>
  <c r="BA237" i="10"/>
  <c r="BB237" i="10"/>
  <c r="AU238" i="10"/>
  <c r="AV238" i="10"/>
  <c r="AW238" i="10"/>
  <c r="AX238" i="10"/>
  <c r="AY238" i="10"/>
  <c r="AZ238" i="10"/>
  <c r="BA238" i="10"/>
  <c r="BB238" i="10"/>
  <c r="AU239" i="10"/>
  <c r="AV239" i="10"/>
  <c r="AW239" i="10"/>
  <c r="AX239" i="10"/>
  <c r="AY239" i="10"/>
  <c r="AZ239" i="10"/>
  <c r="BA239" i="10"/>
  <c r="BB239" i="10"/>
  <c r="AU240" i="10"/>
  <c r="AV240" i="10"/>
  <c r="AW240" i="10"/>
  <c r="AX240" i="10"/>
  <c r="AY240" i="10"/>
  <c r="AZ240" i="10"/>
  <c r="BA240" i="10"/>
  <c r="BB240" i="10"/>
  <c r="AU241" i="10"/>
  <c r="AV241" i="10"/>
  <c r="AW241" i="10"/>
  <c r="AX241" i="10"/>
  <c r="AY241" i="10"/>
  <c r="AZ241" i="10"/>
  <c r="BA241" i="10"/>
  <c r="BB241" i="10"/>
  <c r="AU242" i="10"/>
  <c r="AV242" i="10"/>
  <c r="AW242" i="10"/>
  <c r="AX242" i="10"/>
  <c r="AY242" i="10"/>
  <c r="AZ242" i="10"/>
  <c r="BA242" i="10"/>
  <c r="BB242" i="10"/>
  <c r="AU243" i="10"/>
  <c r="AV243" i="10"/>
  <c r="AW243" i="10"/>
  <c r="AX243" i="10"/>
  <c r="AY243" i="10"/>
  <c r="AZ243" i="10"/>
  <c r="BA243" i="10"/>
  <c r="BB243" i="10"/>
  <c r="AU244" i="10"/>
  <c r="AV244" i="10"/>
  <c r="AW244" i="10"/>
  <c r="AX244" i="10"/>
  <c r="AY244" i="10"/>
  <c r="AZ244" i="10"/>
  <c r="BA244" i="10"/>
  <c r="BB244" i="10"/>
  <c r="AU245" i="10"/>
  <c r="AV245" i="10"/>
  <c r="AW245" i="10"/>
  <c r="AX245" i="10"/>
  <c r="AY245" i="10"/>
  <c r="AZ245" i="10"/>
  <c r="BA245" i="10"/>
  <c r="BB24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Manas Bhatt</author>
  </authors>
  <commentList>
    <comment ref="K1" authorId="0" shapeId="0" xr:uid="{6090A077-EEAA-44E5-BF21-793DD49F8B0C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Url for retrieving market data</t>
        </r>
      </text>
    </comment>
    <comment ref="M1" authorId="0" shapeId="0" xr:uid="{865A7CAE-B80C-4D1B-A2D5-C63D521B8DF9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Used for accessing Tradier data</t>
        </r>
      </text>
    </comment>
    <comment ref="O1" authorId="0" shapeId="0" xr:uid="{AC84120E-7215-45FA-A985-72831527B5ED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Add ticker whose data needs to be retrieved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Manas Bhatt</author>
  </authors>
  <commentList>
    <comment ref="C4" authorId="0" shapeId="0" xr:uid="{45B7EB17-DCC9-43E1-A7C2-5FB1B624DBDF}">
      <text>
        <r>
          <rPr>
            <b/>
            <sz val="9"/>
            <color indexed="81"/>
            <rFont val="Tahoma"/>
            <family val="2"/>
          </rPr>
          <t>Manas Bhatt:</t>
        </r>
        <r>
          <rPr>
            <sz val="9"/>
            <color indexed="81"/>
            <rFont val="Tahoma"/>
            <family val="2"/>
          </rPr>
          <t xml:space="preserve">
when spotPrice return null, this value will replace spotPrice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167EC-7419-4341-B612-962AA8DC8274}" keepAlive="1" name="ModelConnection_ExternalData_1" description="Data Model" type="5" refreshedVersion="7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02F43D6-98C1-4D53-AADD-9DDDC7D6241A}" interval="10" name="Query - data" description="Connection to the 'data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35642b8f-f80c-45fc-a51f-82d792fcab97"/>
      </ext>
    </extLst>
  </connection>
  <connection id="3" xr16:uid="{5B6FAC64-72B2-4E00-8BE2-E7768DDBB23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<sst xmlns="http://schemas.openxmlformats.org/spreadsheetml/2006/main" count="7411" uniqueCount="1582">
  <si>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</si>
  <si>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</si>
  <si>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</si>
  <si>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</si>
  <si>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</si>
  <si>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</si>
  <si>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</si>
  <si>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</si>
  <si>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</si>
  <si>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</si>
  <si>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</si>
  <si>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</si>
  <si>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</si>
  <si>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</si>
  <si>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</si>
  <si>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</t>
  </si>
  <si>
    <t>Tradier</t>
  </si>
  <si>
    <t>Delta</t>
  </si>
  <si>
    <t>Gamma</t>
  </si>
  <si>
    <t>Vega</t>
  </si>
  <si>
    <t>Theta</t>
  </si>
  <si>
    <t>Rho</t>
  </si>
  <si>
    <t>Today</t>
  </si>
  <si>
    <t>EndPoint</t>
  </si>
  <si>
    <t>Access Token</t>
  </si>
  <si>
    <t>AAPL</t>
  </si>
  <si>
    <t>Call</t>
  </si>
  <si>
    <t>Call Price</t>
  </si>
  <si>
    <t>Put Price</t>
  </si>
  <si>
    <t>put</t>
  </si>
  <si>
    <t>LXVkmzoytEbdiNQc6gcmOkF1rMxH</t>
  </si>
  <si>
    <t>Python Function testing</t>
  </si>
  <si>
    <t>Implied Vol</t>
  </si>
  <si>
    <t>K</t>
  </si>
  <si>
    <t>T</t>
  </si>
  <si>
    <t>r</t>
  </si>
  <si>
    <t>C</t>
  </si>
  <si>
    <t>Type</t>
  </si>
  <si>
    <t>c</t>
  </si>
  <si>
    <t>Greeks</t>
  </si>
  <si>
    <t>Price</t>
  </si>
  <si>
    <t>sigma</t>
  </si>
  <si>
    <t>Spot</t>
  </si>
  <si>
    <t xml:space="preserve">r </t>
  </si>
  <si>
    <t>p</t>
  </si>
  <si>
    <t>https://api.tradier.com/v1/</t>
  </si>
  <si>
    <t>EndPoints</t>
  </si>
  <si>
    <t>https://sandbox.tradier.com/v1/</t>
  </si>
  <si>
    <t>AuthCode</t>
  </si>
  <si>
    <t>SPX</t>
  </si>
  <si>
    <t>MSFT</t>
  </si>
  <si>
    <t>DTE</t>
  </si>
  <si>
    <t>Expiry</t>
  </si>
  <si>
    <t>Option Expiry (DTE)</t>
  </si>
  <si>
    <t>Strike</t>
  </si>
  <si>
    <t>Spot Price</t>
  </si>
  <si>
    <t>option</t>
  </si>
  <si>
    <t>call</t>
  </si>
  <si>
    <t>Option Chain</t>
  </si>
  <si>
    <t>Symbol</t>
  </si>
  <si>
    <t>Description</t>
  </si>
  <si>
    <t>Last</t>
  </si>
  <si>
    <t>Volume</t>
  </si>
  <si>
    <t>Close</t>
  </si>
  <si>
    <t>Bid</t>
  </si>
  <si>
    <t>Ask</t>
  </si>
  <si>
    <t>Column1.type</t>
  </si>
  <si>
    <t>Column1.change</t>
  </si>
  <si>
    <t>Column1.open</t>
  </si>
  <si>
    <t>Column1.high</t>
  </si>
  <si>
    <t>Column1.low</t>
  </si>
  <si>
    <t>Column1.underlying</t>
  </si>
  <si>
    <t>Column1.change_percentage</t>
  </si>
  <si>
    <t>Column1.trade_date</t>
  </si>
  <si>
    <t>Column1.prevclose</t>
  </si>
  <si>
    <t>Column1.week_52_high</t>
  </si>
  <si>
    <t>Column1.week_52_low</t>
  </si>
  <si>
    <t>Column1.bidexch</t>
  </si>
  <si>
    <t>Column1.bid_date</t>
  </si>
  <si>
    <t>Column1.askexch</t>
  </si>
  <si>
    <t>Column1.ask_date</t>
  </si>
  <si>
    <t>Column1.expiration_type</t>
  </si>
  <si>
    <t>Column1.root_symbol</t>
  </si>
  <si>
    <t>12</t>
  </si>
  <si>
    <t>0</t>
  </si>
  <si>
    <t>1</t>
  </si>
  <si>
    <t>100</t>
  </si>
  <si>
    <t>2400</t>
  </si>
  <si>
    <t>3000</t>
  </si>
  <si>
    <t>68</t>
  </si>
  <si>
    <t>3200</t>
  </si>
  <si>
    <t>52</t>
  </si>
  <si>
    <t>3400</t>
  </si>
  <si>
    <t>36</t>
  </si>
  <si>
    <t>2</t>
  </si>
  <si>
    <t>25</t>
  </si>
  <si>
    <t>24</t>
  </si>
  <si>
    <t>44</t>
  </si>
  <si>
    <t>6</t>
  </si>
  <si>
    <t>9</t>
  </si>
  <si>
    <t>8</t>
  </si>
  <si>
    <t>5</t>
  </si>
  <si>
    <t>22</t>
  </si>
  <si>
    <t>3600</t>
  </si>
  <si>
    <t>21</t>
  </si>
  <si>
    <t>20</t>
  </si>
  <si>
    <t>19</t>
  </si>
  <si>
    <t>16</t>
  </si>
  <si>
    <t>3800</t>
  </si>
  <si>
    <t>3</t>
  </si>
  <si>
    <t>14</t>
  </si>
  <si>
    <t>15</t>
  </si>
  <si>
    <t>3900</t>
  </si>
  <si>
    <t>13</t>
  </si>
  <si>
    <t>11</t>
  </si>
  <si>
    <t>4050</t>
  </si>
  <si>
    <t>10</t>
  </si>
  <si>
    <t>7</t>
  </si>
  <si>
    <t>4125</t>
  </si>
  <si>
    <t>4200</t>
  </si>
  <si>
    <t>4225</t>
  </si>
  <si>
    <t>18</t>
  </si>
  <si>
    <t>4250</t>
  </si>
  <si>
    <t>4</t>
  </si>
  <si>
    <t>4450</t>
  </si>
  <si>
    <t>31</t>
  </si>
  <si>
    <t>4500</t>
  </si>
  <si>
    <t>2000</t>
  </si>
  <si>
    <t>2600</t>
  </si>
  <si>
    <t>3300</t>
  </si>
  <si>
    <t>3500</t>
  </si>
  <si>
    <t>3650</t>
  </si>
  <si>
    <t>3750</t>
  </si>
  <si>
    <t>3850</t>
  </si>
  <si>
    <t>3875</t>
  </si>
  <si>
    <t>3925</t>
  </si>
  <si>
    <t>3950</t>
  </si>
  <si>
    <t>3975</t>
  </si>
  <si>
    <t>4000</t>
  </si>
  <si>
    <t>4025</t>
  </si>
  <si>
    <t>4075</t>
  </si>
  <si>
    <t>4275</t>
  </si>
  <si>
    <t>4400</t>
  </si>
  <si>
    <t>4600</t>
  </si>
  <si>
    <t>41</t>
  </si>
  <si>
    <t>45</t>
  </si>
  <si>
    <t>49</t>
  </si>
  <si>
    <t>4800</t>
  </si>
  <si>
    <t>1200</t>
  </si>
  <si>
    <t>1400</t>
  </si>
  <si>
    <t>1600</t>
  </si>
  <si>
    <t>0.4</t>
  </si>
  <si>
    <t>0.2</t>
  </si>
  <si>
    <t>5000</t>
  </si>
  <si>
    <t>2200</t>
  </si>
  <si>
    <t>3700</t>
  </si>
  <si>
    <t>4100</t>
  </si>
  <si>
    <t>4175</t>
  </si>
  <si>
    <t>4300</t>
  </si>
  <si>
    <t>4325</t>
  </si>
  <si>
    <t>38</t>
  </si>
  <si>
    <t>1800</t>
  </si>
  <si>
    <t>2800</t>
  </si>
  <si>
    <t>3100</t>
  </si>
  <si>
    <t>3825</t>
  </si>
  <si>
    <t>4150</t>
  </si>
  <si>
    <t>4350</t>
  </si>
  <si>
    <t>JSON</t>
  </si>
  <si>
    <t>Location</t>
  </si>
  <si>
    <t>Contract Size</t>
  </si>
  <si>
    <t>Option Type</t>
  </si>
  <si>
    <t>Exch</t>
  </si>
  <si>
    <t>Bidsize</t>
  </si>
  <si>
    <t>Asksize</t>
  </si>
  <si>
    <t>Expiry Date</t>
  </si>
  <si>
    <t>Open Interest</t>
  </si>
  <si>
    <t>Maturity ( Days)</t>
  </si>
  <si>
    <t>IV</t>
  </si>
  <si>
    <t>OptType</t>
  </si>
  <si>
    <t>Dividend</t>
  </si>
  <si>
    <t>1.65177E+12</t>
  </si>
  <si>
    <t>GOOG</t>
  </si>
  <si>
    <t>17</t>
  </si>
  <si>
    <t>SPXW</t>
  </si>
  <si>
    <t>3930</t>
  </si>
  <si>
    <t>3910</t>
  </si>
  <si>
    <t>3920</t>
  </si>
  <si>
    <t>3940</t>
  </si>
  <si>
    <t>3960</t>
  </si>
  <si>
    <t>4120</t>
  </si>
  <si>
    <t>4190</t>
  </si>
  <si>
    <t>4310</t>
  </si>
  <si>
    <t>4010</t>
  </si>
  <si>
    <t>4030</t>
  </si>
  <si>
    <t>4040</t>
  </si>
  <si>
    <t>4060</t>
  </si>
  <si>
    <t>4080</t>
  </si>
  <si>
    <t>4090</t>
  </si>
  <si>
    <t>4110</t>
  </si>
  <si>
    <t>4170</t>
  </si>
  <si>
    <t>4180</t>
  </si>
  <si>
    <t>4230</t>
  </si>
  <si>
    <t>4240</t>
  </si>
  <si>
    <t>4260</t>
  </si>
  <si>
    <t>4270</t>
  </si>
  <si>
    <t>4280</t>
  </si>
  <si>
    <t>4290</t>
  </si>
  <si>
    <t>3980</t>
  </si>
  <si>
    <t>3990</t>
  </si>
  <si>
    <t>4070</t>
  </si>
  <si>
    <t>4140</t>
  </si>
  <si>
    <t>4160</t>
  </si>
  <si>
    <t>4210</t>
  </si>
  <si>
    <t>4220</t>
  </si>
  <si>
    <t>3970</t>
  </si>
  <si>
    <t>4020</t>
  </si>
  <si>
    <t>4130</t>
  </si>
  <si>
    <t>Cnt Price</t>
  </si>
  <si>
    <t>Task</t>
  </si>
  <si>
    <t>Option Expiry</t>
  </si>
  <si>
    <t>1.65187E+12</t>
  </si>
  <si>
    <t>1.65185E+12</t>
  </si>
  <si>
    <t>1.65184E+12</t>
  </si>
  <si>
    <t>C:\work\freelance\Excel\GreekCalculator\</t>
  </si>
  <si>
    <t>Auto Refresh</t>
  </si>
  <si>
    <t>On</t>
  </si>
  <si>
    <t>Updated On</t>
  </si>
  <si>
    <t>Off</t>
  </si>
  <si>
    <t>Wait for Timer to refresh data</t>
  </si>
  <si>
    <t>Interest Rate</t>
  </si>
  <si>
    <t>62.5</t>
  </si>
  <si>
    <r>
      <t xml:space="preserve">Press </t>
    </r>
    <r>
      <rPr>
        <b/>
        <sz val="10"/>
        <color theme="1"/>
        <rFont val="Calibri"/>
        <family val="2"/>
        <scheme val="minor"/>
      </rPr>
      <t>Option Expiries</t>
    </r>
  </si>
  <si>
    <r>
      <t xml:space="preserve">Select </t>
    </r>
    <r>
      <rPr>
        <b/>
        <sz val="10"/>
        <color theme="1"/>
        <rFont val="Calibri"/>
        <family val="2"/>
        <scheme val="minor"/>
      </rPr>
      <t>Ticker</t>
    </r>
  </si>
  <si>
    <r>
      <t xml:space="preserve">Select </t>
    </r>
    <r>
      <rPr>
        <b/>
        <sz val="10"/>
        <color theme="1"/>
        <rFont val="Calibri"/>
        <family val="2"/>
        <scheme val="minor"/>
      </rPr>
      <t>Expiry</t>
    </r>
  </si>
  <si>
    <r>
      <t xml:space="preserve">Press </t>
    </r>
    <r>
      <rPr>
        <b/>
        <sz val="10"/>
        <color theme="1"/>
        <rFont val="Calibri"/>
        <family val="2"/>
        <scheme val="minor"/>
      </rPr>
      <t>Option Chain</t>
    </r>
  </si>
  <si>
    <r>
      <t xml:space="preserve">Press </t>
    </r>
    <r>
      <rPr>
        <b/>
        <sz val="10"/>
        <color theme="1"/>
        <rFont val="Calibri"/>
        <family val="2"/>
        <scheme val="minor"/>
      </rPr>
      <t>Calculate Greeks</t>
    </r>
  </si>
  <si>
    <t>Refresh Time(mins)</t>
  </si>
  <si>
    <t>27</t>
  </si>
  <si>
    <t>0.6</t>
  </si>
  <si>
    <t>0.1</t>
  </si>
  <si>
    <t>199</t>
  </si>
  <si>
    <t>39</t>
  </si>
  <si>
    <t>0.15</t>
  </si>
  <si>
    <r>
      <t xml:space="preserve">Update </t>
    </r>
    <r>
      <rPr>
        <b/>
        <sz val="10"/>
        <color theme="1"/>
        <rFont val="Calibri"/>
        <family val="2"/>
        <scheme val="minor"/>
      </rPr>
      <t>Today</t>
    </r>
  </si>
  <si>
    <t>48</t>
  </si>
  <si>
    <t>111</t>
  </si>
  <si>
    <t>2900</t>
  </si>
  <si>
    <t>2950</t>
  </si>
  <si>
    <t>3150</t>
  </si>
  <si>
    <t>3250</t>
  </si>
  <si>
    <t>3350</t>
  </si>
  <si>
    <t>3550</t>
  </si>
  <si>
    <t>3775</t>
  </si>
  <si>
    <t>3830</t>
  </si>
  <si>
    <t>64</t>
  </si>
  <si>
    <t>3840</t>
  </si>
  <si>
    <t>3870</t>
  </si>
  <si>
    <t>3890</t>
  </si>
  <si>
    <t>75</t>
  </si>
  <si>
    <t>2700</t>
  </si>
  <si>
    <t>3050</t>
  </si>
  <si>
    <t>3725</t>
  </si>
  <si>
    <t>3810</t>
  </si>
  <si>
    <t>3820</t>
  </si>
  <si>
    <t>3860</t>
  </si>
  <si>
    <t>3880</t>
  </si>
  <si>
    <t>3450</t>
  </si>
  <si>
    <t>5200</t>
  </si>
  <si>
    <t>5400</t>
  </si>
  <si>
    <t>weeklys</t>
  </si>
  <si>
    <t>143.1</t>
  </si>
  <si>
    <t>DdR1zniymR4PVMTuaZYlTOnvgT9n</t>
  </si>
  <si>
    <t>Last Vol</t>
  </si>
  <si>
    <t>Avg Vol</t>
  </si>
  <si>
    <t>1.65212E+12</t>
  </si>
  <si>
    <t>124.7</t>
  </si>
  <si>
    <t>160.6</t>
  </si>
  <si>
    <t>1.6521E+12</t>
  </si>
  <si>
    <t>152</t>
  </si>
  <si>
    <t>121.3</t>
  </si>
  <si>
    <t>209.6</t>
  </si>
  <si>
    <t>217</t>
  </si>
  <si>
    <t>65.9</t>
  </si>
  <si>
    <t>131.8</t>
  </si>
  <si>
    <t>114.7</t>
  </si>
  <si>
    <t>120</t>
  </si>
  <si>
    <t>118</t>
  </si>
  <si>
    <t>112.6</t>
  </si>
  <si>
    <t>117.5</t>
  </si>
  <si>
    <t>119.1</t>
  </si>
  <si>
    <t>194.7</t>
  </si>
  <si>
    <t>224.7</t>
  </si>
  <si>
    <t>140.4</t>
  </si>
  <si>
    <t>96.2</t>
  </si>
  <si>
    <t>188.9</t>
  </si>
  <si>
    <t>343</t>
  </si>
  <si>
    <t>186.7</t>
  </si>
  <si>
    <t>116.3</t>
  </si>
  <si>
    <t>191.6</t>
  </si>
  <si>
    <t>238.1</t>
  </si>
  <si>
    <t>244.9</t>
  </si>
  <si>
    <t>122.4</t>
  </si>
  <si>
    <t>125.8</t>
  </si>
  <si>
    <t>177.5</t>
  </si>
  <si>
    <t>230.2</t>
  </si>
  <si>
    <t>211.7</t>
  </si>
  <si>
    <t>245</t>
  </si>
  <si>
    <t>2022-06-24</t>
  </si>
  <si>
    <t>SPXW220624C05200000</t>
  </si>
  <si>
    <t>SPXW Jun 24 2022 $5200.00 Call</t>
  </si>
  <si>
    <t>SPXW220624C05400000</t>
  </si>
  <si>
    <t>SPXW Jun 24 2022 $5400.00 Call</t>
  </si>
  <si>
    <t>SPXW220624P03990000</t>
  </si>
  <si>
    <t>SPXW Jun 24 2022 $3990.00 Put</t>
  </si>
  <si>
    <t>177.1</t>
  </si>
  <si>
    <t>SPXW220624C01200000</t>
  </si>
  <si>
    <t>SPXW Jun 24 2022 $1200.00 Call</t>
  </si>
  <si>
    <t>SPXW220624P01400000</t>
  </si>
  <si>
    <t>SPXW Jun 24 2022 $1400.00 Put</t>
  </si>
  <si>
    <t>SPXW220624C01400000</t>
  </si>
  <si>
    <t>SPXW Jun 24 2022 $1400.00 Call</t>
  </si>
  <si>
    <t>SPXW220624C01600000</t>
  </si>
  <si>
    <t>SPXW Jun 24 2022 $1600.00 Call</t>
  </si>
  <si>
    <t>SPXW220624P01600000</t>
  </si>
  <si>
    <t>SPXW Jun 24 2022 $1600.00 Put</t>
  </si>
  <si>
    <t>0.83</t>
  </si>
  <si>
    <t>SPXW220624P01800000</t>
  </si>
  <si>
    <t>SPXW Jun 24 2022 $1800.00 Put</t>
  </si>
  <si>
    <t>SPXW220624C02000000</t>
  </si>
  <si>
    <t>SPXW Jun 24 2022 $2000.00 Call</t>
  </si>
  <si>
    <t>SPXW220624C02200000</t>
  </si>
  <si>
    <t>SPXW Jun 24 2022 $2200.00 Call</t>
  </si>
  <si>
    <t>SPXW220624C02400000</t>
  </si>
  <si>
    <t>SPXW Jun 24 2022 $2400.00 Call</t>
  </si>
  <si>
    <t>SPXW220624C02600000</t>
  </si>
  <si>
    <t>SPXW Jun 24 2022 $2600.00 Call</t>
  </si>
  <si>
    <t>SPXW220624C02700000</t>
  </si>
  <si>
    <t>SPXW Jun 24 2022 $2700.00 Call</t>
  </si>
  <si>
    <t>SPXW220624P02700000</t>
  </si>
  <si>
    <t>SPXW Jun 24 2022 $2700.00 Put</t>
  </si>
  <si>
    <t>SPXW220624C02800000</t>
  </si>
  <si>
    <t>SPXW Jun 24 2022 $2800.00 Call</t>
  </si>
  <si>
    <t>SPXW220624C02900000</t>
  </si>
  <si>
    <t>SPXW Jun 24 2022 $2900.00 Call</t>
  </si>
  <si>
    <t>SPXW220624P02900000</t>
  </si>
  <si>
    <t>SPXW Jun 24 2022 $2900.00 Put</t>
  </si>
  <si>
    <t>SPXW220624C02950000</t>
  </si>
  <si>
    <t>SPXW Jun 24 2022 $2950.00 Call</t>
  </si>
  <si>
    <t>SPXW220624C03000000</t>
  </si>
  <si>
    <t>SPXW Jun 24 2022 $3000.00 Call</t>
  </si>
  <si>
    <t>SPXW220624C03050000</t>
  </si>
  <si>
    <t>SPXW Jun 24 2022 $3050.00 Call</t>
  </si>
  <si>
    <t>SPXW220624C03100000</t>
  </si>
  <si>
    <t>SPXW Jun 24 2022 $3100.00 Call</t>
  </si>
  <si>
    <t>SPXW220624C03150000</t>
  </si>
  <si>
    <t>SPXW Jun 24 2022 $3150.00 Call</t>
  </si>
  <si>
    <t>SPXW220624C03200000</t>
  </si>
  <si>
    <t>SPXW Jun 24 2022 $3200.00 Call</t>
  </si>
  <si>
    <t>SPXW220624C03250000</t>
  </si>
  <si>
    <t>SPXW Jun 24 2022 $3250.00 Call</t>
  </si>
  <si>
    <t>SPXW220624C03300000</t>
  </si>
  <si>
    <t>SPXW Jun 24 2022 $3300.00 Call</t>
  </si>
  <si>
    <t>SPXW220624C03350000</t>
  </si>
  <si>
    <t>SPXW Jun 24 2022 $3350.00 Call</t>
  </si>
  <si>
    <t>SPXW220624C03400000</t>
  </si>
  <si>
    <t>SPXW Jun 24 2022 $3400.00 Call</t>
  </si>
  <si>
    <t>SPXW220624C03450000</t>
  </si>
  <si>
    <t>SPXW Jun 24 2022 $3450.00 Call</t>
  </si>
  <si>
    <t>SPXW220624C03500000</t>
  </si>
  <si>
    <t>SPXW Jun 24 2022 $3500.00 Call</t>
  </si>
  <si>
    <t>SPXW220624C03550000</t>
  </si>
  <si>
    <t>SPXW Jun 24 2022 $3550.00 Call</t>
  </si>
  <si>
    <t>SPXW220624C03600000</t>
  </si>
  <si>
    <t>SPXW Jun 24 2022 $3600.00 Call</t>
  </si>
  <si>
    <t>SPXW220624C03650000</t>
  </si>
  <si>
    <t>SPXW Jun 24 2022 $3650.00 Call</t>
  </si>
  <si>
    <t>SPXW220624C03700000</t>
  </si>
  <si>
    <t>SPXW Jun 24 2022 $3700.00 Call</t>
  </si>
  <si>
    <t>SPXW220624C03725000</t>
  </si>
  <si>
    <t>SPXW Jun 24 2022 $3725.00 Call</t>
  </si>
  <si>
    <t>SPXW220624P03725000</t>
  </si>
  <si>
    <t>SPXW Jun 24 2022 $3725.00 Put</t>
  </si>
  <si>
    <t>SPXW220624C03750000</t>
  </si>
  <si>
    <t>SPXW Jun 24 2022 $3750.00 Call</t>
  </si>
  <si>
    <t>SPXW220624C03775000</t>
  </si>
  <si>
    <t>SPXW Jun 24 2022 $3775.00 Call</t>
  </si>
  <si>
    <t>SPXW220624C03800000</t>
  </si>
  <si>
    <t>SPXW Jun 24 2022 $3800.00 Call</t>
  </si>
  <si>
    <t>SPXW220624C03810000</t>
  </si>
  <si>
    <t>SPXW Jun 24 2022 $3810.00 Call</t>
  </si>
  <si>
    <t>SPXW220624P03810000</t>
  </si>
  <si>
    <t>SPXW Jun 24 2022 $3810.00 Put</t>
  </si>
  <si>
    <t>SPXW220624C03820000</t>
  </si>
  <si>
    <t>SPXW Jun 24 2022 $3820.00 Call</t>
  </si>
  <si>
    <t>SPXW220624C03825000</t>
  </si>
  <si>
    <t>SPXW Jun 24 2022 $3825.00 Call</t>
  </si>
  <si>
    <t>SPXW220624C03830000</t>
  </si>
  <si>
    <t>SPXW Jun 24 2022 $3830.00 Call</t>
  </si>
  <si>
    <t>SPXW220624P03840000</t>
  </si>
  <si>
    <t>SPXW Jun 24 2022 $3840.00 Put</t>
  </si>
  <si>
    <t>SPXW220624C03840000</t>
  </si>
  <si>
    <t>SPXW Jun 24 2022 $3840.00 Call</t>
  </si>
  <si>
    <t>SPXW220624C03850000</t>
  </si>
  <si>
    <t>SPXW Jun 24 2022 $3850.00 Call</t>
  </si>
  <si>
    <t>SPXW220624C03860000</t>
  </si>
  <si>
    <t>SPXW Jun 24 2022 $3860.00 Call</t>
  </si>
  <si>
    <t>SPXW220624C03870000</t>
  </si>
  <si>
    <t>SPXW Jun 24 2022 $3870.00 Call</t>
  </si>
  <si>
    <t>SPXW220624P03870000</t>
  </si>
  <si>
    <t>SPXW Jun 24 2022 $3870.00 Put</t>
  </si>
  <si>
    <t>SPXW220624C03875000</t>
  </si>
  <si>
    <t>SPXW Jun 24 2022 $3875.00 Call</t>
  </si>
  <si>
    <t>SPXW220624C03880000</t>
  </si>
  <si>
    <t>SPXW Jun 24 2022 $3880.00 Call</t>
  </si>
  <si>
    <t>SPXW220624C03890000</t>
  </si>
  <si>
    <t>SPXW Jun 24 2022 $3890.00 Call</t>
  </si>
  <si>
    <t>SPXW220624P03890000</t>
  </si>
  <si>
    <t>SPXW Jun 24 2022 $3890.00 Put</t>
  </si>
  <si>
    <t>SPXW220624C03900000</t>
  </si>
  <si>
    <t>SPXW Jun 24 2022 $3900.00 Call</t>
  </si>
  <si>
    <t>SPXW220624C03910000</t>
  </si>
  <si>
    <t>SPXW Jun 24 2022 $3910.00 Call</t>
  </si>
  <si>
    <t>SPXW220624P03910000</t>
  </si>
  <si>
    <t>SPXW Jun 24 2022 $3910.00 Put</t>
  </si>
  <si>
    <t>SPXW220624C03920000</t>
  </si>
  <si>
    <t>SPXW Jun 24 2022 $3920.00 Call</t>
  </si>
  <si>
    <t>SPXW220624P03925000</t>
  </si>
  <si>
    <t>SPXW Jun 24 2022 $3925.00 Put</t>
  </si>
  <si>
    <t>130.14</t>
  </si>
  <si>
    <t>SPXW220624C03930000</t>
  </si>
  <si>
    <t>SPXW Jun 24 2022 $3930.00 Call</t>
  </si>
  <si>
    <t>SPXW220624P03940000</t>
  </si>
  <si>
    <t>SPXW Jun 24 2022 $3940.00 Put</t>
  </si>
  <si>
    <t>136.75</t>
  </si>
  <si>
    <t>SPXW220624P03975000</t>
  </si>
  <si>
    <t>SPXW Jun 24 2022 $3975.00 Put</t>
  </si>
  <si>
    <t>SPXW220624C03980000</t>
  </si>
  <si>
    <t>SPXW Jun 24 2022 $3980.00 Call</t>
  </si>
  <si>
    <t>SPXW220624P03980000</t>
  </si>
  <si>
    <t>SPXW Jun 24 2022 $3980.00 Put</t>
  </si>
  <si>
    <t>152.45</t>
  </si>
  <si>
    <t>SPXW220624C03990000</t>
  </si>
  <si>
    <t>SPXW Jun 24 2022 $3990.00 Call</t>
  </si>
  <si>
    <t>SPXW220624C04010000</t>
  </si>
  <si>
    <t>SPXW Jun 24 2022 $4010.00 Call</t>
  </si>
  <si>
    <t>SPXW220624C04025000</t>
  </si>
  <si>
    <t>SPXW Jun 24 2022 $4025.00 Call</t>
  </si>
  <si>
    <t>SPXW220624C04040000</t>
  </si>
  <si>
    <t>SPXW Jun 24 2022 $4040.00 Call</t>
  </si>
  <si>
    <t>SPXW220624C04050000</t>
  </si>
  <si>
    <t>SPXW Jun 24 2022 $4050.00 Call</t>
  </si>
  <si>
    <t>SPXW220624C04060000</t>
  </si>
  <si>
    <t>SPXW Jun 24 2022 $4060.00 Call</t>
  </si>
  <si>
    <t>SPXW220624P04060000</t>
  </si>
  <si>
    <t>SPXW Jun 24 2022 $4060.00 Put</t>
  </si>
  <si>
    <t>SPXW220624C04075000</t>
  </si>
  <si>
    <t>SPXW Jun 24 2022 $4075.00 Call</t>
  </si>
  <si>
    <t>SPXW220624P04080000</t>
  </si>
  <si>
    <t>SPXW Jun 24 2022 $4080.00 Put</t>
  </si>
  <si>
    <t>SPXW220624C04080000</t>
  </si>
  <si>
    <t>SPXW Jun 24 2022 $4080.00 Call</t>
  </si>
  <si>
    <t>SPXW220624C04090000</t>
  </si>
  <si>
    <t>SPXW Jun 24 2022 $4090.00 Call</t>
  </si>
  <si>
    <t>SPXW220624C04100000</t>
  </si>
  <si>
    <t>SPXW Jun 24 2022 $4100.00 Call</t>
  </si>
  <si>
    <t>SPXW220624C04110000</t>
  </si>
  <si>
    <t>SPXW Jun 24 2022 $4110.00 Call</t>
  </si>
  <si>
    <t>SPXW220624C04130000</t>
  </si>
  <si>
    <t>SPXW Jun 24 2022 $4130.00 Call</t>
  </si>
  <si>
    <t>SPXW220624P04175000</t>
  </si>
  <si>
    <t>SPXW Jun 24 2022 $4175.00 Put</t>
  </si>
  <si>
    <t>SPXW220624P04200000</t>
  </si>
  <si>
    <t>SPXW Jun 24 2022 $4200.00 Put</t>
  </si>
  <si>
    <t>SPXW220624P04210000</t>
  </si>
  <si>
    <t>SPXW Jun 24 2022 $4210.00 Put</t>
  </si>
  <si>
    <t>SPXW220624P04220000</t>
  </si>
  <si>
    <t>SPXW Jun 24 2022 $4220.00 Put</t>
  </si>
  <si>
    <t>SPXW220624P04225000</t>
  </si>
  <si>
    <t>SPXW Jun 24 2022 $4225.00 Put</t>
  </si>
  <si>
    <t>SPXW220624C04225000</t>
  </si>
  <si>
    <t>SPXW Jun 24 2022 $4225.00 Call</t>
  </si>
  <si>
    <t>SPXW220624P04230000</t>
  </si>
  <si>
    <t>SPXW Jun 24 2022 $4230.00 Put</t>
  </si>
  <si>
    <t>SPXW220624P04240000</t>
  </si>
  <si>
    <t>SPXW Jun 24 2022 $4240.00 Put</t>
  </si>
  <si>
    <t>294.96</t>
  </si>
  <si>
    <t>SPXW220624P04260000</t>
  </si>
  <si>
    <t>SPXW Jun 24 2022 $4260.00 Put</t>
  </si>
  <si>
    <t>SPXW220624P04270000</t>
  </si>
  <si>
    <t>SPXW Jun 24 2022 $4270.00 Put</t>
  </si>
  <si>
    <t>SPXW220624P04275000</t>
  </si>
  <si>
    <t>SPXW Jun 24 2022 $4275.00 Put</t>
  </si>
  <si>
    <t>SPXW220624P04280000</t>
  </si>
  <si>
    <t>SPXW Jun 24 2022 $4280.00 Put</t>
  </si>
  <si>
    <t>SPXW220624P04290000</t>
  </si>
  <si>
    <t>SPXW Jun 24 2022 $4290.00 Put</t>
  </si>
  <si>
    <t>314.73</t>
  </si>
  <si>
    <t>SPXW220624P04300000</t>
  </si>
  <si>
    <t>SPXW Jun 24 2022 $4300.00 Put</t>
  </si>
  <si>
    <t>SPXW220624P04310000</t>
  </si>
  <si>
    <t>SPXW Jun 24 2022 $4310.00 Put</t>
  </si>
  <si>
    <t>SPXW220624P04325000</t>
  </si>
  <si>
    <t>SPXW Jun 24 2022 $4325.00 Put</t>
  </si>
  <si>
    <t>SPXW220624P04450000</t>
  </si>
  <si>
    <t>SPXW Jun 24 2022 $4450.00 Put</t>
  </si>
  <si>
    <t>SPXW220624P04500000</t>
  </si>
  <si>
    <t>SPXW Jun 24 2022 $4500.00 Put</t>
  </si>
  <si>
    <t>SPXW220624P04600000</t>
  </si>
  <si>
    <t>SPXW Jun 24 2022 $4600.00 Put</t>
  </si>
  <si>
    <t>SPXW220624P04800000</t>
  </si>
  <si>
    <t>SPXW Jun 24 2022 $4800.00 Put</t>
  </si>
  <si>
    <t>SPXW220624P05000000</t>
  </si>
  <si>
    <t>SPXW Jun 24 2022 $5000.00 Put</t>
  </si>
  <si>
    <t>SPXW220624P05200000</t>
  </si>
  <si>
    <t>SPXW Jun 24 2022 $5200.00 Put</t>
  </si>
  <si>
    <t>SPXW220624P05400000</t>
  </si>
  <si>
    <t>SPXW Jun 24 2022 $5400.00 Put</t>
  </si>
  <si>
    <t>SPXW220624P01200000</t>
  </si>
  <si>
    <t>SPXW Jun 24 2022 $1200.00 Put</t>
  </si>
  <si>
    <t>SPXW220624C01800000</t>
  </si>
  <si>
    <t>SPXW Jun 24 2022 $1800.00 Call</t>
  </si>
  <si>
    <t>2271.29</t>
  </si>
  <si>
    <t>SPXW220624P02000000</t>
  </si>
  <si>
    <t>SPXW Jun 24 2022 $2000.00 Put</t>
  </si>
  <si>
    <t>SPXW220624P02200000</t>
  </si>
  <si>
    <t>SPXW Jun 24 2022 $2200.00 Put</t>
  </si>
  <si>
    <t>SPXW220624P02400000</t>
  </si>
  <si>
    <t>SPXW Jun 24 2022 $2400.00 Put</t>
  </si>
  <si>
    <t>SPXW220624P02600000</t>
  </si>
  <si>
    <t>SPXW Jun 24 2022 $2600.00 Put</t>
  </si>
  <si>
    <t>SPXW220624P02800000</t>
  </si>
  <si>
    <t>SPXW Jun 24 2022 $2800.00 Put</t>
  </si>
  <si>
    <t>SPXW220624P02950000</t>
  </si>
  <si>
    <t>SPXW Jun 24 2022 $2950.00 Put</t>
  </si>
  <si>
    <t>SPXW220624P03000000</t>
  </si>
  <si>
    <t>SPXW Jun 24 2022 $3000.00 Put</t>
  </si>
  <si>
    <t>SPXW220624P03050000</t>
  </si>
  <si>
    <t>SPXW Jun 24 2022 $3050.00 Put</t>
  </si>
  <si>
    <t>SPXW220624P03100000</t>
  </si>
  <si>
    <t>SPXW Jun 24 2022 $3100.00 Put</t>
  </si>
  <si>
    <t>SPXW220624P03150000</t>
  </si>
  <si>
    <t>SPXW Jun 24 2022 $3150.00 Put</t>
  </si>
  <si>
    <t>SPXW220624P03200000</t>
  </si>
  <si>
    <t>SPXW Jun 24 2022 $3200.00 Put</t>
  </si>
  <si>
    <t>SPXW220624P03250000</t>
  </si>
  <si>
    <t>SPXW Jun 24 2022 $3250.00 Put</t>
  </si>
  <si>
    <t>SPXW220624P03300000</t>
  </si>
  <si>
    <t>SPXW Jun 24 2022 $3300.00 Put</t>
  </si>
  <si>
    <t>SPXW220624P03350000</t>
  </si>
  <si>
    <t>SPXW Jun 24 2022 $3350.00 Put</t>
  </si>
  <si>
    <t>SPXW220624P03400000</t>
  </si>
  <si>
    <t>SPXW Jun 24 2022 $3400.00 Put</t>
  </si>
  <si>
    <t>SPXW220624P03450000</t>
  </si>
  <si>
    <t>SPXW Jun 24 2022 $3450.00 Put</t>
  </si>
  <si>
    <t>SPXW220624P03500000</t>
  </si>
  <si>
    <t>SPXW Jun 24 2022 $3500.00 Put</t>
  </si>
  <si>
    <t>SPXW220624P03550000</t>
  </si>
  <si>
    <t>SPXW Jun 24 2022 $3550.00 Put</t>
  </si>
  <si>
    <t>SPXW220624P03600000</t>
  </si>
  <si>
    <t>SPXW Jun 24 2022 $3600.00 Put</t>
  </si>
  <si>
    <t>SPXW220624P03650000</t>
  </si>
  <si>
    <t>SPXW Jun 24 2022 $3650.00 Put</t>
  </si>
  <si>
    <t>SPXW220624P03700000</t>
  </si>
  <si>
    <t>SPXW Jun 24 2022 $3700.00 Put</t>
  </si>
  <si>
    <t>SPXW220624P03750000</t>
  </si>
  <si>
    <t>SPXW Jun 24 2022 $3750.00 Put</t>
  </si>
  <si>
    <t>SPXW220624P03775000</t>
  </si>
  <si>
    <t>SPXW Jun 24 2022 $3775.00 Put</t>
  </si>
  <si>
    <t>SPXW220624P03800000</t>
  </si>
  <si>
    <t>SPXW Jun 24 2022 $3800.00 Put</t>
  </si>
  <si>
    <t>SPXW220624P03820000</t>
  </si>
  <si>
    <t>SPXW Jun 24 2022 $3820.00 Put</t>
  </si>
  <si>
    <t>SPXW220624P03825000</t>
  </si>
  <si>
    <t>SPXW Jun 24 2022 $3825.00 Put</t>
  </si>
  <si>
    <t>SPXW220624P03830000</t>
  </si>
  <si>
    <t>SPXW Jun 24 2022 $3830.00 Put</t>
  </si>
  <si>
    <t>SPXW220624P03850000</t>
  </si>
  <si>
    <t>SPXW Jun 24 2022 $3850.00 Put</t>
  </si>
  <si>
    <t>SPXW220624P03860000</t>
  </si>
  <si>
    <t>SPXW Jun 24 2022 $3860.00 Put</t>
  </si>
  <si>
    <t>SPXW220624P03875000</t>
  </si>
  <si>
    <t>SPXW Jun 24 2022 $3875.00 Put</t>
  </si>
  <si>
    <t>SPXW220624P03880000</t>
  </si>
  <si>
    <t>SPXW Jun 24 2022 $3880.00 Put</t>
  </si>
  <si>
    <t>SPXW220624P03900000</t>
  </si>
  <si>
    <t>SPXW Jun 24 2022 $3900.00 Put</t>
  </si>
  <si>
    <t>126.49</t>
  </si>
  <si>
    <t>SPXW220624P03920000</t>
  </si>
  <si>
    <t>SPXW Jun 24 2022 $3920.00 Put</t>
  </si>
  <si>
    <t>141.9</t>
  </si>
  <si>
    <t>SPXW220624C03925000</t>
  </si>
  <si>
    <t>SPXW Jun 24 2022 $3925.00 Call</t>
  </si>
  <si>
    <t>281.46</t>
  </si>
  <si>
    <t>SPXW220624P03930000</t>
  </si>
  <si>
    <t>SPXW Jun 24 2022 $3930.00 Put</t>
  </si>
  <si>
    <t>128.81</t>
  </si>
  <si>
    <t>SPXW220624C03940000</t>
  </si>
  <si>
    <t>SPXW Jun 24 2022 $3940.00 Call</t>
  </si>
  <si>
    <t>216.1</t>
  </si>
  <si>
    <t>SPXW220624P03950000</t>
  </si>
  <si>
    <t>SPXW Jun 24 2022 $3950.00 Put</t>
  </si>
  <si>
    <t>149.75</t>
  </si>
  <si>
    <t>SPXW220624C03950000</t>
  </si>
  <si>
    <t>SPXW Jun 24 2022 $3950.00 Call</t>
  </si>
  <si>
    <t>SPXW220624C03960000</t>
  </si>
  <si>
    <t>SPXW Jun 24 2022 $3960.00 Call</t>
  </si>
  <si>
    <t>241.1</t>
  </si>
  <si>
    <t>SPXW220624P03960000</t>
  </si>
  <si>
    <t>SPXW Jun 24 2022 $3960.00 Put</t>
  </si>
  <si>
    <t>160.51</t>
  </si>
  <si>
    <t>SPXW220624C03970000</t>
  </si>
  <si>
    <t>SPXW Jun 24 2022 $3970.00 Call</t>
  </si>
  <si>
    <t>190.75</t>
  </si>
  <si>
    <t>SPXW220624P03970000</t>
  </si>
  <si>
    <t>SPXW Jun 24 2022 $3970.00 Put</t>
  </si>
  <si>
    <t>142.07</t>
  </si>
  <si>
    <t>SPXW220624C03975000</t>
  </si>
  <si>
    <t>SPXW Jun 24 2022 $3975.00 Call</t>
  </si>
  <si>
    <t>176.99</t>
  </si>
  <si>
    <t>SPXW220624C04000000</t>
  </si>
  <si>
    <t>SPXW Jun 24 2022 $4000.00 Call</t>
  </si>
  <si>
    <t>SPXW220624P04000000</t>
  </si>
  <si>
    <t>SPXW Jun 24 2022 $4000.00 Put</t>
  </si>
  <si>
    <t>SPXW220624P04010000</t>
  </si>
  <si>
    <t>SPXW Jun 24 2022 $4010.00 Put</t>
  </si>
  <si>
    <t>SPXW220624P04020000</t>
  </si>
  <si>
    <t>SPXW Jun 24 2022 $4020.00 Put</t>
  </si>
  <si>
    <t>SPXW220624C04020000</t>
  </si>
  <si>
    <t>SPXW Jun 24 2022 $4020.00 Call</t>
  </si>
  <si>
    <t>SPXW220624P04025000</t>
  </si>
  <si>
    <t>SPXW Jun 24 2022 $4025.00 Put</t>
  </si>
  <si>
    <t>SPXW220624C04030000</t>
  </si>
  <si>
    <t>SPXW Jun 24 2022 $4030.00 Call</t>
  </si>
  <si>
    <t>SPXW220624P04030000</t>
  </si>
  <si>
    <t>SPXW Jun 24 2022 $4030.00 Put</t>
  </si>
  <si>
    <t>SPXW220624P04040000</t>
  </si>
  <si>
    <t>SPXW Jun 24 2022 $4040.00 Put</t>
  </si>
  <si>
    <t>SPXW220624P04050000</t>
  </si>
  <si>
    <t>SPXW Jun 24 2022 $4050.00 Put</t>
  </si>
  <si>
    <t>SPXW220624C04070000</t>
  </si>
  <si>
    <t>SPXW Jun 24 2022 $4070.00 Call</t>
  </si>
  <si>
    <t>SPXW220624P04070000</t>
  </si>
  <si>
    <t>SPXW Jun 24 2022 $4070.00 Put</t>
  </si>
  <si>
    <t>SPXW220624P04075000</t>
  </si>
  <si>
    <t>SPXW Jun 24 2022 $4075.00 Put</t>
  </si>
  <si>
    <t>SPXW220624P04090000</t>
  </si>
  <si>
    <t>SPXW Jun 24 2022 $4090.00 Put</t>
  </si>
  <si>
    <t>SPXW220624P04100000</t>
  </si>
  <si>
    <t>SPXW Jun 24 2022 $4100.00 Put</t>
  </si>
  <si>
    <t>SPXW220624P04110000</t>
  </si>
  <si>
    <t>SPXW Jun 24 2022 $4110.00 Put</t>
  </si>
  <si>
    <t>SPXW220624P04120000</t>
  </si>
  <si>
    <t>SPXW Jun 24 2022 $4120.00 Put</t>
  </si>
  <si>
    <t>SPXW220624C04120000</t>
  </si>
  <si>
    <t>SPXW Jun 24 2022 $4120.00 Call</t>
  </si>
  <si>
    <t>SPXW220624P04125000</t>
  </si>
  <si>
    <t>SPXW Jun 24 2022 $4125.00 Put</t>
  </si>
  <si>
    <t>SPXW220624C04125000</t>
  </si>
  <si>
    <t>SPXW Jun 24 2022 $4125.00 Call</t>
  </si>
  <si>
    <t>SPXW220624P04130000</t>
  </si>
  <si>
    <t>SPXW Jun 24 2022 $4130.00 Put</t>
  </si>
  <si>
    <t>SPXW220624C04140000</t>
  </si>
  <si>
    <t>SPXW Jun 24 2022 $4140.00 Call</t>
  </si>
  <si>
    <t>135.5</t>
  </si>
  <si>
    <t>SPXW220624P04140000</t>
  </si>
  <si>
    <t>SPXW Jun 24 2022 $4140.00 Put</t>
  </si>
  <si>
    <t>SPXW220624C04150000</t>
  </si>
  <si>
    <t>SPXW Jun 24 2022 $4150.00 Call</t>
  </si>
  <si>
    <t>SPXW220624P04150000</t>
  </si>
  <si>
    <t>SPXW Jun 24 2022 $4150.00 Put</t>
  </si>
  <si>
    <t>SPXW220624C04160000</t>
  </si>
  <si>
    <t>SPXW Jun 24 2022 $4160.00 Call</t>
  </si>
  <si>
    <t>SPXW220624P04160000</t>
  </si>
  <si>
    <t>SPXW Jun 24 2022 $4160.00 Put</t>
  </si>
  <si>
    <t>SPXW220624C04170000</t>
  </si>
  <si>
    <t>SPXW Jun 24 2022 $4170.00 Call</t>
  </si>
  <si>
    <t>SPXW220624P04170000</t>
  </si>
  <si>
    <t>SPXW Jun 24 2022 $4170.00 Put</t>
  </si>
  <si>
    <t>SPXW220624C04175000</t>
  </si>
  <si>
    <t>SPXW Jun 24 2022 $4175.00 Call</t>
  </si>
  <si>
    <t>SPXW220624P04180000</t>
  </si>
  <si>
    <t>SPXW Jun 24 2022 $4180.00 Put</t>
  </si>
  <si>
    <t>SPXW220624C04180000</t>
  </si>
  <si>
    <t>SPXW Jun 24 2022 $4180.00 Call</t>
  </si>
  <si>
    <t>SPXW220624P04190000</t>
  </si>
  <si>
    <t>SPXW Jun 24 2022 $4190.00 Put</t>
  </si>
  <si>
    <t>SPXW220624C04190000</t>
  </si>
  <si>
    <t>SPXW Jun 24 2022 $4190.00 Call</t>
  </si>
  <si>
    <t>SPXW220624C04200000</t>
  </si>
  <si>
    <t>SPXW Jun 24 2022 $4200.00 Call</t>
  </si>
  <si>
    <t>SPXW220624C04210000</t>
  </si>
  <si>
    <t>SPXW Jun 24 2022 $4210.00 Call</t>
  </si>
  <si>
    <t>SPXW220624C04220000</t>
  </si>
  <si>
    <t>SPXW Jun 24 2022 $4220.00 Call</t>
  </si>
  <si>
    <t>SPXW220624C04230000</t>
  </si>
  <si>
    <t>SPXW Jun 24 2022 $4230.00 Call</t>
  </si>
  <si>
    <t>SPXW220624C04240000</t>
  </si>
  <si>
    <t>SPXW Jun 24 2022 $4240.00 Call</t>
  </si>
  <si>
    <t>SPXW220624C04250000</t>
  </si>
  <si>
    <t>SPXW Jun 24 2022 $4250.00 Call</t>
  </si>
  <si>
    <t>SPXW220624P04250000</t>
  </si>
  <si>
    <t>SPXW Jun 24 2022 $4250.00 Put</t>
  </si>
  <si>
    <t>SPXW220624C04260000</t>
  </si>
  <si>
    <t>SPXW Jun 24 2022 $4260.00 Call</t>
  </si>
  <si>
    <t>SPXW220624C04270000</t>
  </si>
  <si>
    <t>SPXW Jun 24 2022 $4270.00 Call</t>
  </si>
  <si>
    <t>SPXW220624C04275000</t>
  </si>
  <si>
    <t>SPXW Jun 24 2022 $4275.00 Call</t>
  </si>
  <si>
    <t>SPXW220624C04280000</t>
  </si>
  <si>
    <t>SPXW Jun 24 2022 $4280.00 Call</t>
  </si>
  <si>
    <t>SPXW220624C04290000</t>
  </si>
  <si>
    <t>SPXW Jun 24 2022 $4290.00 Call</t>
  </si>
  <si>
    <t>SPXW220624C04300000</t>
  </si>
  <si>
    <t>SPXW Jun 24 2022 $4300.00 Call</t>
  </si>
  <si>
    <t>SPXW220624C04310000</t>
  </si>
  <si>
    <t>SPXW Jun 24 2022 $4310.00 Call</t>
  </si>
  <si>
    <t>SPXW220624C04325000</t>
  </si>
  <si>
    <t>SPXW Jun 24 2022 $4325.00 Call</t>
  </si>
  <si>
    <t>SPXW220624C04350000</t>
  </si>
  <si>
    <t>SPXW Jun 24 2022 $4350.00 Call</t>
  </si>
  <si>
    <t>SPXW220624P04350000</t>
  </si>
  <si>
    <t>SPXW Jun 24 2022 $4350.00 Put</t>
  </si>
  <si>
    <t>289.18</t>
  </si>
  <si>
    <t>SPXW220624C04400000</t>
  </si>
  <si>
    <t>SPXW Jun 24 2022 $4400.00 Call</t>
  </si>
  <si>
    <t>SPXW220624P04400000</t>
  </si>
  <si>
    <t>SPXW Jun 24 2022 $4400.00 Put</t>
  </si>
  <si>
    <t>324.7</t>
  </si>
  <si>
    <t>SPXW220624C04450000</t>
  </si>
  <si>
    <t>SPXW Jun 24 2022 $4450.00 Call</t>
  </si>
  <si>
    <t>SPXW220624C04500000</t>
  </si>
  <si>
    <t>SPXW Jun 24 2022 $4500.00 Call</t>
  </si>
  <si>
    <t>SPXW220624C04600000</t>
  </si>
  <si>
    <t>SPXW Jun 24 2022 $4600.00 Call</t>
  </si>
  <si>
    <t>SPXW220624C04800000</t>
  </si>
  <si>
    <t>SPXW Jun 24 2022 $4800.00 Call</t>
  </si>
  <si>
    <t>SPXW220624C05000000</t>
  </si>
  <si>
    <t>SPXW Jun 24 2022 $5000.00 Call</t>
  </si>
  <si>
    <t>204.1</t>
  </si>
  <si>
    <t>205.3</t>
  </si>
  <si>
    <t>144.2</t>
  </si>
  <si>
    <t>243.7</t>
  </si>
  <si>
    <t>236.9</t>
  </si>
  <si>
    <t>115.8</t>
  </si>
  <si>
    <t>231.4</t>
  </si>
  <si>
    <t>119.6</t>
  </si>
  <si>
    <t>120.7</t>
  </si>
  <si>
    <t>223.6</t>
  </si>
  <si>
    <t>224.8</t>
  </si>
  <si>
    <t>137.4</t>
  </si>
  <si>
    <t>138.5</t>
  </si>
  <si>
    <t>192.8</t>
  </si>
  <si>
    <t>139.3</t>
  </si>
  <si>
    <t>185.5</t>
  </si>
  <si>
    <t>111.5</t>
  </si>
  <si>
    <t>226.9</t>
  </si>
  <si>
    <t>228.1</t>
  </si>
  <si>
    <t>218.2</t>
  </si>
  <si>
    <t>128.2</t>
  </si>
  <si>
    <t>129.3</t>
  </si>
  <si>
    <t>210.5</t>
  </si>
  <si>
    <t>132.9</t>
  </si>
  <si>
    <t>197.8</t>
  </si>
  <si>
    <t>136.6</t>
  </si>
  <si>
    <t>195.9</t>
  </si>
  <si>
    <t>242</t>
  </si>
  <si>
    <t>Option Pricing Data</t>
  </si>
  <si>
    <t>0.25</t>
  </si>
  <si>
    <t>0.45</t>
  </si>
  <si>
    <t>SPXW220624C02850000</t>
  </si>
  <si>
    <t>SPXW Jun 24 2022 $2850.00 Call</t>
  </si>
  <si>
    <t>2850</t>
  </si>
  <si>
    <t>SPXW220624P02850000</t>
  </si>
  <si>
    <t>SPXW Jun 24 2022 $2850.00 Put</t>
  </si>
  <si>
    <t>7.2</t>
  </si>
  <si>
    <t>7.6</t>
  </si>
  <si>
    <t>SPXW220624C03625000</t>
  </si>
  <si>
    <t>SPXW Jun 24 2022 $3625.00 Call</t>
  </si>
  <si>
    <t>3625</t>
  </si>
  <si>
    <t>SPXW220624C03675000</t>
  </si>
  <si>
    <t>SPXW Jun 24 2022 $3675.00 Call</t>
  </si>
  <si>
    <t>3675</t>
  </si>
  <si>
    <t>SPXW220624C03680000</t>
  </si>
  <si>
    <t>SPXW Jun 24 2022 $3680.00 Call</t>
  </si>
  <si>
    <t>3680</t>
  </si>
  <si>
    <t>SPXW220624C03690000</t>
  </si>
  <si>
    <t>SPXW Jun 24 2022 $3690.00 Call</t>
  </si>
  <si>
    <t>3690</t>
  </si>
  <si>
    <t>SPXW220624C03710000</t>
  </si>
  <si>
    <t>SPXW Jun 24 2022 $3710.00 Call</t>
  </si>
  <si>
    <t>3710</t>
  </si>
  <si>
    <t>SPXW220624C03720000</t>
  </si>
  <si>
    <t>SPXW Jun 24 2022 $3720.00 Call</t>
  </si>
  <si>
    <t>3720</t>
  </si>
  <si>
    <t>SPXW220624C03730000</t>
  </si>
  <si>
    <t>SPXW Jun 24 2022 $3730.00 Call</t>
  </si>
  <si>
    <t>3730</t>
  </si>
  <si>
    <t>SPXW220624P03740000</t>
  </si>
  <si>
    <t>SPXW Jun 24 2022 $3740.00 Put</t>
  </si>
  <si>
    <t>3740</t>
  </si>
  <si>
    <t>SPXW220624C03740000</t>
  </si>
  <si>
    <t>SPXW Jun 24 2022 $3740.00 Call</t>
  </si>
  <si>
    <t>SPXW220624C03760000</t>
  </si>
  <si>
    <t>SPXW Jun 24 2022 $3760.00 Call</t>
  </si>
  <si>
    <t>3760</t>
  </si>
  <si>
    <t>SPXW220624C03770000</t>
  </si>
  <si>
    <t>SPXW Jun 24 2022 $3770.00 Call</t>
  </si>
  <si>
    <t>3770</t>
  </si>
  <si>
    <t>SPXW220624P03770000</t>
  </si>
  <si>
    <t>SPXW Jun 24 2022 $3770.00 Put</t>
  </si>
  <si>
    <t>SPXW220624C03780000</t>
  </si>
  <si>
    <t>SPXW Jun 24 2022 $3780.00 Call</t>
  </si>
  <si>
    <t>3780</t>
  </si>
  <si>
    <t>SPXW220624C03790000</t>
  </si>
  <si>
    <t>SPXW Jun 24 2022 $3790.00 Call</t>
  </si>
  <si>
    <t>3790</t>
  </si>
  <si>
    <t>181.4</t>
  </si>
  <si>
    <t>0.09</t>
  </si>
  <si>
    <t>1.65221E+12</t>
  </si>
  <si>
    <t>1.65219E+12</t>
  </si>
  <si>
    <t>0.8</t>
  </si>
  <si>
    <t>1.05</t>
  </si>
  <si>
    <t>274</t>
  </si>
  <si>
    <t>5.7</t>
  </si>
  <si>
    <t>1.6522E+12</t>
  </si>
  <si>
    <t>9.3</t>
  </si>
  <si>
    <t>51</t>
  </si>
  <si>
    <t>29</t>
  </si>
  <si>
    <t>70</t>
  </si>
  <si>
    <t>SPXW220624P03625000</t>
  </si>
  <si>
    <t>SPXW Jun 24 2022 $3625.00 Put</t>
  </si>
  <si>
    <t>62</t>
  </si>
  <si>
    <t>SPXW220624P03675000</t>
  </si>
  <si>
    <t>SPXW Jun 24 2022 $3675.00 Put</t>
  </si>
  <si>
    <t>69</t>
  </si>
  <si>
    <t>SPXW220624P03680000</t>
  </si>
  <si>
    <t>SPXW Jun 24 2022 $3680.00 Put</t>
  </si>
  <si>
    <t>SPXW220624P03690000</t>
  </si>
  <si>
    <t>SPXW Jun 24 2022 $3690.00 Put</t>
  </si>
  <si>
    <t>43</t>
  </si>
  <si>
    <t>SPXW220624P03710000</t>
  </si>
  <si>
    <t>SPXW Jun 24 2022 $3710.00 Put</t>
  </si>
  <si>
    <t>SPXW220624P03720000</t>
  </si>
  <si>
    <t>SPXW Jun 24 2022 $3720.00 Put</t>
  </si>
  <si>
    <t>SPXW220624P03730000</t>
  </si>
  <si>
    <t>SPXW Jun 24 2022 $3730.00 Put</t>
  </si>
  <si>
    <t>SPXW220624P03760000</t>
  </si>
  <si>
    <t>SPXW Jun 24 2022 $3760.00 Put</t>
  </si>
  <si>
    <t>73.6</t>
  </si>
  <si>
    <t>33</t>
  </si>
  <si>
    <t>SPXW220624P03780000</t>
  </si>
  <si>
    <t>SPXW Jun 24 2022 $3780.00 Put</t>
  </si>
  <si>
    <t>SPXW220624P03790000</t>
  </si>
  <si>
    <t>SPXW Jun 24 2022 $3790.00 Put</t>
  </si>
  <si>
    <t>110.6</t>
  </si>
  <si>
    <t>91.3</t>
  </si>
  <si>
    <t>131.9</t>
  </si>
  <si>
    <t>160.96</t>
  </si>
  <si>
    <t>134.6</t>
  </si>
  <si>
    <t>162.16</t>
  </si>
  <si>
    <t>202.5</t>
  </si>
  <si>
    <t>232.61</t>
  </si>
  <si>
    <t>248.33</t>
  </si>
  <si>
    <t>250.94</t>
  </si>
  <si>
    <t>56.4</t>
  </si>
  <si>
    <t>28</t>
  </si>
  <si>
    <t>3.6</t>
  </si>
  <si>
    <t>0.67</t>
  </si>
  <si>
    <t>1.65228E+12</t>
  </si>
  <si>
    <t>215</t>
  </si>
  <si>
    <t>1.75</t>
  </si>
  <si>
    <t>3.9</t>
  </si>
  <si>
    <t>193</t>
  </si>
  <si>
    <t>459</t>
  </si>
  <si>
    <t>129</t>
  </si>
  <si>
    <t>5.9</t>
  </si>
  <si>
    <t>123</t>
  </si>
  <si>
    <t>351</t>
  </si>
  <si>
    <t>136</t>
  </si>
  <si>
    <t>2989</t>
  </si>
  <si>
    <t>8.1</t>
  </si>
  <si>
    <t>140</t>
  </si>
  <si>
    <t>10.6</t>
  </si>
  <si>
    <t>142</t>
  </si>
  <si>
    <t>86</t>
  </si>
  <si>
    <t>97</t>
  </si>
  <si>
    <t>183</t>
  </si>
  <si>
    <t>59.1</t>
  </si>
  <si>
    <t>70.1</t>
  </si>
  <si>
    <t>72.5</t>
  </si>
  <si>
    <t>91.6</t>
  </si>
  <si>
    <t>90</t>
  </si>
  <si>
    <t>96</t>
  </si>
  <si>
    <t>107.1</t>
  </si>
  <si>
    <t>116</t>
  </si>
  <si>
    <t>123.1</t>
  </si>
  <si>
    <t>135.8</t>
  </si>
  <si>
    <t>150</t>
  </si>
  <si>
    <t>180</t>
  </si>
  <si>
    <t>190.8</t>
  </si>
  <si>
    <t>216.3</t>
  </si>
  <si>
    <t>241.7</t>
  </si>
  <si>
    <t>244</t>
  </si>
  <si>
    <t>270.1</t>
  </si>
  <si>
    <t>92</t>
  </si>
  <si>
    <t>283.4</t>
  </si>
  <si>
    <t>60</t>
  </si>
  <si>
    <t>76</t>
  </si>
  <si>
    <t>342.6</t>
  </si>
  <si>
    <t>322.6</t>
  </si>
  <si>
    <t>320</t>
  </si>
  <si>
    <t>65</t>
  </si>
  <si>
    <t>265.9</t>
  </si>
  <si>
    <t>262.4</t>
  </si>
  <si>
    <t>240.5</t>
  </si>
  <si>
    <t>103</t>
  </si>
  <si>
    <t>112.3</t>
  </si>
  <si>
    <t>103.1</t>
  </si>
  <si>
    <t>94</t>
  </si>
  <si>
    <t>93.2</t>
  </si>
  <si>
    <t>58</t>
  </si>
  <si>
    <t>55.2</t>
  </si>
  <si>
    <t>50.9</t>
  </si>
  <si>
    <t>50.2</t>
  </si>
  <si>
    <t>0.3</t>
  </si>
  <si>
    <t>2.4</t>
  </si>
  <si>
    <t>2.7</t>
  </si>
  <si>
    <t>6046</t>
  </si>
  <si>
    <t>33.6</t>
  </si>
  <si>
    <t>-8.75</t>
  </si>
  <si>
    <t>156.52</t>
  </si>
  <si>
    <t>131.07</t>
  </si>
  <si>
    <t>114.4</t>
  </si>
  <si>
    <t>81.7</t>
  </si>
  <si>
    <t>270.78</t>
  </si>
  <si>
    <t>64.5</t>
  </si>
  <si>
    <t>-1.93</t>
  </si>
  <si>
    <t>43.5</t>
  </si>
  <si>
    <t>14.73</t>
  </si>
  <si>
    <t>31.5</t>
  </si>
  <si>
    <t>1918</t>
  </si>
  <si>
    <t>3.1</t>
  </si>
  <si>
    <t>Strikes</t>
  </si>
  <si>
    <t>445</t>
  </si>
  <si>
    <t>362</t>
  </si>
  <si>
    <t>338.3</t>
  </si>
  <si>
    <t>259.6</t>
  </si>
  <si>
    <t>271</t>
  </si>
  <si>
    <t>236.4</t>
  </si>
  <si>
    <t>210.2</t>
  </si>
  <si>
    <t>203.8</t>
  </si>
  <si>
    <t>176</t>
  </si>
  <si>
    <t>168.3</t>
  </si>
  <si>
    <t>1.65229E+12</t>
  </si>
  <si>
    <t>1.85</t>
  </si>
  <si>
    <t>4.6</t>
  </si>
  <si>
    <t>1.6523E+12</t>
  </si>
  <si>
    <t>6.4</t>
  </si>
  <si>
    <t>8.5</t>
  </si>
  <si>
    <t>8.9</t>
  </si>
  <si>
    <t>12.6</t>
  </si>
  <si>
    <t>13.2</t>
  </si>
  <si>
    <t>16.3</t>
  </si>
  <si>
    <t>29.4</t>
  </si>
  <si>
    <t>79</t>
  </si>
  <si>
    <t>80.1</t>
  </si>
  <si>
    <t>81.4</t>
  </si>
  <si>
    <t>95.3</t>
  </si>
  <si>
    <t>98.1</t>
  </si>
  <si>
    <t>79.6</t>
  </si>
  <si>
    <t>109.4</t>
  </si>
  <si>
    <t>111.1</t>
  </si>
  <si>
    <t>103.8</t>
  </si>
  <si>
    <t>225</t>
  </si>
  <si>
    <t>120.6</t>
  </si>
  <si>
    <t>131</t>
  </si>
  <si>
    <t>143</t>
  </si>
  <si>
    <t>149.6</t>
  </si>
  <si>
    <t>157</t>
  </si>
  <si>
    <t>158.9</t>
  </si>
  <si>
    <t>160.4</t>
  </si>
  <si>
    <t>180.67</t>
  </si>
  <si>
    <t>179</t>
  </si>
  <si>
    <t>161</t>
  </si>
  <si>
    <t>200.8</t>
  </si>
  <si>
    <t>113.3</t>
  </si>
  <si>
    <t>206.68</t>
  </si>
  <si>
    <t>204.9</t>
  </si>
  <si>
    <t>99.4</t>
  </si>
  <si>
    <t>216</t>
  </si>
  <si>
    <t>91</t>
  </si>
  <si>
    <t>238</t>
  </si>
  <si>
    <t>223.32</t>
  </si>
  <si>
    <t>78</t>
  </si>
  <si>
    <t>241.63</t>
  </si>
  <si>
    <t>77.5</t>
  </si>
  <si>
    <t>73.9</t>
  </si>
  <si>
    <t>265.1</t>
  </si>
  <si>
    <t>283.5</t>
  </si>
  <si>
    <t>57.1</t>
  </si>
  <si>
    <t>280.65</t>
  </si>
  <si>
    <t>52.6</t>
  </si>
  <si>
    <t>49.8</t>
  </si>
  <si>
    <t>44.5</t>
  </si>
  <si>
    <t>43.2</t>
  </si>
  <si>
    <t>40.6</t>
  </si>
  <si>
    <t>38.2</t>
  </si>
  <si>
    <t>39.6</t>
  </si>
  <si>
    <t>329</t>
  </si>
  <si>
    <t>342</t>
  </si>
  <si>
    <t>37.2</t>
  </si>
  <si>
    <t>35</t>
  </si>
  <si>
    <t>345.98</t>
  </si>
  <si>
    <t>31.9</t>
  </si>
  <si>
    <t>31.8</t>
  </si>
  <si>
    <t>26</t>
  </si>
  <si>
    <t>390.55</t>
  </si>
  <si>
    <t>398.85</t>
  </si>
  <si>
    <t>5.4</t>
  </si>
  <si>
    <t>0.52</t>
  </si>
  <si>
    <t>0.05</t>
  </si>
  <si>
    <t>444.3</t>
  </si>
  <si>
    <t>314.9</t>
  </si>
  <si>
    <t>307.4</t>
  </si>
  <si>
    <t>291.2</t>
  </si>
  <si>
    <t>208.2</t>
  </si>
  <si>
    <t>218</t>
  </si>
  <si>
    <t>281</t>
  </si>
  <si>
    <t>159</t>
  </si>
  <si>
    <t>82</t>
  </si>
  <si>
    <t>73</t>
  </si>
  <si>
    <t>66</t>
  </si>
  <si>
    <t>56</t>
  </si>
  <si>
    <t>67</t>
  </si>
  <si>
    <t>71</t>
  </si>
  <si>
    <t>53</t>
  </si>
  <si>
    <t>19.3</t>
  </si>
  <si>
    <t>46</t>
  </si>
  <si>
    <t>24.7</t>
  </si>
  <si>
    <t>46.4</t>
  </si>
  <si>
    <t>67.8</t>
  </si>
  <si>
    <t>68.9</t>
  </si>
  <si>
    <t>82.1</t>
  </si>
  <si>
    <t>83.4</t>
  </si>
  <si>
    <t>90.2</t>
  </si>
  <si>
    <t>99</t>
  </si>
  <si>
    <t>148.1</t>
  </si>
  <si>
    <t>153.1</t>
  </si>
  <si>
    <t>163.6</t>
  </si>
  <si>
    <t>141.2</t>
  </si>
  <si>
    <t>166.8</t>
  </si>
  <si>
    <t>172.5</t>
  </si>
  <si>
    <t>181</t>
  </si>
  <si>
    <t>191</t>
  </si>
  <si>
    <t>203.6</t>
  </si>
  <si>
    <t>66.9</t>
  </si>
  <si>
    <t>68.1</t>
  </si>
  <si>
    <t>58.4</t>
  </si>
  <si>
    <t>294.2</t>
  </si>
  <si>
    <t>292</t>
  </si>
  <si>
    <t>336.8</t>
  </si>
  <si>
    <t>32.6</t>
  </si>
  <si>
    <t>394</t>
  </si>
  <si>
    <t>50</t>
  </si>
  <si>
    <t>2.35</t>
  </si>
  <si>
    <t>370.4</t>
  </si>
  <si>
    <t>269</t>
  </si>
  <si>
    <t>231.2</t>
  </si>
  <si>
    <t>126</t>
  </si>
  <si>
    <t>162.2</t>
  </si>
  <si>
    <t>14.4</t>
  </si>
  <si>
    <t>25.6</t>
  </si>
  <si>
    <t>45.9</t>
  </si>
  <si>
    <t>63.3</t>
  </si>
  <si>
    <t>78.2</t>
  </si>
  <si>
    <t>79.3</t>
  </si>
  <si>
    <t>84.4</t>
  </si>
  <si>
    <t>87.2</t>
  </si>
  <si>
    <t>94.3</t>
  </si>
  <si>
    <t>95.8</t>
  </si>
  <si>
    <t>98.8</t>
  </si>
  <si>
    <t>108.4</t>
  </si>
  <si>
    <t>113.2</t>
  </si>
  <si>
    <t>120.2</t>
  </si>
  <si>
    <t>129.4</t>
  </si>
  <si>
    <t>129.8</t>
  </si>
  <si>
    <t>135.2</t>
  </si>
  <si>
    <t>156</t>
  </si>
  <si>
    <t>156.5</t>
  </si>
  <si>
    <t>192.3</t>
  </si>
  <si>
    <t>121.4</t>
  </si>
  <si>
    <t>98.5</t>
  </si>
  <si>
    <t>237</t>
  </si>
  <si>
    <t>77</t>
  </si>
  <si>
    <t>64.1</t>
  </si>
  <si>
    <t>54.7</t>
  </si>
  <si>
    <t>50.6</t>
  </si>
  <si>
    <t>41.2</t>
  </si>
  <si>
    <t>40</t>
  </si>
  <si>
    <t>338.7</t>
  </si>
  <si>
    <t>31.2</t>
  </si>
  <si>
    <t>27.5</t>
  </si>
  <si>
    <t>22.4</t>
  </si>
  <si>
    <t>8.3</t>
  </si>
  <si>
    <t>5.5</t>
  </si>
  <si>
    <t>1.65238E+12</t>
  </si>
  <si>
    <t>262</t>
  </si>
  <si>
    <t>9.6</t>
  </si>
  <si>
    <t>145</t>
  </si>
  <si>
    <t>643</t>
  </si>
  <si>
    <t>47</t>
  </si>
  <si>
    <t>SPXW220624C03575000</t>
  </si>
  <si>
    <t>SPXW Jun 24 2022 $3575.00 Call</t>
  </si>
  <si>
    <t>3575</t>
  </si>
  <si>
    <t>SPXW220624C03630000</t>
  </si>
  <si>
    <t>SPXW Jun 24 2022 $3630.00 Call</t>
  </si>
  <si>
    <t>3630</t>
  </si>
  <si>
    <t>SPXW220624C03640000</t>
  </si>
  <si>
    <t>SPXW Jun 24 2022 $3640.00 Call</t>
  </si>
  <si>
    <t>3640</t>
  </si>
  <si>
    <t>SPXW220624C03660000</t>
  </si>
  <si>
    <t>SPXW Jun 24 2022 $3660.00 Call</t>
  </si>
  <si>
    <t>3660</t>
  </si>
  <si>
    <t>SPXW220624P03660000</t>
  </si>
  <si>
    <t>SPXW Jun 24 2022 $3660.00 Put</t>
  </si>
  <si>
    <t>SPXW220624C03670000</t>
  </si>
  <si>
    <t>SPXW Jun 24 2022 $3670.00 Call</t>
  </si>
  <si>
    <t>3670</t>
  </si>
  <si>
    <t>SPXW220624P03670000</t>
  </si>
  <si>
    <t>SPXW Jun 24 2022 $3670.00 Put</t>
  </si>
  <si>
    <t>236.6</t>
  </si>
  <si>
    <t>230</t>
  </si>
  <si>
    <t>218.1</t>
  </si>
  <si>
    <t>199.3</t>
  </si>
  <si>
    <t>187.3</t>
  </si>
  <si>
    <t>157.7</t>
  </si>
  <si>
    <t>113</t>
  </si>
  <si>
    <t>82.8</t>
  </si>
  <si>
    <t>300.8</t>
  </si>
  <si>
    <t>57</t>
  </si>
  <si>
    <t>379.2</t>
  </si>
  <si>
    <t>54</t>
  </si>
  <si>
    <t>411.9</t>
  </si>
  <si>
    <t>SPXW220624P04650000</t>
  </si>
  <si>
    <t>SPXW Jun 24 2022 $4650.00 Put</t>
  </si>
  <si>
    <t>4650</t>
  </si>
  <si>
    <t>SPXW220624C04650000</t>
  </si>
  <si>
    <t>SPXW Jun 24 2022 $4650.00 Call</t>
  </si>
  <si>
    <t>SPXW220624C04700000</t>
  </si>
  <si>
    <t>SPXW Jun 24 2022 $4700.00 Call</t>
  </si>
  <si>
    <t>4700</t>
  </si>
  <si>
    <t>0.7</t>
  </si>
  <si>
    <t>0.85</t>
  </si>
  <si>
    <t>SPXW220624P04700000</t>
  </si>
  <si>
    <t>SPXW Jun 24 2022 $4700.00 Put</t>
  </si>
  <si>
    <t>500</t>
  </si>
  <si>
    <t>1.65236E+12</t>
  </si>
  <si>
    <t>172</t>
  </si>
  <si>
    <t>1.65237E+12</t>
  </si>
  <si>
    <t>385</t>
  </si>
  <si>
    <t>1.3</t>
  </si>
  <si>
    <t>275</t>
  </si>
  <si>
    <t>337</t>
  </si>
  <si>
    <t>201</t>
  </si>
  <si>
    <t>1119</t>
  </si>
  <si>
    <t>17.74</t>
  </si>
  <si>
    <t>20.34</t>
  </si>
  <si>
    <t>105</t>
  </si>
  <si>
    <t>23.1</t>
  </si>
  <si>
    <t>24.21</t>
  </si>
  <si>
    <t>222</t>
  </si>
  <si>
    <t>31.1</t>
  </si>
  <si>
    <t>494</t>
  </si>
  <si>
    <t>1807</t>
  </si>
  <si>
    <t>SPXW220624P03575000</t>
  </si>
  <si>
    <t>SPXW Jun 24 2022 $3575.00 Put</t>
  </si>
  <si>
    <t>63.4</t>
  </si>
  <si>
    <t>64.55</t>
  </si>
  <si>
    <t>SPXW220624P03630000</t>
  </si>
  <si>
    <t>SPXW Jun 24 2022 $3630.00 Put</t>
  </si>
  <si>
    <t>74.9</t>
  </si>
  <si>
    <t>SPXW220624P03640000</t>
  </si>
  <si>
    <t>SPXW Jun 24 2022 $3640.00 Put</t>
  </si>
  <si>
    <t>2280</t>
  </si>
  <si>
    <t>70.7</t>
  </si>
  <si>
    <t>76.2</t>
  </si>
  <si>
    <t>4027</t>
  </si>
  <si>
    <t>78.6</t>
  </si>
  <si>
    <t>78.28</t>
  </si>
  <si>
    <t>107.5</t>
  </si>
  <si>
    <t>118.35</t>
  </si>
  <si>
    <t>9.5</t>
  </si>
  <si>
    <t>146.9</t>
  </si>
  <si>
    <t>178.3</t>
  </si>
  <si>
    <t>131.28</t>
  </si>
  <si>
    <t>155.3</t>
  </si>
  <si>
    <t>106.65</t>
  </si>
  <si>
    <t>206.96</t>
  </si>
  <si>
    <t>125.3</t>
  </si>
  <si>
    <t>201.58</t>
  </si>
  <si>
    <t>118.6</t>
  </si>
  <si>
    <t>97.22</t>
  </si>
  <si>
    <t>94.8</t>
  </si>
  <si>
    <t>93.07</t>
  </si>
  <si>
    <t>257</t>
  </si>
  <si>
    <t>77.25</t>
  </si>
  <si>
    <t>253.6</t>
  </si>
  <si>
    <t>69.6</t>
  </si>
  <si>
    <t>62.56</t>
  </si>
  <si>
    <t>72.53</t>
  </si>
  <si>
    <t>63.2</t>
  </si>
  <si>
    <t>267.46</t>
  </si>
  <si>
    <t>256.4</t>
  </si>
  <si>
    <t>47.7</t>
  </si>
  <si>
    <t>284.29</t>
  </si>
  <si>
    <t>42.41</t>
  </si>
  <si>
    <t>305.14</t>
  </si>
  <si>
    <t>356.5</t>
  </si>
  <si>
    <t>31.4</t>
  </si>
  <si>
    <t>319.71</t>
  </si>
  <si>
    <t>396.4</t>
  </si>
  <si>
    <t>24.4</t>
  </si>
  <si>
    <t>381.13</t>
  </si>
  <si>
    <t>20.15</t>
  </si>
  <si>
    <t>21.7</t>
  </si>
  <si>
    <t>1943</t>
  </si>
  <si>
    <t>300</t>
  </si>
  <si>
    <t>187</t>
  </si>
  <si>
    <t>1.95</t>
  </si>
  <si>
    <t>272</t>
  </si>
  <si>
    <t>iStrikes</t>
  </si>
  <si>
    <t>182</t>
  </si>
  <si>
    <t>313.8</t>
  </si>
  <si>
    <t>269.1</t>
  </si>
  <si>
    <t>209.2</t>
  </si>
  <si>
    <t>172.2</t>
  </si>
  <si>
    <t>168.1</t>
  </si>
  <si>
    <t>79.37</t>
  </si>
  <si>
    <t>54.5</t>
  </si>
  <si>
    <t>79.69</t>
  </si>
  <si>
    <t>184.7</t>
  </si>
  <si>
    <t>176.43</t>
  </si>
  <si>
    <t>141.22</t>
  </si>
  <si>
    <t>1.65239E+12</t>
  </si>
  <si>
    <t>299.8</t>
  </si>
  <si>
    <t>1.02</t>
  </si>
  <si>
    <t>178</t>
  </si>
  <si>
    <t>39.75</t>
  </si>
  <si>
    <t>6.29</t>
  </si>
  <si>
    <t>37.4</t>
  </si>
  <si>
    <t>1.51</t>
  </si>
  <si>
    <t>63.04</t>
  </si>
  <si>
    <t>22.08</t>
  </si>
  <si>
    <t>18.4</t>
  </si>
  <si>
    <t>14.1</t>
  </si>
  <si>
    <t>-1.28</t>
  </si>
  <si>
    <t>-8.33</t>
  </si>
  <si>
    <t>15.38</t>
  </si>
  <si>
    <t>0.92</t>
  </si>
  <si>
    <t>2.15</t>
  </si>
  <si>
    <t>2.85</t>
  </si>
  <si>
    <t>220</t>
  </si>
  <si>
    <t>9.7</t>
  </si>
  <si>
    <t>133</t>
  </si>
  <si>
    <t>14.19</t>
  </si>
  <si>
    <t>16.09</t>
  </si>
  <si>
    <t>127</t>
  </si>
  <si>
    <t>177</t>
  </si>
  <si>
    <t>28.94</t>
  </si>
  <si>
    <t>33.78</t>
  </si>
  <si>
    <t>40.38</t>
  </si>
  <si>
    <t>53.44</t>
  </si>
  <si>
    <t>78.17</t>
  </si>
  <si>
    <t>61.1</t>
  </si>
  <si>
    <t>85.29</t>
  </si>
  <si>
    <t>88.04</t>
  </si>
  <si>
    <t>89.06</t>
  </si>
  <si>
    <t>105.37</t>
  </si>
  <si>
    <t>76.4</t>
  </si>
  <si>
    <t>108.47</t>
  </si>
  <si>
    <t>77.4</t>
  </si>
  <si>
    <t>126.15</t>
  </si>
  <si>
    <t>85.5</t>
  </si>
  <si>
    <t>88.4</t>
  </si>
  <si>
    <t>130.44</t>
  </si>
  <si>
    <t>97.4</t>
  </si>
  <si>
    <t>118.2</t>
  </si>
  <si>
    <t>100.6</t>
  </si>
  <si>
    <t>139</t>
  </si>
  <si>
    <t>160.53</t>
  </si>
  <si>
    <t>117.7</t>
  </si>
  <si>
    <t>161.1</t>
  </si>
  <si>
    <t>155.6</t>
  </si>
  <si>
    <t>145.4</t>
  </si>
  <si>
    <t>154.4</t>
  </si>
  <si>
    <t>176.8</t>
  </si>
  <si>
    <t>162.3</t>
  </si>
  <si>
    <t>197.57</t>
  </si>
  <si>
    <t>117.23</t>
  </si>
  <si>
    <t>145.5</t>
  </si>
  <si>
    <t>127.8</t>
  </si>
  <si>
    <t>178.7</t>
  </si>
  <si>
    <t>112.9</t>
  </si>
  <si>
    <t>250.69</t>
  </si>
  <si>
    <t>216.8</t>
  </si>
  <si>
    <t>283.71</t>
  </si>
  <si>
    <t>50.49</t>
  </si>
  <si>
    <t>41.12</t>
  </si>
  <si>
    <t>58.1</t>
  </si>
  <si>
    <t>53.6</t>
  </si>
  <si>
    <t>34.74</t>
  </si>
  <si>
    <t>36.95</t>
  </si>
  <si>
    <t>33.1</t>
  </si>
  <si>
    <t>26.68</t>
  </si>
  <si>
    <t>322</t>
  </si>
  <si>
    <t>29.79</t>
  </si>
  <si>
    <t>23.82</t>
  </si>
  <si>
    <t>19.7</t>
  </si>
  <si>
    <t>405</t>
  </si>
  <si>
    <t>6.75</t>
  </si>
  <si>
    <t>4.06</t>
  </si>
  <si>
    <t>59.5</t>
  </si>
  <si>
    <t>297.2</t>
  </si>
  <si>
    <t>172.7</t>
  </si>
  <si>
    <t>44.1</t>
  </si>
  <si>
    <t>184.8</t>
  </si>
  <si>
    <t>87</t>
  </si>
  <si>
    <t>9.2</t>
  </si>
  <si>
    <t>70.6</t>
  </si>
  <si>
    <t>98.2</t>
  </si>
  <si>
    <t>220.9</t>
  </si>
  <si>
    <t>121.8</t>
  </si>
  <si>
    <t>102.6</t>
  </si>
  <si>
    <t>266.4</t>
  </si>
  <si>
    <t>280</t>
  </si>
  <si>
    <t>35.8</t>
  </si>
  <si>
    <t>339</t>
  </si>
  <si>
    <t>26.4</t>
  </si>
  <si>
    <t>22.9</t>
  </si>
  <si>
    <t>198</t>
  </si>
  <si>
    <t>1.65243E+12</t>
  </si>
  <si>
    <t>252.2</t>
  </si>
  <si>
    <t>1.6</t>
  </si>
  <si>
    <t>313</t>
  </si>
  <si>
    <t>12.5</t>
  </si>
  <si>
    <t>311</t>
  </si>
  <si>
    <t>319</t>
  </si>
  <si>
    <t>44.9</t>
  </si>
  <si>
    <t>258</t>
  </si>
  <si>
    <t>48.7</t>
  </si>
  <si>
    <t>80.3</t>
  </si>
  <si>
    <t>83.3</t>
  </si>
  <si>
    <t>167.1</t>
  </si>
  <si>
    <t>174</t>
  </si>
  <si>
    <t>282.9</t>
  </si>
  <si>
    <t>350.6</t>
  </si>
  <si>
    <t>188</t>
  </si>
  <si>
    <t>366.8</t>
  </si>
  <si>
    <t>320.5</t>
  </si>
  <si>
    <t>50.8</t>
  </si>
  <si>
    <t>51.6</t>
  </si>
  <si>
    <t>40.4</t>
  </si>
  <si>
    <t>19.1</t>
  </si>
  <si>
    <t>192</t>
  </si>
  <si>
    <t>6.8</t>
  </si>
  <si>
    <t>327</t>
  </si>
  <si>
    <t>4.8</t>
  </si>
  <si>
    <t>344</t>
  </si>
  <si>
    <t>376</t>
  </si>
  <si>
    <t>207</t>
  </si>
  <si>
    <t>297</t>
  </si>
  <si>
    <t>106</t>
  </si>
  <si>
    <t>391</t>
  </si>
  <si>
    <t>37.8</t>
  </si>
  <si>
    <t>386.8</t>
  </si>
  <si>
    <t>4.5</t>
  </si>
  <si>
    <t>26.5</t>
  </si>
  <si>
    <t>28.4</t>
  </si>
  <si>
    <t>42.2</t>
  </si>
  <si>
    <t>53.4</t>
  </si>
  <si>
    <t>399</t>
  </si>
  <si>
    <t>75.4</t>
  </si>
  <si>
    <t>65.5</t>
  </si>
  <si>
    <t>328</t>
  </si>
  <si>
    <t>125.1</t>
  </si>
  <si>
    <t>74.3</t>
  </si>
  <si>
    <t>34.8</t>
  </si>
  <si>
    <t>352.6</t>
  </si>
  <si>
    <t>277</t>
  </si>
  <si>
    <t>334</t>
  </si>
  <si>
    <t>352</t>
  </si>
  <si>
    <t>348</t>
  </si>
  <si>
    <t>636.2</t>
  </si>
  <si>
    <t>627</t>
  </si>
  <si>
    <t>188.6</t>
  </si>
  <si>
    <t>175.8</t>
  </si>
  <si>
    <t>249.2</t>
  </si>
  <si>
    <t>198.6</t>
  </si>
  <si>
    <t>319.4</t>
  </si>
  <si>
    <t>149.9</t>
  </si>
  <si>
    <t>173.2</t>
  </si>
  <si>
    <t>174.5</t>
  </si>
  <si>
    <t>295</t>
  </si>
  <si>
    <t>16.8</t>
  </si>
  <si>
    <t>123.9</t>
  </si>
  <si>
    <t>119.3</t>
  </si>
  <si>
    <t>242.7</t>
  </si>
  <si>
    <t>238.3</t>
  </si>
  <si>
    <t>245.2</t>
  </si>
  <si>
    <t>48.2</t>
  </si>
  <si>
    <t>86.2</t>
  </si>
  <si>
    <t>124.3</t>
  </si>
  <si>
    <t>309</t>
  </si>
  <si>
    <t>305.3</t>
  </si>
  <si>
    <t>332.2</t>
  </si>
  <si>
    <t>608</t>
  </si>
  <si>
    <t>530.3</t>
  </si>
  <si>
    <t>197.3</t>
  </si>
  <si>
    <t>150.9</t>
  </si>
  <si>
    <t>1269.4</t>
  </si>
  <si>
    <t>276.5</t>
  </si>
  <si>
    <t>228.2</t>
  </si>
  <si>
    <t>1071.9</t>
  </si>
  <si>
    <t>2763.2</t>
  </si>
  <si>
    <t>2770.7</t>
  </si>
  <si>
    <t>2563.6</t>
  </si>
  <si>
    <t>2571</t>
  </si>
  <si>
    <t>2364</t>
  </si>
  <si>
    <t>2371.5</t>
  </si>
  <si>
    <t>1965.2</t>
  </si>
  <si>
    <t>1972.5</t>
  </si>
  <si>
    <t>1766</t>
  </si>
  <si>
    <t>1773.3</t>
  </si>
  <si>
    <t>1567.1</t>
  </si>
  <si>
    <t>1574.3</t>
  </si>
  <si>
    <t>1368.5</t>
  </si>
  <si>
    <t>1375.7</t>
  </si>
  <si>
    <t>1276.5</t>
  </si>
  <si>
    <t>1170.5</t>
  </si>
  <si>
    <t>1177.6</t>
  </si>
  <si>
    <t>1121.2</t>
  </si>
  <si>
    <t>1128.2</t>
  </si>
  <si>
    <t>1078.9</t>
  </si>
  <si>
    <t>1022.7</t>
  </si>
  <si>
    <t>1029.7</t>
  </si>
  <si>
    <t>973.6</t>
  </si>
  <si>
    <t>980.6</t>
  </si>
  <si>
    <t>924.7</t>
  </si>
  <si>
    <t>931.6</t>
  </si>
  <si>
    <t>875.9</t>
  </si>
  <si>
    <t>882.8</t>
  </si>
  <si>
    <t>827.3</t>
  </si>
  <si>
    <t>834.2</t>
  </si>
  <si>
    <t>779</t>
  </si>
  <si>
    <t>785.9</t>
  </si>
  <si>
    <t>731</t>
  </si>
  <si>
    <t>737.8</t>
  </si>
  <si>
    <t>683.3</t>
  </si>
  <si>
    <t>690.1</t>
  </si>
  <si>
    <t>589.6</t>
  </si>
  <si>
    <t>596.4</t>
  </si>
  <si>
    <t>543.8</t>
  </si>
  <si>
    <t>550.5</t>
  </si>
  <si>
    <t>498.8</t>
  </si>
  <si>
    <t>505.5</t>
  </si>
  <si>
    <t>454.8</t>
  </si>
  <si>
    <t>461.4</t>
  </si>
  <si>
    <t>433.2</t>
  </si>
  <si>
    <t>439.8</t>
  </si>
  <si>
    <t>418.4</t>
  </si>
  <si>
    <t>397.5</t>
  </si>
  <si>
    <t>393.3</t>
  </si>
  <si>
    <t>378.6</t>
  </si>
  <si>
    <t>376.8</t>
  </si>
  <si>
    <t>362.3</t>
  </si>
  <si>
    <t>368.7</t>
  </si>
  <si>
    <t>354.2</t>
  </si>
  <si>
    <t>360.6</t>
  </si>
  <si>
    <t>350.2</t>
  </si>
  <si>
    <t>356.6</t>
  </si>
  <si>
    <t>346.2</t>
  </si>
  <si>
    <t>344.7</t>
  </si>
  <si>
    <t>330.4</t>
  </si>
  <si>
    <t>321.2</t>
  </si>
  <si>
    <t>317.4</t>
  </si>
  <si>
    <t>306.2</t>
  </si>
  <si>
    <t>292.1</t>
  </si>
  <si>
    <t>298.4</t>
  </si>
  <si>
    <t>284.8</t>
  </si>
  <si>
    <t>277.2</t>
  </si>
  <si>
    <t>273.6</t>
  </si>
  <si>
    <t>279.8</t>
  </si>
  <si>
    <t>259.2</t>
  </si>
  <si>
    <t>223.4</t>
  </si>
  <si>
    <t>203.7</t>
  </si>
  <si>
    <t>205</t>
  </si>
  <si>
    <t>290.6</t>
  </si>
  <si>
    <t>297.9</t>
  </si>
  <si>
    <t>304.5</t>
  </si>
  <si>
    <t>328.3</t>
  </si>
  <si>
    <t>334.8</t>
  </si>
  <si>
    <t>336.1</t>
  </si>
  <si>
    <t>372.6</t>
  </si>
  <si>
    <t>483.2</t>
  </si>
  <si>
    <t>490.1</t>
  </si>
  <si>
    <t>537.2</t>
  </si>
  <si>
    <t>634</t>
  </si>
  <si>
    <t>676.1</t>
  </si>
  <si>
    <t>683.1</t>
  </si>
  <si>
    <t>725.5</t>
  </si>
  <si>
    <t>732.5</t>
  </si>
  <si>
    <t>824.9</t>
  </si>
  <si>
    <t>831.9</t>
  </si>
  <si>
    <t>1024.2</t>
  </si>
  <si>
    <t>1031.2</t>
  </si>
  <si>
    <t>1223.7</t>
  </si>
  <si>
    <t>1230.8</t>
  </si>
  <si>
    <t>1423.4</t>
  </si>
  <si>
    <t>1430.5</t>
  </si>
  <si>
    <t>51.5</t>
  </si>
  <si>
    <t>250.9</t>
  </si>
  <si>
    <t>243.9</t>
  </si>
  <si>
    <t>211.5</t>
  </si>
  <si>
    <t>186.1</t>
  </si>
  <si>
    <t>192.6</t>
  </si>
  <si>
    <t>193.9</t>
  </si>
  <si>
    <t>290.1</t>
  </si>
  <si>
    <t>60.4</t>
  </si>
  <si>
    <t>61.2</t>
  </si>
  <si>
    <t>2164.5</t>
  </si>
  <si>
    <t>2171.9</t>
  </si>
  <si>
    <t>315</t>
  </si>
  <si>
    <t>12.1</t>
  </si>
  <si>
    <t>19.5</t>
  </si>
  <si>
    <t>37.1</t>
  </si>
  <si>
    <t>57.4</t>
  </si>
  <si>
    <t>64.7</t>
  </si>
  <si>
    <t>71.4</t>
  </si>
  <si>
    <t>94.7</t>
  </si>
  <si>
    <t>231.5</t>
  </si>
  <si>
    <t>114.1</t>
  </si>
  <si>
    <t>116.5</t>
  </si>
  <si>
    <t>175.7</t>
  </si>
  <si>
    <t>137.1</t>
  </si>
  <si>
    <t>144.3</t>
  </si>
  <si>
    <t>148.6</t>
  </si>
  <si>
    <t>152.1</t>
  </si>
  <si>
    <t>144.1</t>
  </si>
  <si>
    <t>154.3</t>
  </si>
  <si>
    <t>138.7</t>
  </si>
  <si>
    <t>133.4</t>
  </si>
  <si>
    <t>118.1</t>
  </si>
  <si>
    <t>182.1</t>
  </si>
  <si>
    <t>183.4</t>
  </si>
  <si>
    <t>109.6</t>
  </si>
  <si>
    <t>99.2</t>
  </si>
  <si>
    <t>100.4</t>
  </si>
  <si>
    <t>202.1</t>
  </si>
  <si>
    <t>90.4</t>
  </si>
  <si>
    <t>87.4</t>
  </si>
  <si>
    <t>222.2</t>
  </si>
  <si>
    <t>230.1</t>
  </si>
  <si>
    <t>71.7</t>
  </si>
  <si>
    <t>242.9</t>
  </si>
  <si>
    <t>249.3</t>
  </si>
  <si>
    <t>255.8</t>
  </si>
  <si>
    <t>262.5</t>
  </si>
  <si>
    <t>269.2</t>
  </si>
  <si>
    <t>56.8</t>
  </si>
  <si>
    <t>57.9</t>
  </si>
  <si>
    <t>275.8</t>
  </si>
  <si>
    <t>276.3</t>
  </si>
  <si>
    <t>311.9</t>
  </si>
  <si>
    <t>312.9</t>
  </si>
  <si>
    <t>32.5</t>
  </si>
  <si>
    <t>30.5</t>
  </si>
  <si>
    <t>358.6</t>
  </si>
  <si>
    <t>360.2</t>
  </si>
  <si>
    <t>22.2</t>
  </si>
  <si>
    <t>393.7</t>
  </si>
  <si>
    <t>400.4</t>
  </si>
  <si>
    <t>437.6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</si>
</sst>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_ ;[Red]\-0.00\ "/>
    <numFmt numFmtId="165" formatCode="0.0000_ ;[Red]\-0.0000\ "/>
    <numFmt numFmtId="167" formatCode="0.000%"/>
    <numFmt numFmtId="168" formatCode="0.0000%"/>
    <numFmt numFmtId="170" formatCode="0.000_ ;[Red]\-0.000\ 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/>
    <xf numFmtId="0" fontId="0" fillId="0" borderId="0" xfId="0" applyNumberFormat="1"/>
    <xf numFmtId="9" fontId="0" fillId="0" borderId="0" xfId="1" applyFont="1"/>
    <xf numFmtId="164" fontId="0" fillId="0" borderId="0" xfId="0" applyNumberFormat="1"/>
    <xf numFmtId="165" fontId="0" fillId="0" borderId="0" xfId="0" applyNumberFormat="1"/>
    <xf numFmtId="0" fontId="5" fillId="0" borderId="6" xfId="0" applyFont="1" applyBorder="1"/>
    <xf numFmtId="0" fontId="9" fillId="0" borderId="8" xfId="0" applyFont="1" applyBorder="1"/>
    <xf numFmtId="0" fontId="9" fillId="0" borderId="10" xfId="0" applyFont="1" applyBorder="1"/>
    <xf numFmtId="0" fontId="5" fillId="2" borderId="6" xfId="0" applyFont="1" applyFill="1" applyBorder="1"/>
    <xf numFmtId="22" fontId="5" fillId="2" borderId="7" xfId="0" applyNumberFormat="1" applyFont="1" applyFill="1" applyBorder="1"/>
    <xf numFmtId="22" fontId="9" fillId="0" borderId="9" xfId="0" applyNumberFormat="1" applyFont="1" applyBorder="1"/>
    <xf numFmtId="0" fontId="9" fillId="0" borderId="1" xfId="0" applyFont="1" applyBorder="1"/>
    <xf numFmtId="0" fontId="4" fillId="0" borderId="0" xfId="0" applyFont="1"/>
    <xf numFmtId="0" fontId="8" fillId="3" borderId="0" xfId="0" applyFont="1" applyFill="1"/>
    <xf numFmtId="14" fontId="4" fillId="4" borderId="0" xfId="0" applyNumberFormat="1" applyFont="1" applyFill="1" applyAlignment="1">
      <alignment horizontal="right"/>
    </xf>
    <xf numFmtId="0" fontId="4" fillId="4" borderId="0" xfId="0" applyFont="1" applyFill="1" applyAlignment="1">
      <alignment horizontal="right"/>
    </xf>
    <xf numFmtId="9" fontId="4" fillId="4" borderId="0" xfId="1" applyFont="1" applyFill="1" applyAlignment="1">
      <alignment horizontal="right"/>
    </xf>
    <xf numFmtId="0" fontId="5" fillId="0" borderId="13" xfId="0" applyFont="1" applyBorder="1"/>
    <xf numFmtId="0" fontId="9" fillId="5" borderId="6" xfId="0" applyFont="1" applyFill="1" applyBorder="1"/>
    <xf numFmtId="0" fontId="9" fillId="5" borderId="10" xfId="0" applyFont="1" applyFill="1" applyBorder="1"/>
    <xf numFmtId="0" fontId="9" fillId="5" borderId="11" xfId="0" applyFont="1" applyFill="1" applyBorder="1"/>
    <xf numFmtId="0" fontId="4" fillId="5" borderId="2" xfId="0" applyFont="1" applyFill="1" applyBorder="1"/>
    <xf numFmtId="0" fontId="4" fillId="5" borderId="0" xfId="0" applyNumberFormat="1" applyFont="1" applyFill="1" applyBorder="1"/>
    <xf numFmtId="0" fontId="4" fillId="5" borderId="3" xfId="0" applyFont="1" applyFill="1" applyBorder="1"/>
    <xf numFmtId="0" fontId="4" fillId="5" borderId="4" xfId="0" applyFont="1" applyFill="1" applyBorder="1"/>
    <xf numFmtId="0" fontId="4" fillId="5" borderId="12" xfId="0" applyFont="1" applyFill="1" applyBorder="1"/>
    <xf numFmtId="0" fontId="4" fillId="5" borderId="5" xfId="0" applyFont="1" applyFill="1" applyBorder="1"/>
    <xf numFmtId="0" fontId="8" fillId="4" borderId="0" xfId="0" applyFont="1" applyFill="1" applyAlignment="1">
      <alignment horizontal="left"/>
    </xf>
    <xf numFmtId="0" fontId="8" fillId="4" borderId="0" xfId="0" applyFont="1" applyFill="1" applyAlignment="1">
      <alignment horizontal="right"/>
    </xf>
    <xf numFmtId="22" fontId="9" fillId="0" borderId="11" xfId="0" applyNumberFormat="1" applyFont="1" applyBorder="1"/>
    <xf numFmtId="0" fontId="9" fillId="5" borderId="7" xfId="0" applyFont="1" applyFill="1" applyBorder="1" applyAlignment="1">
      <alignment horizontal="right"/>
    </xf>
    <xf numFmtId="0" fontId="9" fillId="0" borderId="14" xfId="0" applyFont="1" applyBorder="1"/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22" fontId="0" fillId="0" borderId="0" xfId="0" applyNumberFormat="1"/>
    <xf numFmtId="0" fontId="0" fillId="5" borderId="0" xfId="0" applyFill="1"/>
    <xf numFmtId="0" fontId="5" fillId="5" borderId="7" xfId="0" applyFont="1" applyFill="1" applyBorder="1"/>
    <xf numFmtId="0" fontId="3" fillId="6" borderId="0" xfId="0" applyFont="1" applyFill="1"/>
    <xf numFmtId="0" fontId="0" fillId="0" borderId="0" xfId="0" applyFill="1"/>
    <xf numFmtId="0" fontId="11" fillId="7" borderId="15" xfId="0" applyFont="1" applyFill="1" applyBorder="1"/>
    <xf numFmtId="0" fontId="0" fillId="8" borderId="16" xfId="0" applyFont="1" applyFill="1" applyBorder="1"/>
    <xf numFmtId="0" fontId="0" fillId="9" borderId="16" xfId="0" applyFont="1" applyFill="1" applyBorder="1"/>
    <xf numFmtId="0" fontId="11" fillId="7" borderId="17" xfId="0" applyFont="1" applyFill="1" applyBorder="1"/>
    <xf numFmtId="0" fontId="2" fillId="0" borderId="0" xfId="0" applyFont="1"/>
    <xf numFmtId="0" fontId="2" fillId="0" borderId="0" xfId="0" applyFont="1" applyFill="1"/>
    <xf numFmtId="0" fontId="0" fillId="8" borderId="16" xfId="0" applyNumberFormat="1" applyFont="1" applyFill="1" applyBorder="1"/>
    <xf numFmtId="0" fontId="0" fillId="8" borderId="18" xfId="0" applyNumberFormat="1" applyFont="1" applyFill="1" applyBorder="1"/>
    <xf numFmtId="0" fontId="0" fillId="9" borderId="16" xfId="0" applyNumberFormat="1" applyFont="1" applyFill="1" applyBorder="1"/>
    <xf numFmtId="0" fontId="0" fillId="9" borderId="18" xfId="0" applyNumberFormat="1" applyFont="1" applyFill="1" applyBorder="1"/>
    <xf numFmtId="0" fontId="11" fillId="7" borderId="0" xfId="0" applyFont="1" applyFill="1" applyBorder="1"/>
    <xf numFmtId="0" fontId="0" fillId="8" borderId="0" xfId="0" applyNumberFormat="1" applyFont="1" applyFill="1" applyBorder="1"/>
    <xf numFmtId="0" fontId="0" fillId="9" borderId="0" xfId="0" applyNumberFormat="1" applyFont="1" applyFill="1" applyBorder="1"/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68" fontId="0" fillId="0" borderId="0" xfId="1" applyNumberFormat="1" applyFont="1"/>
    <xf numFmtId="170" fontId="0" fillId="0" borderId="0" xfId="0" applyNumberFormat="1"/>
    <xf numFmtId="0" fontId="8" fillId="0" borderId="0" xfId="0" applyFont="1"/>
    <xf numFmtId="164" fontId="1" fillId="0" borderId="0" xfId="0" applyNumberFormat="1" applyFont="1"/>
    <xf numFmtId="0" fontId="1" fillId="0" borderId="0" xfId="0" applyFont="1"/>
    <xf numFmtId="165" fontId="1" fillId="0" borderId="0" xfId="0" applyNumberFormat="1" applyFont="1"/>
    <xf numFmtId="167" fontId="1" fillId="0" borderId="0" xfId="1" applyNumberFormat="1" applyFont="1"/>
  </cellXfs>
  <cellStyles count="2">
    <cellStyle name="Normal" xfId="0" builtinId="0"/>
    <cellStyle name="Percent" xfId="1" builtinId="5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</xdr:row>
          <xdr:rowOff>7620</xdr:rowOff>
        </xdr:from>
        <xdr:to>
          <xdr:col>5</xdr:col>
          <xdr:colOff>800100</xdr:colOff>
          <xdr:row>3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Expiries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5</xdr:row>
          <xdr:rowOff>7620</xdr:rowOff>
        </xdr:from>
        <xdr:to>
          <xdr:col>5</xdr:col>
          <xdr:colOff>807720</xdr:colOff>
          <xdr:row>7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9</xdr:row>
          <xdr:rowOff>38100</xdr:rowOff>
        </xdr:from>
        <xdr:to>
          <xdr:col>5</xdr:col>
          <xdr:colOff>815340</xdr:colOff>
          <xdr:row>11</xdr:row>
          <xdr:rowOff>83820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Greeks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2596811-5347-4282-86C5-B91BB47BB0B9}" autoFormatId="16" applyNumberFormats="0" applyBorderFormats="0" applyFontFormats="0" applyPatternFormats="0" applyAlignmentFormats="0" applyWidthHeightFormats="0">
  <queryTableRefresh nextId="87" unboundColumnsRight="5">
    <queryTableFields count="39">
      <queryTableField id="35" name="Symbol" tableColumnId="35"/>
      <queryTableField id="36" name="Description" tableColumnId="36"/>
      <queryTableField id="40" name="Option Type" tableColumnId="38"/>
      <queryTableField id="80" name="Last Vol" tableColumnId="1"/>
      <queryTableField id="81" name="Avg Vol" tableColumnId="3"/>
      <queryTableField id="43" name="Strike" tableColumnId="39"/>
      <queryTableField id="50" name="Bid" tableColumnId="42"/>
      <queryTableField id="51" name="Ask" tableColumnId="43"/>
      <queryTableField id="44" name="Last" tableColumnId="40"/>
      <queryTableField id="52" name="Bidsize" tableColumnId="44"/>
      <queryTableField id="55" name="Asksize" tableColumnId="47"/>
      <queryTableField id="62" name="Expiry Date" tableColumnId="48"/>
      <queryTableField id="63" name="Open Interest" tableColumnId="49"/>
      <queryTableField id="4" name="Column1.type" tableColumnId="4"/>
      <queryTableField id="45" name="Exch" tableColumnId="41"/>
      <queryTableField id="6" name="Column1.change" tableColumnId="6"/>
      <queryTableField id="53" name="Volume" tableColumnId="45"/>
      <queryTableField id="8" name="Column1.open" tableColumnId="8"/>
      <queryTableField id="9" name="Column1.high" tableColumnId="9"/>
      <queryTableField id="10" name="Column1.low" tableColumnId="10"/>
      <queryTableField id="54" name="Close" tableColumnId="46"/>
      <queryTableField id="14" name="Column1.underlying" tableColumnId="14"/>
      <queryTableField id="16" name="Column1.change_percentage" tableColumnId="16"/>
      <queryTableField id="19" name="Column1.trade_date" tableColumnId="19"/>
      <queryTableField id="20" name="Column1.prevclose" tableColumnId="20"/>
      <queryTableField id="21" name="Column1.week_52_high" tableColumnId="21"/>
      <queryTableField id="22" name="Column1.week_52_low" tableColumnId="22"/>
      <queryTableField id="24" name="Column1.bidexch" tableColumnId="24"/>
      <queryTableField id="25" name="Column1.bid_date" tableColumnId="25"/>
      <queryTableField id="27" name="Column1.askexch" tableColumnId="27"/>
      <queryTableField id="28" name="Column1.ask_date" tableColumnId="28"/>
      <queryTableField id="39" name="Contract Size" tableColumnId="37"/>
      <queryTableField id="32" name="Column1.expiration_type" tableColumnId="32"/>
      <queryTableField id="34" name="Column1.root_symbol" tableColumnId="34"/>
      <queryTableField id="67" dataBound="0" tableColumnId="50"/>
      <queryTableField id="68" dataBound="0" tableColumnId="51"/>
      <queryTableField id="71" dataBound="0" tableColumnId="54"/>
      <queryTableField id="79" dataBound="0" tableColumnId="2"/>
      <queryTableField id="86" dataBound="0" tableColumnId="5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714DFB-C0F1-4EE6-BDBF-7FB175BEF30E}" name="data" displayName="data" ref="A1:AM245" tableType="queryTable" totalsRowShown="0">
  <autoFilter ref="A1:AM245" xr:uid="{5D714DFB-C0F1-4EE6-BDBF-7FB175BEF30E}"/>
  <tableColumns count="39">
    <tableColumn id="35" xr3:uid="{CEB9CE65-2162-4ED9-9016-CB2FCE641286}" uniqueName="35" name="Symbol" queryTableFieldId="35"/>
    <tableColumn id="36" xr3:uid="{2A7A8BE2-DA45-4A2C-B295-AEF0F791EB60}" uniqueName="36" name="Description" queryTableFieldId="36"/>
    <tableColumn id="38" xr3:uid="{A6370AE0-8F47-40D1-93E3-0EE6B0CE5E22}" uniqueName="38" name="Option Type" queryTableFieldId="40"/>
    <tableColumn id="1" xr3:uid="{BD9578C1-4095-4D67-8DAD-952DF1DF035E}" uniqueName="1" name="Last Vol" queryTableFieldId="80"/>
    <tableColumn id="3" xr3:uid="{4658F7EB-44B8-4424-AFDF-2CE499AD5309}" uniqueName="3" name="Avg Vol" queryTableFieldId="81"/>
    <tableColumn id="39" xr3:uid="{D8930245-CC01-4E0B-AF76-0A9C083B1450}" uniqueName="39" name="Strike" queryTableFieldId="43"/>
    <tableColumn id="42" xr3:uid="{B04D7747-3E36-4766-A7D1-8E718D9F62DE}" uniqueName="42" name="Bid" queryTableFieldId="50"/>
    <tableColumn id="43" xr3:uid="{33C3473D-4BB6-4D2D-9550-53AA22E4446E}" uniqueName="43" name="Ask" queryTableFieldId="51"/>
    <tableColumn id="40" xr3:uid="{2D6C5234-D164-463F-A322-80918A5761D3}" uniqueName="40" name="Last" queryTableFieldId="44"/>
    <tableColumn id="44" xr3:uid="{94FEA75E-C560-408E-8F96-C76A7FBAF3E9}" uniqueName="44" name="Bidsize" queryTableFieldId="52"/>
    <tableColumn id="47" xr3:uid="{8D21FA33-94CF-4DE7-B1C0-AA244EDAAD0C}" uniqueName="47" name="Asksize" queryTableFieldId="55"/>
    <tableColumn id="48" xr3:uid="{137735A9-C6CF-4CC1-A182-D79BBFBA8306}" uniqueName="48" name="Expiry Date" queryTableFieldId="62"/>
    <tableColumn id="49" xr3:uid="{5FB906FE-6776-4C82-9C2F-2B5CC68CBD15}" uniqueName="49" name="Open Interest" queryTableFieldId="63"/>
    <tableColumn id="4" xr3:uid="{BCF14F1F-7CE6-4782-BA55-C9A4E5278ACE}" uniqueName="4" name="Column1.type" queryTableFieldId="4"/>
    <tableColumn id="41" xr3:uid="{0DDDA443-81E6-46FB-BCD8-09F9AE99CC00}" uniqueName="41" name="Exch" queryTableFieldId="45"/>
    <tableColumn id="6" xr3:uid="{5DE19769-A645-4563-8158-FCF96DF1C459}" uniqueName="6" name="Column1.change" queryTableFieldId="6"/>
    <tableColumn id="45" xr3:uid="{A0AA97A7-B7C0-494D-9334-7B49D5B837E2}" uniqueName="45" name="Volume" queryTableFieldId="53"/>
    <tableColumn id="8" xr3:uid="{0307FD8C-DE81-4089-9FA7-C0B2E8A10627}" uniqueName="8" name="Column1.open" queryTableFieldId="8"/>
    <tableColumn id="9" xr3:uid="{D5773F86-F65A-4E2B-A369-32BF28760D5B}" uniqueName="9" name="Column1.high" queryTableFieldId="9"/>
    <tableColumn id="10" xr3:uid="{32BB9CC0-FF15-4E2B-B029-C14BF32311FF}" uniqueName="10" name="Column1.low" queryTableFieldId="10"/>
    <tableColumn id="46" xr3:uid="{139E0BD1-C28C-422D-BCC7-B4B6FCB6122E}" uniqueName="46" name="Close" queryTableFieldId="54"/>
    <tableColumn id="14" xr3:uid="{6777BF94-73C1-46AD-9EA9-C88A76241DDA}" uniqueName="14" name="Column1.underlying" queryTableFieldId="14"/>
    <tableColumn id="16" xr3:uid="{42D86354-6DA2-4AA0-8748-51167654AA1F}" uniqueName="16" name="Column1.change_percentage" queryTableFieldId="16"/>
    <tableColumn id="19" xr3:uid="{92B7F7F2-771B-4761-BE7C-914A57829C22}" uniqueName="19" name="Column1.trade_date" queryTableFieldId="19"/>
    <tableColumn id="20" xr3:uid="{A2D7700C-0C76-454F-A39E-9E719494EFCF}" uniqueName="20" name="Column1.prevclose" queryTableFieldId="20"/>
    <tableColumn id="21" xr3:uid="{B5F424F3-FDCA-4752-BB04-376A5B324655}" uniqueName="21" name="Column1.week_52_high" queryTableFieldId="21"/>
    <tableColumn id="22" xr3:uid="{4B2CEFF9-6C81-440A-B5E0-93F6A5DC21C9}" uniqueName="22" name="Column1.week_52_low" queryTableFieldId="22"/>
    <tableColumn id="24" xr3:uid="{8438ABF8-01C5-41D3-B398-302A0226F18B}" uniqueName="24" name="Column1.bidexch" queryTableFieldId="24"/>
    <tableColumn id="25" xr3:uid="{D1E6CB48-A3D7-4A08-ACD4-54EBFE97BA24}" uniqueName="25" name="Column1.bid_date" queryTableFieldId="25"/>
    <tableColumn id="27" xr3:uid="{45AD97A4-AE75-464B-92A7-1A9BD3551651}" uniqueName="27" name="Column1.askexch" queryTableFieldId="27"/>
    <tableColumn id="28" xr3:uid="{392A9F6B-367D-4ED5-A9A8-6511CC9C10A6}" uniqueName="28" name="Column1.ask_date" queryTableFieldId="28"/>
    <tableColumn id="37" xr3:uid="{2CCAFD98-2273-42CC-921A-FC883E2645E6}" uniqueName="37" name="Contract Size" queryTableFieldId="39"/>
    <tableColumn id="32" xr3:uid="{C6893056-D251-4D65-A873-65B02D77B78E}" uniqueName="32" name="Column1.expiration_type" queryTableFieldId="32"/>
    <tableColumn id="34" xr3:uid="{A2B7C5A9-7416-4CAE-915D-CDC21C766784}" uniqueName="34" name="Column1.root_symbol" queryTableFieldId="34"/>
    <tableColumn id="50" xr3:uid="{5E84EA49-26EF-42C1-BF5B-C63F59D58172}" uniqueName="50" name="Maturity ( Days)" queryTableFieldId="67" dataDxfId="4">
      <calculatedColumnFormula>data[[#This Row],[Expiry Date]]-TODAY()</calculatedColumnFormula>
    </tableColumn>
    <tableColumn id="51" xr3:uid="{A7699F0D-1C2B-42DE-8510-FFBF8497B00A}" uniqueName="51" name="T" queryTableFieldId="68" dataDxfId="3">
      <calculatedColumnFormula>data[[#This Row],[Maturity ( Days)]]/365</calculatedColumnFormula>
    </tableColumn>
    <tableColumn id="54" xr3:uid="{35D10E33-5168-4A14-8BEF-39DF3C5E3C94}" uniqueName="54" name="OptType" queryTableFieldId="71" dataDxfId="2">
      <calculatedColumnFormula>IF(data[[#This Row],[Option Type]]="put","p","c")</calculatedColumnFormula>
    </tableColumn>
    <tableColumn id="2" xr3:uid="{53295D80-BD76-4D8C-BB63-1F01BC598DC5}" uniqueName="2" name="Cnt Price" queryTableFieldId="79" dataDxfId="1">
      <calculatedColumnFormula>(data[[#This Row],[Bid]]*data[[#This Row],[Bidsize]]+data[[#This Row],[Ask]]*data[[#This Row],[Asksize]])/(data[[#This Row],[Bidsize]]+data[[#This Row],[Asksize]])</calculatedColumnFormula>
    </tableColumn>
    <tableColumn id="5" xr3:uid="{3EEE1337-FE84-4906-9D8B-8E44DCC2C451}" uniqueName="5" name="iStrikes" queryTableFieldId="86" dataDxfId="0">
      <calculatedColumnFormula>VALUE(data[[#This Row],[Strike]])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FAA6-1A7A-4CA6-8E33-0ED9DD1F8B6E}">
  <sheetPr codeName="Sheet3"/>
  <dimension ref="A1:O6"/>
  <sheetViews>
    <sheetView workbookViewId="0">
      <selection activeCell="B3" sqref="B3"/>
    </sheetView>
  </sheetViews>
  <sheetFormatPr defaultRowHeight="15.6" x14ac:dyDescent="0.3"/>
  <cols>
    <col min="1" max="1" width="12.19921875" customWidth="1"/>
  </cols>
  <sheetData>
    <row r="1" spans="1:15" x14ac:dyDescent="0.3">
      <c r="A1" s="3" t="s">
        <v>16</v>
      </c>
      <c r="K1" t="s">
        <v>46</v>
      </c>
      <c r="M1" t="s">
        <v>48</v>
      </c>
      <c r="O1" t="s">
        <v>15</v>
      </c>
    </row>
    <row r="2" spans="1:15" x14ac:dyDescent="0.3">
      <c r="A2" s="46" t="s">
        <v>23</v>
      </c>
      <c r="B2" s="47" t="s">
        <v>45</v>
      </c>
      <c r="K2" t="s">
        <v>47</v>
      </c>
      <c r="M2" t="s">
        <v>30</v>
      </c>
      <c r="O2" t="s">
        <v>49</v>
      </c>
    </row>
    <row r="3" spans="1:15" x14ac:dyDescent="0.3">
      <c r="A3" s="46" t="s">
        <v>24</v>
      </c>
      <c r="B3" s="46" t="s">
        <v>271</v>
      </c>
      <c r="K3" s="41" t="s">
        <v>45</v>
      </c>
      <c r="M3" t="s">
        <v>271</v>
      </c>
      <c r="O3" t="s">
        <v>50</v>
      </c>
    </row>
    <row r="4" spans="1:15" x14ac:dyDescent="0.3">
      <c r="O4" t="s">
        <v>25</v>
      </c>
    </row>
    <row r="5" spans="1:15" x14ac:dyDescent="0.3">
      <c r="A5" s="3" t="s">
        <v>167</v>
      </c>
      <c r="O5" t="s">
        <v>181</v>
      </c>
    </row>
    <row r="6" spans="1:15" x14ac:dyDescent="0.3">
      <c r="A6" s="15" t="s">
        <v>168</v>
      </c>
      <c r="B6" s="15" t="s">
        <v>223</v>
      </c>
    </row>
  </sheetData>
  <dataValidations count="2">
    <dataValidation type="list" allowBlank="1" showInputMessage="1" showErrorMessage="1" sqref="B2" xr:uid="{F361C60E-2318-4773-93E3-53FF351BFE0C}">
      <formula1>$K$2:$K$4</formula1>
    </dataValidation>
    <dataValidation type="list" allowBlank="1" showInputMessage="1" showErrorMessage="1" sqref="B3" xr:uid="{33BC3094-1CC8-4C0F-AE38-6BE555CDA8B8}">
      <formula1>$M$2:$M$3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7"/>
  <sheetViews>
    <sheetView workbookViewId="0">
      <selection activeCell="B3" sqref="B3"/>
    </sheetView>
  </sheetViews>
  <sheetFormatPr defaultColWidth="11" defaultRowHeight="15.6" x14ac:dyDescent="0.3"/>
  <cols>
    <col min="1" max="1" width="12.3984375" customWidth="1"/>
    <col min="2" max="2" width="11.796875" customWidth="1"/>
    <col min="3" max="3" width="18.09765625" bestFit="1" customWidth="1"/>
    <col min="9" max="9" width="12.296875" bestFit="1" customWidth="1"/>
    <col min="10" max="10" width="17.09765625" customWidth="1"/>
    <col min="12" max="12" width="16.59765625" customWidth="1"/>
    <col min="13" max="13" width="17.59765625" customWidth="1"/>
  </cols>
  <sheetData>
    <row r="1" spans="1:14" x14ac:dyDescent="0.3">
      <c r="A1" s="16" t="s">
        <v>22</v>
      </c>
      <c r="B1" s="17">
        <f>TODAY()</f>
        <v>44694</v>
      </c>
      <c r="C1" s="38"/>
      <c r="D1" s="38"/>
      <c r="E1" s="38"/>
      <c r="F1" s="38"/>
      <c r="G1" s="38"/>
      <c r="H1" s="38"/>
      <c r="I1" s="21" t="s">
        <v>224</v>
      </c>
      <c r="J1" s="33" t="s">
        <v>227</v>
      </c>
      <c r="K1" s="38"/>
      <c r="L1" s="55" t="s">
        <v>224</v>
      </c>
      <c r="M1" s="56"/>
      <c r="N1" s="38"/>
    </row>
    <row r="2" spans="1:14" ht="16.2" thickBot="1" x14ac:dyDescent="0.35">
      <c r="A2" s="16" t="s">
        <v>15</v>
      </c>
      <c r="B2" s="31" t="s">
        <v>49</v>
      </c>
      <c r="C2" s="38"/>
      <c r="D2" s="38"/>
      <c r="E2" s="38"/>
      <c r="F2" s="38"/>
      <c r="G2" s="38"/>
      <c r="H2" s="38"/>
      <c r="I2" s="22" t="s">
        <v>236</v>
      </c>
      <c r="J2" s="23">
        <v>3</v>
      </c>
      <c r="K2" s="38"/>
      <c r="L2" s="35" t="s">
        <v>225</v>
      </c>
      <c r="M2" s="36" t="s">
        <v>227</v>
      </c>
      <c r="N2" s="38"/>
    </row>
    <row r="3" spans="1:14" ht="16.2" thickBot="1" x14ac:dyDescent="0.35">
      <c r="A3" s="16" t="s">
        <v>52</v>
      </c>
      <c r="B3" s="31" t="s">
        <v>307</v>
      </c>
      <c r="C3" s="38"/>
      <c r="D3" s="38"/>
      <c r="E3" s="38"/>
      <c r="F3" s="38"/>
      <c r="G3" s="38"/>
      <c r="H3" s="38"/>
      <c r="K3" s="38"/>
      <c r="L3" s="34" t="s">
        <v>243</v>
      </c>
      <c r="M3" s="34" t="s">
        <v>243</v>
      </c>
      <c r="N3" s="38"/>
    </row>
    <row r="4" spans="1:14" x14ac:dyDescent="0.3">
      <c r="A4" s="16" t="s">
        <v>55</v>
      </c>
      <c r="B4" s="18">
        <f>IF(spotPrice(Static!$B$3,Details!B2,Static!$B$2)="",Details!C4,spotPrice(Static!$B$3,Details!B2,Static!$B$2))</f>
        <v>3930.08</v>
      </c>
      <c r="C4" s="40">
        <v>3990</v>
      </c>
      <c r="D4" s="38"/>
      <c r="E4" s="38"/>
      <c r="F4" s="38"/>
      <c r="G4" s="38"/>
      <c r="H4" s="38"/>
      <c r="I4" s="11" t="s">
        <v>218</v>
      </c>
      <c r="J4" s="12" t="s">
        <v>226</v>
      </c>
      <c r="K4" s="38"/>
      <c r="L4" s="14" t="s">
        <v>232</v>
      </c>
      <c r="M4" s="14" t="s">
        <v>232</v>
      </c>
      <c r="N4" s="38"/>
    </row>
    <row r="5" spans="1:14" x14ac:dyDescent="0.3">
      <c r="A5" s="16" t="s">
        <v>58</v>
      </c>
      <c r="B5" s="30" t="str">
        <f>optionChainFile(Static!B6,B3,B2,Static!B3,Static!B2)</f>
        <v>244 lines written 13/05/2022, 16:42:53</v>
      </c>
      <c r="C5" s="38"/>
      <c r="D5" s="38"/>
      <c r="E5" s="38"/>
      <c r="F5" s="38"/>
      <c r="G5" s="38"/>
      <c r="H5" s="38"/>
      <c r="I5" s="9" t="s">
        <v>219</v>
      </c>
      <c r="J5" s="13">
        <v>44694.59646990741</v>
      </c>
      <c r="K5" s="38"/>
      <c r="L5" s="14" t="s">
        <v>233</v>
      </c>
      <c r="M5" s="14" t="s">
        <v>231</v>
      </c>
      <c r="N5" s="38"/>
    </row>
    <row r="6" spans="1:14" x14ac:dyDescent="0.3">
      <c r="A6" s="16" t="s">
        <v>229</v>
      </c>
      <c r="B6" s="19">
        <v>0.02</v>
      </c>
      <c r="C6" s="38"/>
      <c r="D6" s="38"/>
      <c r="E6" s="38"/>
      <c r="F6" s="38"/>
      <c r="G6" s="38"/>
      <c r="H6" s="38"/>
      <c r="I6" s="9" t="s">
        <v>58</v>
      </c>
      <c r="J6" s="13">
        <v>44694.696446759262</v>
      </c>
      <c r="K6" s="38"/>
      <c r="L6" s="14" t="s">
        <v>228</v>
      </c>
      <c r="M6" s="14" t="s">
        <v>233</v>
      </c>
      <c r="N6" s="38"/>
    </row>
    <row r="7" spans="1:14" ht="16.2" thickBot="1" x14ac:dyDescent="0.35">
      <c r="A7" s="16" t="s">
        <v>179</v>
      </c>
      <c r="B7" s="19">
        <v>0.01</v>
      </c>
      <c r="C7" s="38"/>
      <c r="D7" s="38"/>
      <c r="E7" s="38"/>
      <c r="F7" s="38"/>
      <c r="G7" s="38"/>
      <c r="H7" s="38"/>
      <c r="I7" s="10" t="s">
        <v>39</v>
      </c>
      <c r="J7" s="32">
        <v>44694.696944444448</v>
      </c>
      <c r="K7" s="38"/>
      <c r="L7" s="14"/>
      <c r="M7" s="14" t="s">
        <v>234</v>
      </c>
      <c r="N7" s="38"/>
    </row>
    <row r="8" spans="1:14" ht="16.2" thickBot="1" x14ac:dyDescent="0.35">
      <c r="C8" s="38"/>
      <c r="D8" s="38"/>
      <c r="E8" s="38"/>
      <c r="F8" s="38"/>
      <c r="G8" s="38"/>
      <c r="H8" s="38"/>
      <c r="I8" s="38"/>
      <c r="J8" s="38"/>
      <c r="K8" s="38"/>
      <c r="L8" s="14"/>
      <c r="M8" s="14" t="s">
        <v>235</v>
      </c>
      <c r="N8" s="38"/>
    </row>
    <row r="9" spans="1:14" x14ac:dyDescent="0.3">
      <c r="A9" s="8" t="s">
        <v>219</v>
      </c>
      <c r="B9" s="20" t="s">
        <v>51</v>
      </c>
      <c r="C9" s="39" t="s">
        <v>53</v>
      </c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</row>
    <row r="10" spans="1:14" x14ac:dyDescent="0.3">
      <c r="A10" s="24" t="str">
        <f t="array" ref="A10:A56">TRANSPOSE(optionExpiries(Static!$B$3,$B$2,Static!$B$2))</f>
        <v>2022-05-13</v>
      </c>
      <c r="B10" s="25">
        <f>A10-$B$1</f>
        <v>0</v>
      </c>
      <c r="C10" s="26" t="str">
        <f>_xlfn.IFNA(A10  &amp; "  ("  &amp; B10  &amp; ")","")</f>
        <v>2022-05-13  (0)</v>
      </c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x14ac:dyDescent="0.3">
      <c r="A11" s="24" t="str">
        <v>2022-05-16</v>
      </c>
      <c r="B11" s="25">
        <f t="shared" ref="B11:B55" si="0">A11-$B$1</f>
        <v>3</v>
      </c>
      <c r="C11" s="26" t="str">
        <f t="shared" ref="C11:C56" si="1">_xlfn.IFNA(A11  &amp; "  ("  &amp; B11  &amp; ")","")</f>
        <v>2022-05-16  (3)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x14ac:dyDescent="0.3">
      <c r="A12" s="24" t="str">
        <v>2022-05-17</v>
      </c>
      <c r="B12" s="25">
        <f t="shared" si="0"/>
        <v>4</v>
      </c>
      <c r="C12" s="26" t="str">
        <f t="shared" si="1"/>
        <v>2022-05-17  (4)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</row>
    <row r="13" spans="1:14" x14ac:dyDescent="0.3">
      <c r="A13" s="24" t="str">
        <v>2022-05-18</v>
      </c>
      <c r="B13" s="25">
        <f t="shared" si="0"/>
        <v>5</v>
      </c>
      <c r="C13" s="26" t="str">
        <f t="shared" si="1"/>
        <v>2022-05-18  (5)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</row>
    <row r="14" spans="1:14" x14ac:dyDescent="0.3">
      <c r="A14" s="24" t="str">
        <v>2022-05-19</v>
      </c>
      <c r="B14" s="25">
        <f t="shared" si="0"/>
        <v>6</v>
      </c>
      <c r="C14" s="26" t="str">
        <f t="shared" si="1"/>
        <v>2022-05-19  (6)</v>
      </c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</row>
    <row r="15" spans="1:14" x14ac:dyDescent="0.3">
      <c r="A15" s="24" t="str">
        <v>2022-05-20</v>
      </c>
      <c r="B15" s="25">
        <f t="shared" si="0"/>
        <v>7</v>
      </c>
      <c r="C15" s="26" t="str">
        <f t="shared" si="1"/>
        <v>2022-05-20  (7)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</row>
    <row r="16" spans="1:14" x14ac:dyDescent="0.3">
      <c r="A16" s="24" t="str">
        <v>2022-05-23</v>
      </c>
      <c r="B16" s="25">
        <f t="shared" si="0"/>
        <v>10</v>
      </c>
      <c r="C16" s="26" t="str">
        <f t="shared" si="1"/>
        <v>2022-05-23  (10)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</row>
    <row r="17" spans="1:14" x14ac:dyDescent="0.3">
      <c r="A17" s="24" t="str">
        <v>2022-05-24</v>
      </c>
      <c r="B17" s="25">
        <f t="shared" si="0"/>
        <v>11</v>
      </c>
      <c r="C17" s="26" t="str">
        <f t="shared" si="1"/>
        <v>2022-05-24  (11)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</row>
    <row r="18" spans="1:14" x14ac:dyDescent="0.3">
      <c r="A18" s="24" t="str">
        <v>2022-05-25</v>
      </c>
      <c r="B18" s="25">
        <f t="shared" si="0"/>
        <v>12</v>
      </c>
      <c r="C18" s="26" t="str">
        <f t="shared" si="1"/>
        <v>2022-05-25  (12)</v>
      </c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</row>
    <row r="19" spans="1:14" x14ac:dyDescent="0.3">
      <c r="A19" s="24" t="str">
        <v>2022-05-26</v>
      </c>
      <c r="B19" s="25">
        <f t="shared" si="0"/>
        <v>13</v>
      </c>
      <c r="C19" s="26" t="str">
        <f t="shared" si="1"/>
        <v>2022-05-26  (13)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</row>
    <row r="20" spans="1:14" x14ac:dyDescent="0.3">
      <c r="A20" s="24" t="str">
        <v>2022-05-27</v>
      </c>
      <c r="B20" s="25">
        <f t="shared" si="0"/>
        <v>14</v>
      </c>
      <c r="C20" s="26" t="str">
        <f t="shared" si="1"/>
        <v>2022-05-27  (14)</v>
      </c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</row>
    <row r="21" spans="1:14" x14ac:dyDescent="0.3">
      <c r="A21" s="24" t="str">
        <v>2022-05-31</v>
      </c>
      <c r="B21" s="25">
        <f t="shared" si="0"/>
        <v>18</v>
      </c>
      <c r="C21" s="26" t="str">
        <f t="shared" si="1"/>
        <v>2022-05-31  (18)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</row>
    <row r="22" spans="1:14" x14ac:dyDescent="0.3">
      <c r="A22" s="24" t="str">
        <v>2022-06-01</v>
      </c>
      <c r="B22" s="25">
        <f t="shared" si="0"/>
        <v>19</v>
      </c>
      <c r="C22" s="26" t="str">
        <f t="shared" si="1"/>
        <v>2022-06-01  (19)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</row>
    <row r="23" spans="1:14" x14ac:dyDescent="0.3">
      <c r="A23" s="24" t="str">
        <v>2022-06-03</v>
      </c>
      <c r="B23" s="25">
        <f t="shared" si="0"/>
        <v>21</v>
      </c>
      <c r="C23" s="26" t="str">
        <f t="shared" si="1"/>
        <v>2022-06-03  (21)</v>
      </c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</row>
    <row r="24" spans="1:14" x14ac:dyDescent="0.3">
      <c r="A24" s="24" t="str">
        <v>2022-06-06</v>
      </c>
      <c r="B24" s="25">
        <f t="shared" si="0"/>
        <v>24</v>
      </c>
      <c r="C24" s="26" t="str">
        <f t="shared" si="1"/>
        <v>2022-06-06  (24)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1:14" x14ac:dyDescent="0.3">
      <c r="A25" s="24" t="str">
        <v>2022-06-08</v>
      </c>
      <c r="B25" s="25">
        <f t="shared" si="0"/>
        <v>26</v>
      </c>
      <c r="C25" s="26" t="str">
        <f t="shared" si="1"/>
        <v>2022-06-08  (26)</v>
      </c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</row>
    <row r="26" spans="1:14" x14ac:dyDescent="0.3">
      <c r="A26" s="24" t="str">
        <v>2022-06-10</v>
      </c>
      <c r="B26" s="25">
        <f t="shared" si="0"/>
        <v>28</v>
      </c>
      <c r="C26" s="26" t="str">
        <f t="shared" si="1"/>
        <v>2022-06-10  (28)</v>
      </c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</row>
    <row r="27" spans="1:14" x14ac:dyDescent="0.3">
      <c r="A27" s="24" t="str">
        <v>2022-06-17</v>
      </c>
      <c r="B27" s="25">
        <f t="shared" si="0"/>
        <v>35</v>
      </c>
      <c r="C27" s="26" t="str">
        <f t="shared" si="1"/>
        <v>2022-06-17  (35)</v>
      </c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</row>
    <row r="28" spans="1:14" x14ac:dyDescent="0.3">
      <c r="A28" s="24" t="str">
        <v>2022-06-24</v>
      </c>
      <c r="B28" s="25">
        <f t="shared" si="0"/>
        <v>42</v>
      </c>
      <c r="C28" s="26" t="str">
        <f t="shared" si="1"/>
        <v>2022-06-24  (42)</v>
      </c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</row>
    <row r="29" spans="1:14" x14ac:dyDescent="0.3">
      <c r="A29" s="24" t="str">
        <v>2022-06-30</v>
      </c>
      <c r="B29" s="25">
        <f t="shared" si="0"/>
        <v>48</v>
      </c>
      <c r="C29" s="26" t="str">
        <f t="shared" si="1"/>
        <v>2022-06-30  (48)</v>
      </c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</row>
    <row r="30" spans="1:14" x14ac:dyDescent="0.3">
      <c r="A30" s="24" t="str">
        <v>2022-07-01</v>
      </c>
      <c r="B30" s="25">
        <f t="shared" si="0"/>
        <v>49</v>
      </c>
      <c r="C30" s="26" t="str">
        <f t="shared" si="1"/>
        <v>2022-07-01  (49)</v>
      </c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</row>
    <row r="31" spans="1:14" x14ac:dyDescent="0.3">
      <c r="A31" s="24" t="str">
        <v>2022-07-15</v>
      </c>
      <c r="B31" s="25">
        <f t="shared" si="0"/>
        <v>63</v>
      </c>
      <c r="C31" s="26" t="str">
        <f t="shared" si="1"/>
        <v>2022-07-15  (63)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</row>
    <row r="32" spans="1:14" x14ac:dyDescent="0.3">
      <c r="A32" s="24" t="str">
        <v>2022-07-29</v>
      </c>
      <c r="B32" s="25">
        <f t="shared" si="0"/>
        <v>77</v>
      </c>
      <c r="C32" s="26" t="str">
        <f t="shared" si="1"/>
        <v>2022-07-29  (77)</v>
      </c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</row>
    <row r="33" spans="1:14" x14ac:dyDescent="0.3">
      <c r="A33" s="24" t="str">
        <v>2022-08-19</v>
      </c>
      <c r="B33" s="25">
        <f t="shared" si="0"/>
        <v>98</v>
      </c>
      <c r="C33" s="26" t="str">
        <f t="shared" si="1"/>
        <v>2022-08-19  (98)</v>
      </c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</row>
    <row r="34" spans="1:14" x14ac:dyDescent="0.3">
      <c r="A34" s="24" t="str">
        <v>2022-08-31</v>
      </c>
      <c r="B34" s="25">
        <f t="shared" si="0"/>
        <v>110</v>
      </c>
      <c r="C34" s="26" t="str">
        <f t="shared" si="1"/>
        <v>2022-08-31  (110)</v>
      </c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</row>
    <row r="35" spans="1:14" x14ac:dyDescent="0.3">
      <c r="A35" s="24" t="str">
        <v>2022-09-16</v>
      </c>
      <c r="B35" s="25">
        <f t="shared" si="0"/>
        <v>126</v>
      </c>
      <c r="C35" s="26" t="str">
        <f t="shared" si="1"/>
        <v>2022-09-16  (126)</v>
      </c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</row>
    <row r="36" spans="1:14" x14ac:dyDescent="0.3">
      <c r="A36" s="24" t="str">
        <v>2022-09-30</v>
      </c>
      <c r="B36" s="25">
        <f t="shared" si="0"/>
        <v>140</v>
      </c>
      <c r="C36" s="26" t="str">
        <f t="shared" si="1"/>
        <v>2022-09-30  (140)</v>
      </c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</row>
    <row r="37" spans="1:14" x14ac:dyDescent="0.3">
      <c r="A37" s="24" t="str">
        <v>2022-10-21</v>
      </c>
      <c r="B37" s="25">
        <f t="shared" si="0"/>
        <v>161</v>
      </c>
      <c r="C37" s="26" t="str">
        <f t="shared" si="1"/>
        <v>2022-10-21  (161)</v>
      </c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</row>
    <row r="38" spans="1:14" x14ac:dyDescent="0.3">
      <c r="A38" s="24" t="str">
        <v>2022-10-31</v>
      </c>
      <c r="B38" s="25">
        <f t="shared" si="0"/>
        <v>171</v>
      </c>
      <c r="C38" s="26" t="str">
        <f t="shared" si="1"/>
        <v>2022-10-31  (171)</v>
      </c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</row>
    <row r="39" spans="1:14" x14ac:dyDescent="0.3">
      <c r="A39" s="24" t="str">
        <v>2022-11-18</v>
      </c>
      <c r="B39" s="25">
        <f t="shared" si="0"/>
        <v>189</v>
      </c>
      <c r="C39" s="26" t="str">
        <f t="shared" si="1"/>
        <v>2022-11-18  (189)</v>
      </c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</row>
    <row r="40" spans="1:14" x14ac:dyDescent="0.3">
      <c r="A40" s="24" t="str">
        <v>2022-12-16</v>
      </c>
      <c r="B40" s="25">
        <f t="shared" si="0"/>
        <v>217</v>
      </c>
      <c r="C40" s="26" t="str">
        <f t="shared" si="1"/>
        <v>2022-12-16  (217)</v>
      </c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</row>
    <row r="41" spans="1:14" x14ac:dyDescent="0.3">
      <c r="A41" s="24" t="str">
        <v>2022-12-30</v>
      </c>
      <c r="B41" s="25">
        <f t="shared" si="0"/>
        <v>231</v>
      </c>
      <c r="C41" s="26" t="str">
        <f t="shared" si="1"/>
        <v>2022-12-30  (231)</v>
      </c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</row>
    <row r="42" spans="1:14" x14ac:dyDescent="0.3">
      <c r="A42" s="24" t="str">
        <v>2023-01-20</v>
      </c>
      <c r="B42" s="25">
        <f t="shared" si="0"/>
        <v>252</v>
      </c>
      <c r="C42" s="26" t="str">
        <f t="shared" si="1"/>
        <v>2023-01-20  (252)</v>
      </c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</row>
    <row r="43" spans="1:14" x14ac:dyDescent="0.3">
      <c r="A43" s="24" t="str">
        <v>2023-02-17</v>
      </c>
      <c r="B43" s="25">
        <f t="shared" si="0"/>
        <v>280</v>
      </c>
      <c r="C43" s="26" t="str">
        <f t="shared" si="1"/>
        <v>2023-02-17  (280)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</row>
    <row r="44" spans="1:14" x14ac:dyDescent="0.3">
      <c r="A44" s="24" t="str">
        <v>2023-03-17</v>
      </c>
      <c r="B44" s="25">
        <f t="shared" si="0"/>
        <v>308</v>
      </c>
      <c r="C44" s="26" t="str">
        <f t="shared" si="1"/>
        <v>2023-03-17  (308)</v>
      </c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</row>
    <row r="45" spans="1:14" x14ac:dyDescent="0.3">
      <c r="A45" s="24" t="str">
        <v>2023-03-31</v>
      </c>
      <c r="B45" s="25">
        <f t="shared" si="0"/>
        <v>322</v>
      </c>
      <c r="C45" s="26" t="str">
        <f t="shared" si="1"/>
        <v>2023-03-31  (322)</v>
      </c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</row>
    <row r="46" spans="1:14" x14ac:dyDescent="0.3">
      <c r="A46" s="24" t="str">
        <v>2023-04-21</v>
      </c>
      <c r="B46" s="25">
        <f t="shared" si="0"/>
        <v>343</v>
      </c>
      <c r="C46" s="26" t="str">
        <f t="shared" si="1"/>
        <v>2023-04-21  (343)</v>
      </c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</row>
    <row r="47" spans="1:14" x14ac:dyDescent="0.3">
      <c r="A47" s="24" t="str">
        <v>2023-05-19</v>
      </c>
      <c r="B47" s="25">
        <f t="shared" si="0"/>
        <v>371</v>
      </c>
      <c r="C47" s="26" t="str">
        <f t="shared" si="1"/>
        <v>2023-05-19  (371)</v>
      </c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</row>
    <row r="48" spans="1:14" x14ac:dyDescent="0.3">
      <c r="A48" s="24" t="str">
        <v>2023-06-16</v>
      </c>
      <c r="B48" s="25">
        <f t="shared" si="0"/>
        <v>399</v>
      </c>
      <c r="C48" s="26" t="str">
        <f t="shared" si="1"/>
        <v>2023-06-16  (399)</v>
      </c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</row>
    <row r="49" spans="1:14" x14ac:dyDescent="0.3">
      <c r="A49" s="24" t="str">
        <v>2023-09-15</v>
      </c>
      <c r="B49" s="25">
        <f t="shared" si="0"/>
        <v>490</v>
      </c>
      <c r="C49" s="26" t="str">
        <f t="shared" si="1"/>
        <v>2023-09-15  (490)</v>
      </c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</row>
    <row r="50" spans="1:14" x14ac:dyDescent="0.3">
      <c r="A50" s="24" t="str">
        <v>2023-12-15</v>
      </c>
      <c r="B50" s="25">
        <f t="shared" si="0"/>
        <v>581</v>
      </c>
      <c r="C50" s="26" t="str">
        <f t="shared" si="1"/>
        <v>2023-12-15  (581)</v>
      </c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</row>
    <row r="51" spans="1:14" x14ac:dyDescent="0.3">
      <c r="A51" s="24" t="str">
        <v>2024-12-20</v>
      </c>
      <c r="B51" s="25">
        <f>A51-$B$1</f>
        <v>952</v>
      </c>
      <c r="C51" s="26" t="str">
        <f>_xlfn.IFNA(A51  &amp; "  ("  &amp; B51  &amp; ")","")</f>
        <v>2024-12-20  (952)</v>
      </c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</row>
    <row r="52" spans="1:14" x14ac:dyDescent="0.3">
      <c r="A52" s="24" t="str">
        <v>2025-12-19</v>
      </c>
      <c r="B52" s="25">
        <f t="shared" si="0"/>
        <v>1316</v>
      </c>
      <c r="C52" s="26" t="str">
        <f>_xlfn.IFNA(A52  &amp; "  ("  &amp; B52  &amp; ")","")</f>
        <v>2025-12-19  (1316)</v>
      </c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</row>
    <row r="53" spans="1:14" x14ac:dyDescent="0.3">
      <c r="A53" s="24" t="str">
        <v>2026-12-18</v>
      </c>
      <c r="B53" s="25">
        <f t="shared" si="0"/>
        <v>1680</v>
      </c>
      <c r="C53" s="26" t="str">
        <f>_xlfn.IFNA(A53  &amp; "  ("  &amp; B53  &amp; ")","")</f>
        <v>2026-12-18  (1680)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</row>
    <row r="54" spans="1:14" x14ac:dyDescent="0.3">
      <c r="A54" s="24" t="e">
        <v>#N/A</v>
      </c>
      <c r="B54" s="25" t="e">
        <f t="shared" si="0"/>
        <v>#N/A</v>
      </c>
      <c r="C54" s="26" t="str">
        <f>_xlfn.IFNA(A54  &amp; "  ("  &amp; B54  &amp; ")","")</f>
        <v/>
      </c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</row>
    <row r="55" spans="1:14" x14ac:dyDescent="0.3">
      <c r="A55" s="24" t="e">
        <v>#N/A</v>
      </c>
      <c r="B55" s="25" t="e">
        <f t="shared" si="0"/>
        <v>#N/A</v>
      </c>
      <c r="C55" s="26" t="str">
        <f>_xlfn.IFNA(A55  &amp; "  ("  &amp; B55  &amp; ")","")</f>
        <v/>
      </c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</row>
    <row r="56" spans="1:14" ht="16.2" thickBot="1" x14ac:dyDescent="0.35">
      <c r="A56" s="27" t="e">
        <v>#N/A</v>
      </c>
      <c r="B56" s="28"/>
      <c r="C56" s="29" t="str">
        <f t="shared" si="1"/>
        <v/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</row>
    <row r="57" spans="1:14" x14ac:dyDescent="0.3">
      <c r="K57" s="38"/>
      <c r="L57" s="38"/>
      <c r="M57" s="38"/>
      <c r="N57" s="38"/>
    </row>
  </sheetData>
  <mergeCells count="1">
    <mergeCell ref="L1:M1"/>
  </mergeCells>
  <dataValidations count="3">
    <dataValidation type="list" allowBlank="1" showInputMessage="1" showErrorMessage="1" sqref="D2" xr:uid="{A218AECD-8476-4D8C-8E67-C3D3CAF1DC35}">
      <formula1>CalcMode</formula1>
    </dataValidation>
    <dataValidation type="list" allowBlank="1" showInputMessage="1" showErrorMessage="1" sqref="B3" xr:uid="{23DBBA2B-9CD9-4AC2-8C70-4D364A101839}">
      <formula1>$A$10:$A$56</formula1>
    </dataValidation>
    <dataValidation type="list" allowBlank="1" showInputMessage="1" showErrorMessage="1" sqref="J1" xr:uid="{2AE977BC-3B57-4DC3-954D-AD8F3255618F}">
      <formula1>"On, Off"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UpdateOptionExpiries">
                <anchor moveWithCells="1" sizeWithCells="1">
                  <from>
                    <xdr:col>4</xdr:col>
                    <xdr:colOff>45720</xdr:colOff>
                    <xdr:row>1</xdr:row>
                    <xdr:rowOff>7620</xdr:rowOff>
                  </from>
                  <to>
                    <xdr:col>5</xdr:col>
                    <xdr:colOff>800100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UpdateOptionChain">
                <anchor moveWithCells="1" sizeWithCells="1">
                  <from>
                    <xdr:col>4</xdr:col>
                    <xdr:colOff>45720</xdr:colOff>
                    <xdr:row>5</xdr:row>
                    <xdr:rowOff>7620</xdr:rowOff>
                  </from>
                  <to>
                    <xdr:col>5</xdr:col>
                    <xdr:colOff>807720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CalculateGreeks">
                <anchor moveWithCells="1" sizeWithCells="1">
                  <from>
                    <xdr:col>4</xdr:col>
                    <xdr:colOff>53340</xdr:colOff>
                    <xdr:row>9</xdr:row>
                    <xdr:rowOff>38100</xdr:rowOff>
                  </from>
                  <to>
                    <xdr:col>5</xdr:col>
                    <xdr:colOff>815340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A3D0E1-B897-40F0-9E31-FC9C483FEAEC}">
          <x14:formula1>
            <xm:f>Static!$O$2:$O$11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E197-4DE5-4520-BA2F-23D4312D4734}">
  <sheetPr codeName="Sheet7"/>
  <dimension ref="A1:BB867"/>
  <sheetViews>
    <sheetView tabSelected="1" topLeftCell="AJ1" workbookViewId="0">
      <pane ySplit="1" topLeftCell="A2" activePane="bottomLeft" state="frozen"/>
      <selection activeCell="D1" sqref="D1"/>
      <selection pane="bottomLeft" activeCell="AV2" sqref="AV2"/>
    </sheetView>
  </sheetViews>
  <sheetFormatPr defaultRowHeight="15.6" outlineLevelCol="1" x14ac:dyDescent="0.3"/>
  <cols>
    <col min="1" max="1" width="19.5" bestFit="1" customWidth="1"/>
    <col min="2" max="2" width="26.5" bestFit="1" customWidth="1"/>
    <col min="3" max="3" width="13.69921875" bestFit="1" customWidth="1"/>
    <col min="4" max="4" width="9.5" bestFit="1" customWidth="1"/>
    <col min="5" max="5" width="9.19921875" bestFit="1" customWidth="1"/>
    <col min="6" max="6" width="7.69921875" bestFit="1" customWidth="1"/>
    <col min="7" max="7" width="7.796875" bestFit="1" customWidth="1"/>
    <col min="8" max="8" width="9.09765625" bestFit="1" customWidth="1"/>
    <col min="9" max="9" width="9.3984375" bestFit="1" customWidth="1"/>
    <col min="10" max="10" width="12.8984375" bestFit="1" customWidth="1"/>
    <col min="11" max="11" width="9.59765625" bestFit="1" customWidth="1"/>
    <col min="12" max="12" width="12.5" bestFit="1" customWidth="1"/>
    <col min="13" max="13" width="14.69921875" bestFit="1" customWidth="1"/>
    <col min="14" max="14" width="17" hidden="1" customWidth="1" outlineLevel="1"/>
    <col min="15" max="15" width="9.5" hidden="1" customWidth="1" outlineLevel="1"/>
    <col min="16" max="16" width="16.8984375" hidden="1" customWidth="1" outlineLevel="1"/>
    <col min="17" max="17" width="14.59765625" hidden="1" customWidth="1" outlineLevel="1"/>
    <col min="18" max="18" width="15.296875" hidden="1" customWidth="1" outlineLevel="1"/>
    <col min="19" max="19" width="14.5" hidden="1" customWidth="1" outlineLevel="1"/>
    <col min="20" max="20" width="20.09765625" hidden="1" customWidth="1" outlineLevel="1"/>
    <col min="21" max="21" width="27.59765625" hidden="1" customWidth="1" outlineLevel="1"/>
    <col min="22" max="22" width="25" hidden="1" customWidth="1" outlineLevel="1"/>
    <col min="23" max="23" width="27.5" hidden="1" customWidth="1" outlineLevel="1"/>
    <col min="24" max="24" width="20.5" hidden="1" customWidth="1" outlineLevel="1"/>
    <col min="25" max="25" width="19" hidden="1" customWidth="1" outlineLevel="1"/>
    <col min="26" max="26" width="23.3984375" hidden="1" customWidth="1" outlineLevel="1"/>
    <col min="27" max="27" width="22.796875" hidden="1" customWidth="1" outlineLevel="1"/>
    <col min="28" max="28" width="17.59765625" hidden="1" customWidth="1" outlineLevel="1"/>
    <col min="29" max="29" width="18.59765625" hidden="1" customWidth="1" outlineLevel="1"/>
    <col min="30" max="30" width="17.69921875" hidden="1" customWidth="1" outlineLevel="1"/>
    <col min="31" max="31" width="18.69921875" hidden="1" customWidth="1" outlineLevel="1"/>
    <col min="32" max="32" width="13.8984375" hidden="1" customWidth="1" outlineLevel="1"/>
    <col min="33" max="33" width="24.59765625" hidden="1" customWidth="1" outlineLevel="1"/>
    <col min="34" max="34" width="21.69921875" hidden="1" customWidth="1" outlineLevel="1"/>
    <col min="35" max="35" width="16.5" bestFit="1" customWidth="1" collapsed="1"/>
    <col min="36" max="36" width="11.8984375" bestFit="1" customWidth="1"/>
    <col min="37" max="37" width="10.09765625" bestFit="1" customWidth="1"/>
    <col min="38" max="38" width="11.8984375" bestFit="1" customWidth="1"/>
    <col min="39" max="39" width="9" bestFit="1" customWidth="1"/>
    <col min="40" max="40" width="10.09765625" style="5" hidden="1" customWidth="1" outlineLevel="1"/>
    <col min="41" max="41" width="11.8984375" hidden="1" customWidth="1" outlineLevel="1"/>
    <col min="42" max="42" width="12" hidden="1" customWidth="1" outlineLevel="1"/>
    <col min="43" max="43" width="7.796875" hidden="1" customWidth="1" outlineLevel="1"/>
    <col min="44" max="44" width="7.3984375" hidden="1" customWidth="1" outlineLevel="1"/>
    <col min="45" max="45" width="8.296875" hidden="1" customWidth="1" outlineLevel="1"/>
    <col min="46" max="46" width="8.8984375" hidden="1" customWidth="1" outlineLevel="1"/>
    <col min="47" max="47" width="10.796875" bestFit="1" customWidth="1" collapsed="1"/>
    <col min="48" max="48" width="10.19921875" bestFit="1" customWidth="1"/>
    <col min="49" max="49" width="12" bestFit="1" customWidth="1"/>
    <col min="50" max="52" width="9.8984375" bestFit="1" customWidth="1"/>
    <col min="53" max="54" width="9" bestFit="1" customWidth="1"/>
    <col min="55" max="67" width="8.8984375" bestFit="1" customWidth="1"/>
    <col min="68" max="68" width="10.8984375" bestFit="1" customWidth="1"/>
    <col min="69" max="71" width="8.8984375" bestFit="1" customWidth="1"/>
    <col min="72" max="72" width="11.8984375" bestFit="1" customWidth="1"/>
    <col min="73" max="73" width="10.8984375" bestFit="1" customWidth="1"/>
    <col min="74" max="92" width="8.8984375" bestFit="1" customWidth="1"/>
    <col min="93" max="94" width="11.8984375" bestFit="1" customWidth="1"/>
    <col min="95" max="95" width="10.8984375" bestFit="1" customWidth="1"/>
    <col min="96" max="96" width="11.8984375" bestFit="1" customWidth="1"/>
    <col min="97" max="97" width="10.8984375" bestFit="1" customWidth="1"/>
    <col min="98" max="124" width="8.8984375" bestFit="1" customWidth="1"/>
    <col min="125" max="127" width="11.8984375" bestFit="1" customWidth="1"/>
    <col min="128" max="128" width="10.8984375" bestFit="1" customWidth="1"/>
    <col min="129" max="143" width="8.8984375" bestFit="1" customWidth="1"/>
    <col min="144" max="144" width="11.8984375" bestFit="1" customWidth="1"/>
    <col min="145" max="148" width="8.8984375" bestFit="1" customWidth="1"/>
    <col min="149" max="149" width="11.8984375" bestFit="1" customWidth="1"/>
    <col min="150" max="247" width="8.8984375" bestFit="1" customWidth="1"/>
    <col min="248" max="248" width="11.8984375" bestFit="1" customWidth="1"/>
    <col min="249" max="745" width="8.8984375" bestFit="1" customWidth="1"/>
    <col min="746" max="746" width="12.5" bestFit="1" customWidth="1"/>
    <col min="747" max="791" width="8.8984375" bestFit="1" customWidth="1"/>
    <col min="792" max="792" width="11.8984375" bestFit="1" customWidth="1"/>
    <col min="793" max="796" width="8.8984375" bestFit="1" customWidth="1"/>
    <col min="797" max="797" width="11.8984375" bestFit="1" customWidth="1"/>
    <col min="798" max="813" width="8.8984375" bestFit="1" customWidth="1"/>
    <col min="814" max="814" width="10.8984375" bestFit="1" customWidth="1"/>
    <col min="815" max="816" width="11.8984375" bestFit="1" customWidth="1"/>
    <col min="817" max="852" width="8.8984375" bestFit="1" customWidth="1"/>
    <col min="853" max="853" width="9.8984375" bestFit="1" customWidth="1"/>
    <col min="854" max="859" width="11.8984375" bestFit="1" customWidth="1"/>
    <col min="860" max="861" width="10.8984375" bestFit="1" customWidth="1"/>
    <col min="862" max="866" width="11.8984375" bestFit="1" customWidth="1"/>
    <col min="867" max="867" width="10.8984375" bestFit="1" customWidth="1"/>
    <col min="868" max="877" width="8.8984375" bestFit="1" customWidth="1"/>
    <col min="878" max="878" width="11.8984375" bestFit="1" customWidth="1"/>
    <col min="879" max="912" width="8.8984375" bestFit="1" customWidth="1"/>
  </cols>
  <sheetData>
    <row r="1" spans="1:54" x14ac:dyDescent="0.3">
      <c r="A1" t="s">
        <v>59</v>
      </c>
      <c r="B1" t="s">
        <v>60</v>
      </c>
      <c r="C1" t="s">
        <v>170</v>
      </c>
      <c r="D1" t="s">
        <v>272</v>
      </c>
      <c r="E1" t="s">
        <v>273</v>
      </c>
      <c r="F1" t="s">
        <v>54</v>
      </c>
      <c r="G1" t="s">
        <v>64</v>
      </c>
      <c r="H1" t="s">
        <v>65</v>
      </c>
      <c r="I1" t="s">
        <v>61</v>
      </c>
      <c r="J1" t="s">
        <v>172</v>
      </c>
      <c r="K1" t="s">
        <v>173</v>
      </c>
      <c r="L1" t="s">
        <v>174</v>
      </c>
      <c r="M1" t="s">
        <v>175</v>
      </c>
      <c r="N1" t="s">
        <v>66</v>
      </c>
      <c r="O1" t="s">
        <v>171</v>
      </c>
      <c r="P1" t="s">
        <v>67</v>
      </c>
      <c r="Q1" t="s">
        <v>62</v>
      </c>
      <c r="R1" t="s">
        <v>68</v>
      </c>
      <c r="S1" t="s">
        <v>69</v>
      </c>
      <c r="T1" t="s">
        <v>70</v>
      </c>
      <c r="U1" t="s">
        <v>63</v>
      </c>
      <c r="V1" t="s">
        <v>71</v>
      </c>
      <c r="W1" t="s">
        <v>72</v>
      </c>
      <c r="X1" t="s">
        <v>73</v>
      </c>
      <c r="Y1" t="s">
        <v>74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F1" t="s">
        <v>169</v>
      </c>
      <c r="AG1" t="s">
        <v>81</v>
      </c>
      <c r="AH1" t="s">
        <v>82</v>
      </c>
      <c r="AI1" t="s">
        <v>176</v>
      </c>
      <c r="AJ1" t="s">
        <v>34</v>
      </c>
      <c r="AK1" t="s">
        <v>178</v>
      </c>
      <c r="AL1" t="s">
        <v>217</v>
      </c>
      <c r="AM1" t="s">
        <v>1230</v>
      </c>
      <c r="AN1" s="3" t="s">
        <v>177</v>
      </c>
      <c r="AO1" s="3" t="s">
        <v>17</v>
      </c>
      <c r="AP1" s="3" t="s">
        <v>18</v>
      </c>
      <c r="AQ1" s="3" t="s">
        <v>19</v>
      </c>
      <c r="AR1" s="3" t="s">
        <v>20</v>
      </c>
      <c r="AS1" s="3" t="s">
        <v>21</v>
      </c>
      <c r="AU1" s="59" t="str">
        <f t="array" aca="1" ref="AU1:BB245" ca="1">optionChainGreeks(spot,VALUE(data[Strike]),data[OptType],VALUE(data[Cnt Price]),Details!B6,AJ2,Details!B7)</f>
        <v>Option Price</v>
      </c>
      <c r="AV1" s="59" t="str">
        <f ca="1"/>
        <v>Option Type</v>
      </c>
      <c r="AW1" s="59" t="str">
        <f ca="1"/>
        <v>Implied Vol</v>
      </c>
      <c r="AX1" s="59" t="str">
        <f ca="1"/>
        <v>Delta</v>
      </c>
      <c r="AY1" s="59" t="str">
        <f ca="1"/>
        <v>Gamma</v>
      </c>
      <c r="AZ1" s="59" t="str">
        <f ca="1"/>
        <v>Vega</v>
      </c>
      <c r="BA1" s="59" t="str">
        <f ca="1"/>
        <v>Theta</v>
      </c>
      <c r="BB1" s="59" t="str">
        <f ca="1"/>
        <v>Rho</v>
      </c>
    </row>
    <row r="2" spans="1:54" x14ac:dyDescent="0.3">
      <c r="A2" t="s">
        <v>315</v>
      </c>
      <c r="B2" t="s">
        <v>316</v>
      </c>
      <c r="C2" t="s">
        <v>57</v>
      </c>
      <c r="D2" t="s">
        <v>84</v>
      </c>
      <c r="E2" t="s">
        <v>84</v>
      </c>
      <c r="F2" t="s">
        <v>148</v>
      </c>
      <c r="G2" t="s">
        <v>1423</v>
      </c>
      <c r="H2" t="s">
        <v>1424</v>
      </c>
      <c r="J2" t="s">
        <v>109</v>
      </c>
      <c r="K2" t="s">
        <v>109</v>
      </c>
      <c r="L2" t="s">
        <v>307</v>
      </c>
      <c r="M2" t="s">
        <v>84</v>
      </c>
      <c r="N2" t="s">
        <v>56</v>
      </c>
      <c r="O2" t="s">
        <v>36</v>
      </c>
      <c r="Q2" t="s">
        <v>84</v>
      </c>
      <c r="V2" t="s">
        <v>49</v>
      </c>
      <c r="X2" t="s">
        <v>84</v>
      </c>
      <c r="Z2" t="s">
        <v>84</v>
      </c>
      <c r="AA2" t="s">
        <v>84</v>
      </c>
      <c r="AB2" t="s">
        <v>36</v>
      </c>
      <c r="AC2" t="s">
        <v>1340</v>
      </c>
      <c r="AD2" t="s">
        <v>36</v>
      </c>
      <c r="AE2" t="s">
        <v>1340</v>
      </c>
      <c r="AF2" t="s">
        <v>86</v>
      </c>
      <c r="AG2" t="s">
        <v>269</v>
      </c>
      <c r="AH2" t="s">
        <v>183</v>
      </c>
      <c r="AI2" s="4">
        <f ca="1">data[[#This Row],[Expiry Date]]-TODAY()</f>
        <v>42</v>
      </c>
      <c r="AJ2" s="4">
        <f ca="1">data[[#This Row],[Maturity ( Days)]]/365</f>
        <v>0.11506849315068493</v>
      </c>
      <c r="AK2" s="4" t="str">
        <f>IF(data[[#This Row],[Option Type]]="put","p","c")</f>
        <v>c</v>
      </c>
      <c r="AL2" s="4">
        <f>(data[[#This Row],[Bid]]*data[[#This Row],[Bidsize]]+data[[#This Row],[Ask]]*data[[#This Row],[Asksize]])/(data[[#This Row],[Bidsize]]+data[[#This Row],[Asksize]])</f>
        <v>2766.9499999999994</v>
      </c>
      <c r="AM2" s="4">
        <f>VALUE(data[[#This Row],[Strike]])</f>
        <v>1200</v>
      </c>
      <c r="AN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2" s="7" t="str">
        <f t="array" aca="1" ref="AO2:AS2" ca="1">bsGreeks(data[[#This Row],[OptType]],Details!$B$4,VALUE(data[[#This Row],[Strike]]),Details!$B$6,data[[#This Row],[T]],AN2,Details!$B$7)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" s="60">
        <f ca="1"/>
        <v>0</v>
      </c>
      <c r="AV2" s="61" t="str">
        <f ca="1"/>
        <v>c</v>
      </c>
      <c r="AW2" s="61" t="str">
        <f ca="1"/>
        <v>Calculation Error : Vega is Zero</v>
      </c>
      <c r="AX2" s="62">
        <f ca="1"/>
        <v>0</v>
      </c>
      <c r="AY2" s="62">
        <f ca="1"/>
        <v>0</v>
      </c>
      <c r="AZ2" s="62">
        <f ca="1"/>
        <v>0</v>
      </c>
      <c r="BA2" s="60">
        <f ca="1"/>
        <v>0</v>
      </c>
      <c r="BB2" s="60">
        <f ca="1"/>
        <v>0</v>
      </c>
    </row>
    <row r="3" spans="1:54" x14ac:dyDescent="0.3">
      <c r="A3" t="s">
        <v>319</v>
      </c>
      <c r="B3" t="s">
        <v>320</v>
      </c>
      <c r="C3" t="s">
        <v>57</v>
      </c>
      <c r="D3" t="s">
        <v>84</v>
      </c>
      <c r="E3" t="s">
        <v>84</v>
      </c>
      <c r="F3" t="s">
        <v>149</v>
      </c>
      <c r="G3" t="s">
        <v>1425</v>
      </c>
      <c r="H3" t="s">
        <v>1426</v>
      </c>
      <c r="J3" t="s">
        <v>109</v>
      </c>
      <c r="K3" t="s">
        <v>109</v>
      </c>
      <c r="L3" t="s">
        <v>307</v>
      </c>
      <c r="M3" t="s">
        <v>84</v>
      </c>
      <c r="N3" t="s">
        <v>56</v>
      </c>
      <c r="O3" t="s">
        <v>36</v>
      </c>
      <c r="Q3" t="s">
        <v>84</v>
      </c>
      <c r="V3" t="s">
        <v>49</v>
      </c>
      <c r="X3" t="s">
        <v>84</v>
      </c>
      <c r="Z3" t="s">
        <v>84</v>
      </c>
      <c r="AA3" t="s">
        <v>84</v>
      </c>
      <c r="AB3" t="s">
        <v>36</v>
      </c>
      <c r="AC3" t="s">
        <v>1340</v>
      </c>
      <c r="AD3" t="s">
        <v>36</v>
      </c>
      <c r="AE3" t="s">
        <v>1340</v>
      </c>
      <c r="AF3" t="s">
        <v>86</v>
      </c>
      <c r="AG3" t="s">
        <v>269</v>
      </c>
      <c r="AH3" t="s">
        <v>183</v>
      </c>
      <c r="AI3" s="4">
        <f ca="1">data[[#This Row],[Expiry Date]]-TODAY()</f>
        <v>42</v>
      </c>
      <c r="AJ3" s="4">
        <f ca="1">data[[#This Row],[Maturity ( Days)]]/365</f>
        <v>0.11506849315068493</v>
      </c>
      <c r="AK3" s="4" t="str">
        <f>IF(data[[#This Row],[Option Type]]="put","p","c")</f>
        <v>c</v>
      </c>
      <c r="AL3" s="4">
        <f>(data[[#This Row],[Bid]]*data[[#This Row],[Bidsize]]+data[[#This Row],[Ask]]*data[[#This Row],[Asksize]])/(data[[#This Row],[Bidsize]]+data[[#This Row],[Asksize]])</f>
        <v>2567.2999999999997</v>
      </c>
      <c r="AM3" s="4">
        <f>VALUE(data[[#This Row],[Strike]])</f>
        <v>1400</v>
      </c>
      <c r="AN3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3" s="7" t="str">
        <f t="array" aca="1" ref="AO3:AS3" ca="1">bsGreeks(data[[#This Row],[OptType]],Details!$B$4,VALUE(data[[#This Row],[Strike]]),Details!$B$6,data[[#This Row],[T]],AN3,Details!$B$7)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" s="60">
        <f ca="1"/>
        <v>0</v>
      </c>
      <c r="AV3" s="61" t="str">
        <f ca="1"/>
        <v>c</v>
      </c>
      <c r="AW3" s="61" t="str">
        <f ca="1"/>
        <v>Calculation Error : Vega is Zero</v>
      </c>
      <c r="AX3" s="62">
        <f ca="1"/>
        <v>0</v>
      </c>
      <c r="AY3" s="62">
        <f ca="1"/>
        <v>0</v>
      </c>
      <c r="AZ3" s="62">
        <f ca="1"/>
        <v>0</v>
      </c>
      <c r="BA3" s="60">
        <f ca="1"/>
        <v>0</v>
      </c>
      <c r="BB3" s="60">
        <f ca="1"/>
        <v>0</v>
      </c>
    </row>
    <row r="4" spans="1:54" x14ac:dyDescent="0.3">
      <c r="A4" t="s">
        <v>321</v>
      </c>
      <c r="B4" t="s">
        <v>322</v>
      </c>
      <c r="C4" t="s">
        <v>57</v>
      </c>
      <c r="D4" t="s">
        <v>84</v>
      </c>
      <c r="E4" t="s">
        <v>84</v>
      </c>
      <c r="F4" t="s">
        <v>150</v>
      </c>
      <c r="G4" t="s">
        <v>1427</v>
      </c>
      <c r="H4" t="s">
        <v>1428</v>
      </c>
      <c r="J4" t="s">
        <v>109</v>
      </c>
      <c r="K4" t="s">
        <v>109</v>
      </c>
      <c r="L4" t="s">
        <v>307</v>
      </c>
      <c r="M4" t="s">
        <v>84</v>
      </c>
      <c r="N4" t="s">
        <v>56</v>
      </c>
      <c r="O4" t="s">
        <v>36</v>
      </c>
      <c r="Q4" t="s">
        <v>84</v>
      </c>
      <c r="V4" t="s">
        <v>49</v>
      </c>
      <c r="X4" t="s">
        <v>84</v>
      </c>
      <c r="Z4" t="s">
        <v>84</v>
      </c>
      <c r="AA4" t="s">
        <v>84</v>
      </c>
      <c r="AB4" t="s">
        <v>36</v>
      </c>
      <c r="AC4" t="s">
        <v>1340</v>
      </c>
      <c r="AD4" t="s">
        <v>36</v>
      </c>
      <c r="AE4" t="s">
        <v>1340</v>
      </c>
      <c r="AF4" t="s">
        <v>86</v>
      </c>
      <c r="AG4" t="s">
        <v>269</v>
      </c>
      <c r="AH4" t="s">
        <v>183</v>
      </c>
      <c r="AI4" s="4">
        <f ca="1">data[[#This Row],[Expiry Date]]-TODAY()</f>
        <v>42</v>
      </c>
      <c r="AJ4" s="4">
        <f ca="1">data[[#This Row],[Maturity ( Days)]]/365</f>
        <v>0.11506849315068493</v>
      </c>
      <c r="AK4" s="4" t="str">
        <f>IF(data[[#This Row],[Option Type]]="put","p","c")</f>
        <v>c</v>
      </c>
      <c r="AL4" s="4">
        <f>(data[[#This Row],[Bid]]*data[[#This Row],[Bidsize]]+data[[#This Row],[Ask]]*data[[#This Row],[Asksize]])/(data[[#This Row],[Bidsize]]+data[[#This Row],[Asksize]])</f>
        <v>2367.75</v>
      </c>
      <c r="AM4" s="4">
        <f>VALUE(data[[#This Row],[Strike]])</f>
        <v>1600</v>
      </c>
      <c r="AN4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4" s="7" t="str">
        <f t="array" aca="1" ref="AO4:AS4" ca="1">bsGreeks(data[[#This Row],[OptType]],Details!$B$4,VALUE(data[[#This Row],[Strike]]),Details!$B$6,data[[#This Row],[T]],AN4,Details!$B$7)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" s="60">
        <f ca="1"/>
        <v>0</v>
      </c>
      <c r="AV4" s="61" t="str">
        <f ca="1"/>
        <v>c</v>
      </c>
      <c r="AW4" s="61" t="str">
        <f ca="1"/>
        <v>Calculation Error : Vega is Zero</v>
      </c>
      <c r="AX4" s="62">
        <f ca="1"/>
        <v>0</v>
      </c>
      <c r="AY4" s="62">
        <f ca="1"/>
        <v>0</v>
      </c>
      <c r="AZ4" s="62">
        <f ca="1"/>
        <v>0</v>
      </c>
      <c r="BA4" s="60">
        <f ca="1"/>
        <v>0</v>
      </c>
      <c r="BB4" s="60">
        <f ca="1"/>
        <v>0</v>
      </c>
    </row>
    <row r="5" spans="1:54" x14ac:dyDescent="0.3">
      <c r="A5" t="s">
        <v>328</v>
      </c>
      <c r="B5" t="s">
        <v>329</v>
      </c>
      <c r="C5" t="s">
        <v>57</v>
      </c>
      <c r="D5" t="s">
        <v>84</v>
      </c>
      <c r="E5" t="s">
        <v>84</v>
      </c>
      <c r="F5" t="s">
        <v>127</v>
      </c>
      <c r="G5" t="s">
        <v>1429</v>
      </c>
      <c r="H5" t="s">
        <v>1430</v>
      </c>
      <c r="J5" t="s">
        <v>109</v>
      </c>
      <c r="K5" t="s">
        <v>109</v>
      </c>
      <c r="L5" s="37" t="s">
        <v>307</v>
      </c>
      <c r="M5" t="s">
        <v>84</v>
      </c>
      <c r="N5" t="s">
        <v>56</v>
      </c>
      <c r="O5" t="s">
        <v>36</v>
      </c>
      <c r="Q5" t="s">
        <v>84</v>
      </c>
      <c r="V5" t="s">
        <v>49</v>
      </c>
      <c r="X5" t="s">
        <v>84</v>
      </c>
      <c r="Z5" t="s">
        <v>84</v>
      </c>
      <c r="AA5" t="s">
        <v>84</v>
      </c>
      <c r="AB5" t="s">
        <v>36</v>
      </c>
      <c r="AC5" t="s">
        <v>1340</v>
      </c>
      <c r="AD5" t="s">
        <v>36</v>
      </c>
      <c r="AE5" t="s">
        <v>1340</v>
      </c>
      <c r="AF5" t="s">
        <v>86</v>
      </c>
      <c r="AG5" t="s">
        <v>269</v>
      </c>
      <c r="AH5" t="s">
        <v>183</v>
      </c>
      <c r="AI5" s="4">
        <f ca="1">data[[#This Row],[Expiry Date]]-TODAY()</f>
        <v>42</v>
      </c>
      <c r="AJ5" s="4">
        <f ca="1">data[[#This Row],[Maturity ( Days)]]/365</f>
        <v>0.11506849315068493</v>
      </c>
      <c r="AK5" s="4" t="str">
        <f>IF(data[[#This Row],[Option Type]]="put","p","c")</f>
        <v>c</v>
      </c>
      <c r="AL5" s="4">
        <f>(data[[#This Row],[Bid]]*data[[#This Row],[Bidsize]]+data[[#This Row],[Ask]]*data[[#This Row],[Asksize]])/(data[[#This Row],[Bidsize]]+data[[#This Row],[Asksize]])</f>
        <v>1968.8500000000001</v>
      </c>
      <c r="AM5" s="4">
        <f>VALUE(data[[#This Row],[Strike]])</f>
        <v>2000</v>
      </c>
      <c r="AN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5" s="7" t="str">
        <f t="array" aca="1" ref="AO5:AS5" ca="1">bsGreeks(data[[#This Row],[OptType]],Details!$B$4,VALUE(data[[#This Row],[Strike]]),Details!$B$6,data[[#This Row],[T]],AN5,Details!$B$7)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5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5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5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5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5" s="60">
        <f ca="1"/>
        <v>0</v>
      </c>
      <c r="AV5" s="61" t="str">
        <f ca="1"/>
        <v>c</v>
      </c>
      <c r="AW5" s="61" t="str">
        <f ca="1"/>
        <v>Calculation Error : Vega is Zero</v>
      </c>
      <c r="AX5" s="62">
        <f ca="1"/>
        <v>0</v>
      </c>
      <c r="AY5" s="62">
        <f ca="1"/>
        <v>0</v>
      </c>
      <c r="AZ5" s="62">
        <f ca="1"/>
        <v>0</v>
      </c>
      <c r="BA5" s="60">
        <f ca="1"/>
        <v>0</v>
      </c>
      <c r="BB5" s="60">
        <f ca="1"/>
        <v>0</v>
      </c>
    </row>
    <row r="6" spans="1:54" x14ac:dyDescent="0.3">
      <c r="A6" t="s">
        <v>330</v>
      </c>
      <c r="B6" t="s">
        <v>331</v>
      </c>
      <c r="C6" t="s">
        <v>57</v>
      </c>
      <c r="D6" t="s">
        <v>84</v>
      </c>
      <c r="E6" t="s">
        <v>84</v>
      </c>
      <c r="F6" t="s">
        <v>154</v>
      </c>
      <c r="G6" t="s">
        <v>1431</v>
      </c>
      <c r="H6" t="s">
        <v>1432</v>
      </c>
      <c r="J6" t="s">
        <v>109</v>
      </c>
      <c r="K6" t="s">
        <v>109</v>
      </c>
      <c r="L6" s="37" t="s">
        <v>307</v>
      </c>
      <c r="M6" t="s">
        <v>84</v>
      </c>
      <c r="N6" t="s">
        <v>56</v>
      </c>
      <c r="O6" t="s">
        <v>36</v>
      </c>
      <c r="Q6" t="s">
        <v>84</v>
      </c>
      <c r="V6" t="s">
        <v>49</v>
      </c>
      <c r="X6" t="s">
        <v>84</v>
      </c>
      <c r="Z6" t="s">
        <v>84</v>
      </c>
      <c r="AA6" t="s">
        <v>84</v>
      </c>
      <c r="AB6" t="s">
        <v>36</v>
      </c>
      <c r="AC6" t="s">
        <v>1340</v>
      </c>
      <c r="AD6" t="s">
        <v>36</v>
      </c>
      <c r="AE6" t="s">
        <v>1340</v>
      </c>
      <c r="AF6" t="s">
        <v>86</v>
      </c>
      <c r="AG6" t="s">
        <v>269</v>
      </c>
      <c r="AH6" t="s">
        <v>183</v>
      </c>
      <c r="AI6" s="4">
        <f ca="1">data[[#This Row],[Expiry Date]]-TODAY()</f>
        <v>42</v>
      </c>
      <c r="AJ6" s="4">
        <f ca="1">data[[#This Row],[Maturity ( Days)]]/365</f>
        <v>0.11506849315068493</v>
      </c>
      <c r="AK6" s="4" t="str">
        <f>IF(data[[#This Row],[Option Type]]="put","p","c")</f>
        <v>c</v>
      </c>
      <c r="AL6" s="4">
        <f>(data[[#This Row],[Bid]]*data[[#This Row],[Bidsize]]+data[[#This Row],[Ask]]*data[[#This Row],[Asksize]])/(data[[#This Row],[Bidsize]]+data[[#This Row],[Asksize]])</f>
        <v>1769.6499999999999</v>
      </c>
      <c r="AM6" s="4">
        <f>VALUE(data[[#This Row],[Strike]])</f>
        <v>2200</v>
      </c>
      <c r="AN6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6" s="7" t="str">
        <f t="array" aca="1" ref="AO6:AS6" ca="1">bsGreeks(data[[#This Row],[OptType]],Details!$B$4,VALUE(data[[#This Row],[Strike]]),Details!$B$6,data[[#This Row],[T]],AN6,Details!$B$7)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6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6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6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6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6" s="60">
        <f ca="1"/>
        <v>0</v>
      </c>
      <c r="AV6" s="61" t="str">
        <f ca="1"/>
        <v>c</v>
      </c>
      <c r="AW6" s="61" t="str">
        <f ca="1"/>
        <v>Calculation Error : Vega is Zero</v>
      </c>
      <c r="AX6" s="62">
        <f ca="1"/>
        <v>0</v>
      </c>
      <c r="AY6" s="62">
        <f ca="1"/>
        <v>0</v>
      </c>
      <c r="AZ6" s="62">
        <f ca="1"/>
        <v>0</v>
      </c>
      <c r="BA6" s="60">
        <f ca="1"/>
        <v>0</v>
      </c>
      <c r="BB6" s="60">
        <f ca="1"/>
        <v>0</v>
      </c>
    </row>
    <row r="7" spans="1:54" x14ac:dyDescent="0.3">
      <c r="A7" t="s">
        <v>332</v>
      </c>
      <c r="B7" t="s">
        <v>333</v>
      </c>
      <c r="C7" t="s">
        <v>57</v>
      </c>
      <c r="D7" t="s">
        <v>84</v>
      </c>
      <c r="E7" t="s">
        <v>84</v>
      </c>
      <c r="F7" t="s">
        <v>87</v>
      </c>
      <c r="G7" t="s">
        <v>1433</v>
      </c>
      <c r="H7" t="s">
        <v>1434</v>
      </c>
      <c r="J7" t="s">
        <v>109</v>
      </c>
      <c r="K7" t="s">
        <v>109</v>
      </c>
      <c r="L7" s="37" t="s">
        <v>307</v>
      </c>
      <c r="M7" t="s">
        <v>84</v>
      </c>
      <c r="N7" t="s">
        <v>56</v>
      </c>
      <c r="O7" t="s">
        <v>36</v>
      </c>
      <c r="Q7" t="s">
        <v>84</v>
      </c>
      <c r="V7" t="s">
        <v>49</v>
      </c>
      <c r="X7" t="s">
        <v>84</v>
      </c>
      <c r="Z7" t="s">
        <v>84</v>
      </c>
      <c r="AA7" t="s">
        <v>84</v>
      </c>
      <c r="AB7" t="s">
        <v>36</v>
      </c>
      <c r="AC7" t="s">
        <v>1340</v>
      </c>
      <c r="AD7" t="s">
        <v>36</v>
      </c>
      <c r="AE7" t="s">
        <v>1340</v>
      </c>
      <c r="AF7" t="s">
        <v>86</v>
      </c>
      <c r="AG7" t="s">
        <v>269</v>
      </c>
      <c r="AH7" t="s">
        <v>183</v>
      </c>
      <c r="AI7" s="4">
        <f ca="1">data[[#This Row],[Expiry Date]]-TODAY()</f>
        <v>42</v>
      </c>
      <c r="AJ7" s="4">
        <f ca="1">data[[#This Row],[Maturity ( Days)]]/365</f>
        <v>0.11506849315068493</v>
      </c>
      <c r="AK7" s="4" t="str">
        <f>IF(data[[#This Row],[Option Type]]="put","p","c")</f>
        <v>c</v>
      </c>
      <c r="AL7" s="4">
        <f>(data[[#This Row],[Bid]]*data[[#This Row],[Bidsize]]+data[[#This Row],[Ask]]*data[[#This Row],[Asksize]])/(data[[#This Row],[Bidsize]]+data[[#This Row],[Asksize]])</f>
        <v>1570.6999999999998</v>
      </c>
      <c r="AM7" s="4">
        <f>VALUE(data[[#This Row],[Strike]])</f>
        <v>2400</v>
      </c>
      <c r="AN7" s="5">
        <f ca="1">impliedVol(data[[#This Row],[OptType]],Details!$B$4,VALUE(data[[#This Row],[Strike]]),VALUE(data[[#This Row],[Cnt Price]]),Details!$B$6,data[[#This Row],[T]],Details!$B$7)</f>
        <v>252.66029105993181</v>
      </c>
      <c r="AO7" s="7">
        <f t="array" aca="1" ref="AO7:AS7" ca="1">bsGreeks(data[[#This Row],[OptType]],Details!$B$4,VALUE(data[[#This Row],[Strike]]),Details!$B$6,data[[#This Row],[T]],AN7,Details!$B$7)</f>
        <v>1</v>
      </c>
      <c r="AP7" s="7">
        <f ca="1"/>
        <v>0</v>
      </c>
      <c r="AQ7" s="6">
        <f ca="1"/>
        <v>0</v>
      </c>
      <c r="AR7" s="6">
        <f ca="1"/>
        <v>0</v>
      </c>
      <c r="AS7" s="6">
        <f ca="1"/>
        <v>0</v>
      </c>
      <c r="AU7" s="60">
        <f ca="1"/>
        <v>3930.08</v>
      </c>
      <c r="AV7" s="61" t="str">
        <f ca="1"/>
        <v>c</v>
      </c>
      <c r="AW7" s="61">
        <f ca="1"/>
        <v>252.66029105993181</v>
      </c>
      <c r="AX7" s="62">
        <f ca="1"/>
        <v>1</v>
      </c>
      <c r="AY7" s="62">
        <f ca="1"/>
        <v>0</v>
      </c>
      <c r="AZ7" s="62">
        <f ca="1"/>
        <v>0</v>
      </c>
      <c r="BA7" s="60">
        <f ca="1"/>
        <v>0</v>
      </c>
      <c r="BB7" s="60">
        <f ca="1"/>
        <v>0</v>
      </c>
    </row>
    <row r="8" spans="1:54" x14ac:dyDescent="0.3">
      <c r="A8" t="s">
        <v>334</v>
      </c>
      <c r="B8" t="s">
        <v>335</v>
      </c>
      <c r="C8" t="s">
        <v>57</v>
      </c>
      <c r="D8" t="s">
        <v>84</v>
      </c>
      <c r="E8" t="s">
        <v>84</v>
      </c>
      <c r="F8" t="s">
        <v>128</v>
      </c>
      <c r="G8" t="s">
        <v>1435</v>
      </c>
      <c r="H8" t="s">
        <v>1436</v>
      </c>
      <c r="J8" t="s">
        <v>109</v>
      </c>
      <c r="K8" t="s">
        <v>109</v>
      </c>
      <c r="L8" t="s">
        <v>307</v>
      </c>
      <c r="M8" t="s">
        <v>84</v>
      </c>
      <c r="N8" t="s">
        <v>56</v>
      </c>
      <c r="O8" t="s">
        <v>36</v>
      </c>
      <c r="Q8" t="s">
        <v>84</v>
      </c>
      <c r="V8" t="s">
        <v>49</v>
      </c>
      <c r="X8" t="s">
        <v>84</v>
      </c>
      <c r="Z8" t="s">
        <v>84</v>
      </c>
      <c r="AA8" t="s">
        <v>84</v>
      </c>
      <c r="AB8" t="s">
        <v>36</v>
      </c>
      <c r="AC8" t="s">
        <v>1340</v>
      </c>
      <c r="AD8" t="s">
        <v>36</v>
      </c>
      <c r="AE8" t="s">
        <v>1340</v>
      </c>
      <c r="AF8" t="s">
        <v>86</v>
      </c>
      <c r="AG8" t="s">
        <v>269</v>
      </c>
      <c r="AH8" t="s">
        <v>183</v>
      </c>
      <c r="AI8" s="4">
        <f ca="1">data[[#This Row],[Expiry Date]]-TODAY()</f>
        <v>42</v>
      </c>
      <c r="AJ8" s="4">
        <f ca="1">data[[#This Row],[Maturity ( Days)]]/365</f>
        <v>0.11506849315068493</v>
      </c>
      <c r="AK8" s="4" t="str">
        <f>IF(data[[#This Row],[Option Type]]="put","p","c")</f>
        <v>c</v>
      </c>
      <c r="AL8" s="4">
        <f>(data[[#This Row],[Bid]]*data[[#This Row],[Bidsize]]+data[[#This Row],[Ask]]*data[[#This Row],[Asksize]])/(data[[#This Row],[Bidsize]]+data[[#This Row],[Asksize]])</f>
        <v>1372.1000000000001</v>
      </c>
      <c r="AM8" s="4">
        <f>VALUE(data[[#This Row],[Strike]])</f>
        <v>2600</v>
      </c>
      <c r="AN8" s="5">
        <f ca="1">impliedVol(data[[#This Row],[OptType]],Details!$B$4,VALUE(data[[#This Row],[Strike]]),VALUE(data[[#This Row],[Cnt Price]]),Details!$B$6,data[[#This Row],[T]],Details!$B$7)</f>
        <v>0.88449120609039844</v>
      </c>
      <c r="AO8" s="7">
        <f t="array" aca="1" ref="AO8:AS8" ca="1">bsGreeks(data[[#This Row],[OptType]],Details!$B$4,VALUE(data[[#This Row],[Strike]]),Details!$B$6,data[[#This Row],[T]],AN8,Details!$B$7)</f>
        <v>0.93709721940682422</v>
      </c>
      <c r="AP8" s="7">
        <f ca="1"/>
        <v>1.0470075945017589E-4</v>
      </c>
      <c r="AQ8" s="6">
        <f ca="1"/>
        <v>1.6477916396192211</v>
      </c>
      <c r="AR8" s="6">
        <f ca="1"/>
        <v>-179.84497183923963</v>
      </c>
      <c r="AS8" s="6">
        <f ca="1"/>
        <v>265.89660436850676</v>
      </c>
      <c r="AU8" s="60">
        <f ca="1"/>
        <v>1369.4384342066842</v>
      </c>
      <c r="AV8" s="61" t="str">
        <f ca="1"/>
        <v>c</v>
      </c>
      <c r="AW8" s="61">
        <f ca="1"/>
        <v>0.88449120609039844</v>
      </c>
      <c r="AX8" s="62">
        <f ca="1"/>
        <v>0.93709721940682422</v>
      </c>
      <c r="AY8" s="62">
        <f ca="1"/>
        <v>1.0470075945017589E-4</v>
      </c>
      <c r="AZ8" s="62">
        <f ca="1"/>
        <v>1.6477916396192211</v>
      </c>
      <c r="BA8" s="60">
        <f ca="1"/>
        <v>-179.84497183923963</v>
      </c>
      <c r="BB8" s="60">
        <f ca="1"/>
        <v>265.89660436850676</v>
      </c>
    </row>
    <row r="9" spans="1:54" x14ac:dyDescent="0.3">
      <c r="A9" t="s">
        <v>336</v>
      </c>
      <c r="B9" t="s">
        <v>337</v>
      </c>
      <c r="C9" t="s">
        <v>57</v>
      </c>
      <c r="D9" t="s">
        <v>84</v>
      </c>
      <c r="E9" t="s">
        <v>84</v>
      </c>
      <c r="F9" t="s">
        <v>259</v>
      </c>
      <c r="G9" t="s">
        <v>1419</v>
      </c>
      <c r="H9" t="s">
        <v>1437</v>
      </c>
      <c r="J9" t="s">
        <v>109</v>
      </c>
      <c r="K9" t="s">
        <v>109</v>
      </c>
      <c r="L9" t="s">
        <v>307</v>
      </c>
      <c r="M9" t="s">
        <v>84</v>
      </c>
      <c r="N9" t="s">
        <v>56</v>
      </c>
      <c r="O9" t="s">
        <v>36</v>
      </c>
      <c r="Q9" t="s">
        <v>84</v>
      </c>
      <c r="V9" t="s">
        <v>49</v>
      </c>
      <c r="X9" t="s">
        <v>84</v>
      </c>
      <c r="Z9" t="s">
        <v>84</v>
      </c>
      <c r="AA9" t="s">
        <v>84</v>
      </c>
      <c r="AB9" t="s">
        <v>36</v>
      </c>
      <c r="AC9" t="s">
        <v>1340</v>
      </c>
      <c r="AD9" t="s">
        <v>36</v>
      </c>
      <c r="AE9" t="s">
        <v>1340</v>
      </c>
      <c r="AF9" t="s">
        <v>86</v>
      </c>
      <c r="AG9" t="s">
        <v>269</v>
      </c>
      <c r="AH9" t="s">
        <v>183</v>
      </c>
      <c r="AI9" s="4">
        <f ca="1">data[[#This Row],[Expiry Date]]-TODAY()</f>
        <v>42</v>
      </c>
      <c r="AJ9" s="4">
        <f ca="1">data[[#This Row],[Maturity ( Days)]]/365</f>
        <v>0.11506849315068493</v>
      </c>
      <c r="AK9" s="4" t="str">
        <f>IF(data[[#This Row],[Option Type]]="put","p","c")</f>
        <v>c</v>
      </c>
      <c r="AL9" s="4">
        <f>(data[[#This Row],[Bid]]*data[[#This Row],[Bidsize]]+data[[#This Row],[Ask]]*data[[#This Row],[Asksize]])/(data[[#This Row],[Bidsize]]+data[[#This Row],[Asksize]])</f>
        <v>1272.95</v>
      </c>
      <c r="AM9" s="4">
        <f>VALUE(data[[#This Row],[Strike]])</f>
        <v>2700</v>
      </c>
      <c r="AN9" s="5">
        <f ca="1">impliedVol(data[[#This Row],[OptType]],Details!$B$4,VALUE(data[[#This Row],[Strike]]),VALUE(data[[#This Row],[Cnt Price]]),Details!$B$6,data[[#This Row],[T]],Details!$B$7)</f>
        <v>0.82300243567797782</v>
      </c>
      <c r="AO9" s="7">
        <f t="array" aca="1" ref="AO9:AS9" ca="1">bsGreeks(data[[#This Row],[OptType]],Details!$B$4,VALUE(data[[#This Row],[Strike]]),Details!$B$6,data[[#This Row],[T]],AN9,Details!$B$7)</f>
        <v>0.93167812234939129</v>
      </c>
      <c r="AP9" s="7">
        <f ca="1"/>
        <v>1.1996973356508855E-4</v>
      </c>
      <c r="AQ9" s="6">
        <f ca="1"/>
        <v>1.7568381704217557</v>
      </c>
      <c r="AR9" s="6">
        <f ca="1"/>
        <v>-178.68052176604283</v>
      </c>
      <c r="AS9" s="6">
        <f ca="1"/>
        <v>274.85499389399899</v>
      </c>
      <c r="AU9" s="60">
        <f ca="1"/>
        <v>1270.1986429104563</v>
      </c>
      <c r="AV9" s="61" t="str">
        <f ca="1"/>
        <v>c</v>
      </c>
      <c r="AW9" s="61">
        <f ca="1"/>
        <v>0.82300243567797782</v>
      </c>
      <c r="AX9" s="62">
        <f ca="1"/>
        <v>0.93167812234939129</v>
      </c>
      <c r="AY9" s="62">
        <f ca="1"/>
        <v>1.1996973356508855E-4</v>
      </c>
      <c r="AZ9" s="62">
        <f ca="1"/>
        <v>1.7568381704217557</v>
      </c>
      <c r="BA9" s="60">
        <f ca="1"/>
        <v>-178.68052176604283</v>
      </c>
      <c r="BB9" s="60">
        <f ca="1"/>
        <v>274.85499389399899</v>
      </c>
    </row>
    <row r="10" spans="1:54" x14ac:dyDescent="0.3">
      <c r="A10" t="s">
        <v>340</v>
      </c>
      <c r="B10" t="s">
        <v>341</v>
      </c>
      <c r="C10" t="s">
        <v>57</v>
      </c>
      <c r="D10" t="s">
        <v>84</v>
      </c>
      <c r="E10" t="s">
        <v>84</v>
      </c>
      <c r="F10" t="s">
        <v>162</v>
      </c>
      <c r="G10" t="s">
        <v>1438</v>
      </c>
      <c r="H10" t="s">
        <v>1439</v>
      </c>
      <c r="J10" t="s">
        <v>109</v>
      </c>
      <c r="K10" t="s">
        <v>109</v>
      </c>
      <c r="L10" t="s">
        <v>307</v>
      </c>
      <c r="M10" t="s">
        <v>84</v>
      </c>
      <c r="N10" t="s">
        <v>56</v>
      </c>
      <c r="O10" t="s">
        <v>36</v>
      </c>
      <c r="Q10" t="s">
        <v>84</v>
      </c>
      <c r="V10" t="s">
        <v>49</v>
      </c>
      <c r="X10" t="s">
        <v>84</v>
      </c>
      <c r="Z10" t="s">
        <v>84</v>
      </c>
      <c r="AA10" t="s">
        <v>84</v>
      </c>
      <c r="AB10" t="s">
        <v>36</v>
      </c>
      <c r="AC10" t="s">
        <v>1340</v>
      </c>
      <c r="AD10" t="s">
        <v>36</v>
      </c>
      <c r="AE10" t="s">
        <v>1340</v>
      </c>
      <c r="AF10" t="s">
        <v>86</v>
      </c>
      <c r="AG10" t="s">
        <v>269</v>
      </c>
      <c r="AH10" t="s">
        <v>183</v>
      </c>
      <c r="AI10" s="4">
        <f ca="1">data[[#This Row],[Expiry Date]]-TODAY()</f>
        <v>42</v>
      </c>
      <c r="AJ10" s="4">
        <f ca="1">data[[#This Row],[Maturity ( Days)]]/365</f>
        <v>0.11506849315068493</v>
      </c>
      <c r="AK10" s="4" t="str">
        <f>IF(data[[#This Row],[Option Type]]="put","p","c")</f>
        <v>c</v>
      </c>
      <c r="AL10" s="4">
        <f>(data[[#This Row],[Bid]]*data[[#This Row],[Bidsize]]+data[[#This Row],[Ask]]*data[[#This Row],[Asksize]])/(data[[#This Row],[Bidsize]]+data[[#This Row],[Asksize]])</f>
        <v>1174.05</v>
      </c>
      <c r="AM10" s="4">
        <f>VALUE(data[[#This Row],[Strike]])</f>
        <v>2800</v>
      </c>
      <c r="AN10" s="5">
        <f ca="1">impliedVol(data[[#This Row],[OptType]],Details!$B$4,VALUE(data[[#This Row],[Strike]]),VALUE(data[[#This Row],[Cnt Price]]),Details!$B$6,data[[#This Row],[T]],Details!$B$7)</f>
        <v>0.76430329568405919</v>
      </c>
      <c r="AO10" s="7">
        <f t="array" aca="1" ref="AO10:AS10" ca="1">bsGreeks(data[[#This Row],[OptType]],Details!$B$4,VALUE(data[[#This Row],[Strike]]),Details!$B$6,data[[#This Row],[T]],AN10,Details!$B$7)</f>
        <v>0.92531619331145309</v>
      </c>
      <c r="AP10" s="7">
        <f ca="1"/>
        <v>1.383189327956908E-4</v>
      </c>
      <c r="AQ10" s="6">
        <f ca="1"/>
        <v>1.8810758402511942</v>
      </c>
      <c r="AR10" s="6">
        <f ca="1"/>
        <v>-177.91063830799439</v>
      </c>
      <c r="AS10" s="6">
        <f ca="1"/>
        <v>283.35824452944985</v>
      </c>
      <c r="AU10" s="60">
        <f ca="1"/>
        <v>1171.2133742000628</v>
      </c>
      <c r="AV10" s="61" t="str">
        <f ca="1"/>
        <v>c</v>
      </c>
      <c r="AW10" s="61">
        <f ca="1"/>
        <v>0.76430329568405919</v>
      </c>
      <c r="AX10" s="62">
        <f ca="1"/>
        <v>0.92531619331145309</v>
      </c>
      <c r="AY10" s="62">
        <f ca="1"/>
        <v>1.383189327956908E-4</v>
      </c>
      <c r="AZ10" s="62">
        <f ca="1"/>
        <v>1.8810758402511942</v>
      </c>
      <c r="BA10" s="60">
        <f ca="1"/>
        <v>-177.91063830799439</v>
      </c>
      <c r="BB10" s="60">
        <f ca="1"/>
        <v>283.35824452944985</v>
      </c>
    </row>
    <row r="11" spans="1:54" x14ac:dyDescent="0.3">
      <c r="A11" t="s">
        <v>769</v>
      </c>
      <c r="B11" t="s">
        <v>770</v>
      </c>
      <c r="C11" t="s">
        <v>57</v>
      </c>
      <c r="D11" t="s">
        <v>84</v>
      </c>
      <c r="E11" t="s">
        <v>84</v>
      </c>
      <c r="F11" t="s">
        <v>771</v>
      </c>
      <c r="G11" t="s">
        <v>1440</v>
      </c>
      <c r="H11" t="s">
        <v>1441</v>
      </c>
      <c r="J11" t="s">
        <v>109</v>
      </c>
      <c r="K11" t="s">
        <v>109</v>
      </c>
      <c r="L11" t="s">
        <v>307</v>
      </c>
      <c r="M11" t="s">
        <v>84</v>
      </c>
      <c r="N11" t="s">
        <v>56</v>
      </c>
      <c r="O11" t="s">
        <v>36</v>
      </c>
      <c r="Q11" t="s">
        <v>84</v>
      </c>
      <c r="V11" t="s">
        <v>49</v>
      </c>
      <c r="X11" t="s">
        <v>84</v>
      </c>
      <c r="Z11" t="s">
        <v>84</v>
      </c>
      <c r="AA11" t="s">
        <v>84</v>
      </c>
      <c r="AB11" t="s">
        <v>36</v>
      </c>
      <c r="AC11" t="s">
        <v>1340</v>
      </c>
      <c r="AD11" t="s">
        <v>36</v>
      </c>
      <c r="AE11" t="s">
        <v>1340</v>
      </c>
      <c r="AF11" t="s">
        <v>86</v>
      </c>
      <c r="AG11" t="s">
        <v>269</v>
      </c>
      <c r="AH11" t="s">
        <v>183</v>
      </c>
      <c r="AI11" s="4">
        <f ca="1">data[[#This Row],[Expiry Date]]-TODAY()</f>
        <v>42</v>
      </c>
      <c r="AJ11" s="4">
        <f ca="1">data[[#This Row],[Maturity ( Days)]]/365</f>
        <v>0.11506849315068493</v>
      </c>
      <c r="AK11" s="4" t="str">
        <f>IF(data[[#This Row],[Option Type]]="put","p","c")</f>
        <v>c</v>
      </c>
      <c r="AL11" s="4">
        <f>(data[[#This Row],[Bid]]*data[[#This Row],[Bidsize]]+data[[#This Row],[Ask]]*data[[#This Row],[Asksize]])/(data[[#This Row],[Bidsize]]+data[[#This Row],[Asksize]])</f>
        <v>1124.7</v>
      </c>
      <c r="AM11" s="4">
        <f>VALUE(data[[#This Row],[Strike]])</f>
        <v>2850</v>
      </c>
      <c r="AN11" s="5">
        <f ca="1">impliedVol(data[[#This Row],[OptType]],Details!$B$4,VALUE(data[[#This Row],[Strike]]),VALUE(data[[#This Row],[Cnt Price]]),Details!$B$6,data[[#This Row],[T]],Details!$B$7)</f>
        <v>0.73588316416512523</v>
      </c>
      <c r="AO11" s="7">
        <f t="array" aca="1" ref="AO11:AS11" ca="1">bsGreeks(data[[#This Row],[OptType]],Details!$B$4,VALUE(data[[#This Row],[Strike]]),Details!$B$6,data[[#This Row],[T]],AN11,Details!$B$7)</f>
        <v>0.92171743950617868</v>
      </c>
      <c r="AP11" s="7">
        <f ca="1"/>
        <v>1.4889744854803283E-4</v>
      </c>
      <c r="AQ11" s="6">
        <f ca="1"/>
        <v>1.9496428743988949</v>
      </c>
      <c r="AR11" s="6">
        <f ca="1"/>
        <v>-177.64969460818338</v>
      </c>
      <c r="AS11" s="6">
        <f ca="1"/>
        <v>287.40942847300283</v>
      </c>
      <c r="AU11" s="60">
        <f ca="1"/>
        <v>1121.8227310837838</v>
      </c>
      <c r="AV11" s="61" t="str">
        <f ca="1"/>
        <v>c</v>
      </c>
      <c r="AW11" s="61">
        <f ca="1"/>
        <v>0.73588316416512523</v>
      </c>
      <c r="AX11" s="62">
        <f ca="1"/>
        <v>0.92171743950617868</v>
      </c>
      <c r="AY11" s="62">
        <f ca="1"/>
        <v>1.4889744854803283E-4</v>
      </c>
      <c r="AZ11" s="62">
        <f ca="1"/>
        <v>1.9496428743988949</v>
      </c>
      <c r="BA11" s="60">
        <f ca="1"/>
        <v>-177.64969460818338</v>
      </c>
      <c r="BB11" s="60">
        <f ca="1"/>
        <v>287.40942847300283</v>
      </c>
    </row>
    <row r="12" spans="1:54" x14ac:dyDescent="0.3">
      <c r="A12" t="s">
        <v>772</v>
      </c>
      <c r="B12" t="s">
        <v>773</v>
      </c>
      <c r="C12" t="s">
        <v>29</v>
      </c>
      <c r="D12" t="s">
        <v>84</v>
      </c>
      <c r="E12" t="s">
        <v>84</v>
      </c>
      <c r="F12" t="s">
        <v>771</v>
      </c>
      <c r="G12" t="s">
        <v>101</v>
      </c>
      <c r="H12" t="s">
        <v>1018</v>
      </c>
      <c r="J12" t="s">
        <v>1314</v>
      </c>
      <c r="K12" t="s">
        <v>1346</v>
      </c>
      <c r="L12" t="s">
        <v>307</v>
      </c>
      <c r="M12" t="s">
        <v>84</v>
      </c>
      <c r="N12" t="s">
        <v>56</v>
      </c>
      <c r="O12" t="s">
        <v>36</v>
      </c>
      <c r="Q12" t="s">
        <v>84</v>
      </c>
      <c r="V12" t="s">
        <v>49</v>
      </c>
      <c r="X12" t="s">
        <v>84</v>
      </c>
      <c r="Z12" t="s">
        <v>84</v>
      </c>
      <c r="AA12" t="s">
        <v>84</v>
      </c>
      <c r="AB12" t="s">
        <v>36</v>
      </c>
      <c r="AC12" t="s">
        <v>1340</v>
      </c>
      <c r="AD12" t="s">
        <v>36</v>
      </c>
      <c r="AE12" t="s">
        <v>1340</v>
      </c>
      <c r="AF12" t="s">
        <v>86</v>
      </c>
      <c r="AG12" t="s">
        <v>269</v>
      </c>
      <c r="AH12" t="s">
        <v>183</v>
      </c>
      <c r="AI12" s="4">
        <f ca="1">data[[#This Row],[Expiry Date]]-TODAY()</f>
        <v>42</v>
      </c>
      <c r="AJ12" s="4">
        <f ca="1">data[[#This Row],[Maturity ( Days)]]/365</f>
        <v>0.11506849315068493</v>
      </c>
      <c r="AK12" s="4" t="str">
        <f>IF(data[[#This Row],[Option Type]]="put","p","c")</f>
        <v>p</v>
      </c>
      <c r="AL12" s="4">
        <f>(data[[#This Row],[Bid]]*data[[#This Row],[Bidsize]]+data[[#This Row],[Ask]]*data[[#This Row],[Asksize]])/(data[[#This Row],[Bidsize]]+data[[#This Row],[Asksize]])</f>
        <v>5.1990639625585029</v>
      </c>
      <c r="AM12" s="4">
        <f>VALUE(data[[#This Row],[Strike]])</f>
        <v>2850</v>
      </c>
      <c r="AN12" s="5">
        <f ca="1">impliedVol(data[[#This Row],[OptType]],Details!$B$4,VALUE(data[[#This Row],[Strike]]),VALUE(data[[#This Row],[Cnt Price]]),Details!$B$6,data[[#This Row],[T]],Details!$B$7)</f>
        <v>0.48676786350526102</v>
      </c>
      <c r="AO12" s="7">
        <f t="array" aca="1" ref="AO12:AS12" ca="1">bsGreeks(data[[#This Row],[OptType]],Details!$B$4,VALUE(data[[#This Row],[Strike]]),Details!$B$6,data[[#This Row],[T]],AN12,Details!$B$7)</f>
        <v>-2.0893686204504269E-2</v>
      </c>
      <c r="AP12" s="7">
        <f ca="1"/>
        <v>7.7338375703592501E-5</v>
      </c>
      <c r="AQ12" s="6">
        <f ca="1"/>
        <v>0.66984741960959371</v>
      </c>
      <c r="AR12" s="6">
        <f ca="1"/>
        <v>-38.577203414079648</v>
      </c>
      <c r="AS12" s="6">
        <f ca="1"/>
        <v>-10.046875755519952</v>
      </c>
      <c r="AU12" s="60">
        <f ca="1"/>
        <v>5.29880284709634</v>
      </c>
      <c r="AV12" s="61" t="str">
        <f ca="1"/>
        <v>p</v>
      </c>
      <c r="AW12" s="61">
        <f ca="1"/>
        <v>0.48676786350526102</v>
      </c>
      <c r="AX12" s="62">
        <f ca="1"/>
        <v>-2.0893686204504269E-2</v>
      </c>
      <c r="AY12" s="62">
        <f ca="1"/>
        <v>7.7338375703592501E-5</v>
      </c>
      <c r="AZ12" s="62">
        <f ca="1"/>
        <v>0.66984741960959371</v>
      </c>
      <c r="BA12" s="60">
        <f ca="1"/>
        <v>-38.577203414079648</v>
      </c>
      <c r="BB12" s="60">
        <f ca="1"/>
        <v>-10.046875755519952</v>
      </c>
    </row>
    <row r="13" spans="1:54" x14ac:dyDescent="0.3">
      <c r="A13" t="s">
        <v>342</v>
      </c>
      <c r="B13" t="s">
        <v>343</v>
      </c>
      <c r="C13" t="s">
        <v>57</v>
      </c>
      <c r="D13" t="s">
        <v>84</v>
      </c>
      <c r="E13" t="s">
        <v>84</v>
      </c>
      <c r="F13" t="s">
        <v>246</v>
      </c>
      <c r="G13" t="s">
        <v>1422</v>
      </c>
      <c r="H13" t="s">
        <v>1442</v>
      </c>
      <c r="J13" t="s">
        <v>109</v>
      </c>
      <c r="K13" t="s">
        <v>109</v>
      </c>
      <c r="L13" t="s">
        <v>307</v>
      </c>
      <c r="M13" t="s">
        <v>84</v>
      </c>
      <c r="N13" t="s">
        <v>56</v>
      </c>
      <c r="O13" t="s">
        <v>36</v>
      </c>
      <c r="Q13" t="s">
        <v>84</v>
      </c>
      <c r="V13" t="s">
        <v>49</v>
      </c>
      <c r="X13" t="s">
        <v>84</v>
      </c>
      <c r="Z13" t="s">
        <v>84</v>
      </c>
      <c r="AA13" t="s">
        <v>84</v>
      </c>
      <c r="AB13" t="s">
        <v>36</v>
      </c>
      <c r="AC13" t="s">
        <v>1340</v>
      </c>
      <c r="AD13" t="s">
        <v>36</v>
      </c>
      <c r="AE13" t="s">
        <v>1340</v>
      </c>
      <c r="AF13" t="s">
        <v>86</v>
      </c>
      <c r="AG13" t="s">
        <v>269</v>
      </c>
      <c r="AH13" t="s">
        <v>183</v>
      </c>
      <c r="AI13" s="4">
        <f ca="1">data[[#This Row],[Expiry Date]]-TODAY()</f>
        <v>42</v>
      </c>
      <c r="AJ13" s="4">
        <f ca="1">data[[#This Row],[Maturity ( Days)]]/365</f>
        <v>0.11506849315068493</v>
      </c>
      <c r="AK13" s="4" t="str">
        <f>IF(data[[#This Row],[Option Type]]="put","p","c")</f>
        <v>c</v>
      </c>
      <c r="AL13" s="4">
        <f>(data[[#This Row],[Bid]]*data[[#This Row],[Bidsize]]+data[[#This Row],[Ask]]*data[[#This Row],[Asksize]])/(data[[#This Row],[Bidsize]]+data[[#This Row],[Asksize]])</f>
        <v>1075.4000000000001</v>
      </c>
      <c r="AM13" s="4">
        <f>VALUE(data[[#This Row],[Strike]])</f>
        <v>2900</v>
      </c>
      <c r="AN13" s="5">
        <f ca="1">impliedVol(data[[#This Row],[OptType]],Details!$B$4,VALUE(data[[#This Row],[Strike]]),VALUE(data[[#This Row],[Cnt Price]]),Details!$B$6,data[[#This Row],[T]],Details!$B$7)</f>
        <v>0.70791943741467311</v>
      </c>
      <c r="AO13" s="7">
        <f t="array" aca="1" ref="AO13:AS13" ca="1">bsGreeks(data[[#This Row],[OptType]],Details!$B$4,VALUE(data[[#This Row],[Strike]]),Details!$B$6,data[[#This Row],[T]],AN13,Details!$B$7)</f>
        <v>0.91782423271597802</v>
      </c>
      <c r="AP13" s="7">
        <f ca="1"/>
        <v>1.605624312554619E-4</v>
      </c>
      <c r="AQ13" s="6">
        <f ca="1"/>
        <v>2.0224915530597416</v>
      </c>
      <c r="AR13" s="6">
        <f ca="1"/>
        <v>-177.39196487595456</v>
      </c>
      <c r="AS13" s="6">
        <f ca="1"/>
        <v>291.32170026945937</v>
      </c>
      <c r="AU13" s="60">
        <f ca="1"/>
        <v>1072.4834668084127</v>
      </c>
      <c r="AV13" s="61" t="str">
        <f ca="1"/>
        <v>c</v>
      </c>
      <c r="AW13" s="61">
        <f ca="1"/>
        <v>0.70791943741467311</v>
      </c>
      <c r="AX13" s="62">
        <f ca="1"/>
        <v>0.91782423271597802</v>
      </c>
      <c r="AY13" s="62">
        <f ca="1"/>
        <v>1.605624312554619E-4</v>
      </c>
      <c r="AZ13" s="62">
        <f ca="1"/>
        <v>2.0224915530597416</v>
      </c>
      <c r="BA13" s="60">
        <f ca="1"/>
        <v>-177.39196487595456</v>
      </c>
      <c r="BB13" s="60">
        <f ca="1"/>
        <v>291.32170026945937</v>
      </c>
    </row>
    <row r="14" spans="1:54" x14ac:dyDescent="0.3">
      <c r="A14" t="s">
        <v>346</v>
      </c>
      <c r="B14" t="s">
        <v>347</v>
      </c>
      <c r="C14" t="s">
        <v>57</v>
      </c>
      <c r="D14" t="s">
        <v>84</v>
      </c>
      <c r="E14" t="s">
        <v>84</v>
      </c>
      <c r="F14" t="s">
        <v>247</v>
      </c>
      <c r="G14" t="s">
        <v>1443</v>
      </c>
      <c r="H14" t="s">
        <v>1444</v>
      </c>
      <c r="J14" t="s">
        <v>109</v>
      </c>
      <c r="K14" t="s">
        <v>109</v>
      </c>
      <c r="L14" t="s">
        <v>307</v>
      </c>
      <c r="M14" t="s">
        <v>84</v>
      </c>
      <c r="N14" t="s">
        <v>56</v>
      </c>
      <c r="O14" t="s">
        <v>36</v>
      </c>
      <c r="Q14" t="s">
        <v>84</v>
      </c>
      <c r="V14" t="s">
        <v>49</v>
      </c>
      <c r="X14" t="s">
        <v>84</v>
      </c>
      <c r="Z14" t="s">
        <v>84</v>
      </c>
      <c r="AA14" t="s">
        <v>84</v>
      </c>
      <c r="AB14" t="s">
        <v>36</v>
      </c>
      <c r="AC14" t="s">
        <v>1340</v>
      </c>
      <c r="AD14" t="s">
        <v>36</v>
      </c>
      <c r="AE14" t="s">
        <v>1340</v>
      </c>
      <c r="AF14" t="s">
        <v>86</v>
      </c>
      <c r="AG14" t="s">
        <v>269</v>
      </c>
      <c r="AH14" t="s">
        <v>183</v>
      </c>
      <c r="AI14" s="4">
        <f ca="1">data[[#This Row],[Expiry Date]]-TODAY()</f>
        <v>42</v>
      </c>
      <c r="AJ14" s="4">
        <f ca="1">data[[#This Row],[Maturity ( Days)]]/365</f>
        <v>0.11506849315068493</v>
      </c>
      <c r="AK14" s="4" t="str">
        <f>IF(data[[#This Row],[Option Type]]="put","p","c")</f>
        <v>c</v>
      </c>
      <c r="AL14" s="4">
        <f>(data[[#This Row],[Bid]]*data[[#This Row],[Bidsize]]+data[[#This Row],[Ask]]*data[[#This Row],[Asksize]])/(data[[#This Row],[Bidsize]]+data[[#This Row],[Asksize]])</f>
        <v>1026.2</v>
      </c>
      <c r="AM14" s="4">
        <f>VALUE(data[[#This Row],[Strike]])</f>
        <v>2950</v>
      </c>
      <c r="AN14" s="5">
        <f ca="1">impliedVol(data[[#This Row],[OptType]],Details!$B$4,VALUE(data[[#This Row],[Strike]]),VALUE(data[[#This Row],[Cnt Price]]),Details!$B$6,data[[#This Row],[T]],Details!$B$7)</f>
        <v>0.68060196032281173</v>
      </c>
      <c r="AO14" s="7">
        <f t="array" aca="1" ref="AO14:AS14" ca="1">bsGreeks(data[[#This Row],[OptType]],Details!$B$4,VALUE(data[[#This Row],[Strike]]),Details!$B$6,data[[#This Row],[T]],AN14,Details!$B$7)</f>
        <v>0.91354346453937052</v>
      </c>
      <c r="AP14" s="7">
        <f ca="1"/>
        <v>1.7349441987448322E-4</v>
      </c>
      <c r="AQ14" s="6">
        <f ca="1"/>
        <v>2.101056109482327</v>
      </c>
      <c r="AR14" s="6">
        <f ca="1"/>
        <v>-177.26908182046614</v>
      </c>
      <c r="AS14" s="6">
        <f ca="1"/>
        <v>295.04720037518939</v>
      </c>
      <c r="AU14" s="60">
        <f ca="1"/>
        <v>1023.2460590027626</v>
      </c>
      <c r="AV14" s="61" t="str">
        <f ca="1"/>
        <v>c</v>
      </c>
      <c r="AW14" s="61">
        <f ca="1"/>
        <v>0.68060196032281173</v>
      </c>
      <c r="AX14" s="62">
        <f ca="1"/>
        <v>0.91354346453937052</v>
      </c>
      <c r="AY14" s="62">
        <f ca="1"/>
        <v>1.7349441987448322E-4</v>
      </c>
      <c r="AZ14" s="62">
        <f ca="1"/>
        <v>2.101056109482327</v>
      </c>
      <c r="BA14" s="60">
        <f ca="1"/>
        <v>-177.26908182046614</v>
      </c>
      <c r="BB14" s="60">
        <f ca="1"/>
        <v>295.04720037518939</v>
      </c>
    </row>
    <row r="15" spans="1:54" x14ac:dyDescent="0.3">
      <c r="A15" t="s">
        <v>348</v>
      </c>
      <c r="B15" t="s">
        <v>349</v>
      </c>
      <c r="C15" t="s">
        <v>57</v>
      </c>
      <c r="D15" t="s">
        <v>84</v>
      </c>
      <c r="E15" t="s">
        <v>84</v>
      </c>
      <c r="F15" t="s">
        <v>88</v>
      </c>
      <c r="G15" t="s">
        <v>1445</v>
      </c>
      <c r="H15" t="s">
        <v>1446</v>
      </c>
      <c r="J15" t="s">
        <v>109</v>
      </c>
      <c r="K15" t="s">
        <v>109</v>
      </c>
      <c r="L15" t="s">
        <v>307</v>
      </c>
      <c r="M15" t="s">
        <v>84</v>
      </c>
      <c r="N15" t="s">
        <v>56</v>
      </c>
      <c r="O15" t="s">
        <v>36</v>
      </c>
      <c r="Q15" t="s">
        <v>84</v>
      </c>
      <c r="V15" t="s">
        <v>49</v>
      </c>
      <c r="X15" t="s">
        <v>84</v>
      </c>
      <c r="Z15" t="s">
        <v>84</v>
      </c>
      <c r="AA15" t="s">
        <v>84</v>
      </c>
      <c r="AB15" t="s">
        <v>36</v>
      </c>
      <c r="AC15" t="s">
        <v>1340</v>
      </c>
      <c r="AD15" t="s">
        <v>36</v>
      </c>
      <c r="AE15" t="s">
        <v>1340</v>
      </c>
      <c r="AF15" t="s">
        <v>86</v>
      </c>
      <c r="AG15" t="s">
        <v>269</v>
      </c>
      <c r="AH15" t="s">
        <v>183</v>
      </c>
      <c r="AI15" s="4">
        <f ca="1">data[[#This Row],[Expiry Date]]-TODAY()</f>
        <v>42</v>
      </c>
      <c r="AJ15" s="4">
        <f ca="1">data[[#This Row],[Maturity ( Days)]]/365</f>
        <v>0.11506849315068493</v>
      </c>
      <c r="AK15" s="4" t="str">
        <f>IF(data[[#This Row],[Option Type]]="put","p","c")</f>
        <v>c</v>
      </c>
      <c r="AL15" s="4">
        <f>(data[[#This Row],[Bid]]*data[[#This Row],[Bidsize]]+data[[#This Row],[Ask]]*data[[#This Row],[Asksize]])/(data[[#This Row],[Bidsize]]+data[[#This Row],[Asksize]])</f>
        <v>977.1</v>
      </c>
      <c r="AM15" s="4">
        <f>VALUE(data[[#This Row],[Strike]])</f>
        <v>3000</v>
      </c>
      <c r="AN15" s="5">
        <f ca="1">impliedVol(data[[#This Row],[OptType]],Details!$B$4,VALUE(data[[#This Row],[Strike]]),VALUE(data[[#This Row],[Cnt Price]]),Details!$B$6,data[[#This Row],[T]],Details!$B$7)</f>
        <v>0.65385400805420679</v>
      </c>
      <c r="AO15" s="7">
        <f t="array" aca="1" ref="AO15:AS15" ca="1">bsGreeks(data[[#This Row],[OptType]],Details!$B$4,VALUE(data[[#This Row],[Strike]]),Details!$B$6,data[[#This Row],[T]],AN15,Details!$B$7)</f>
        <v>0.9088360267284239</v>
      </c>
      <c r="AP15" s="7">
        <f ca="1"/>
        <v>1.8786398749021674E-4</v>
      </c>
      <c r="AQ15" s="6">
        <f ca="1"/>
        <v>2.1856633517336967</v>
      </c>
      <c r="AR15" s="6">
        <f ca="1"/>
        <v>-177.24846935705079</v>
      </c>
      <c r="AS15" s="6">
        <f ca="1"/>
        <v>298.56824333682204</v>
      </c>
      <c r="AU15" s="60">
        <f ca="1"/>
        <v>974.11068109156213</v>
      </c>
      <c r="AV15" s="61" t="str">
        <f ca="1"/>
        <v>c</v>
      </c>
      <c r="AW15" s="61">
        <f ca="1"/>
        <v>0.65385400805420679</v>
      </c>
      <c r="AX15" s="62">
        <f ca="1"/>
        <v>0.9088360267284239</v>
      </c>
      <c r="AY15" s="62">
        <f ca="1"/>
        <v>1.8786398749021674E-4</v>
      </c>
      <c r="AZ15" s="62">
        <f ca="1"/>
        <v>2.1856633517336967</v>
      </c>
      <c r="BA15" s="60">
        <f ca="1"/>
        <v>-177.24846935705079</v>
      </c>
      <c r="BB15" s="60">
        <f ca="1"/>
        <v>298.56824333682204</v>
      </c>
    </row>
    <row r="16" spans="1:54" x14ac:dyDescent="0.3">
      <c r="A16" t="s">
        <v>350</v>
      </c>
      <c r="B16" t="s">
        <v>351</v>
      </c>
      <c r="C16" t="s">
        <v>57</v>
      </c>
      <c r="D16" t="s">
        <v>84</v>
      </c>
      <c r="E16" t="s">
        <v>84</v>
      </c>
      <c r="F16" t="s">
        <v>260</v>
      </c>
      <c r="G16" t="s">
        <v>1447</v>
      </c>
      <c r="H16" t="s">
        <v>1448</v>
      </c>
      <c r="J16" t="s">
        <v>109</v>
      </c>
      <c r="K16" t="s">
        <v>109</v>
      </c>
      <c r="L16" t="s">
        <v>307</v>
      </c>
      <c r="M16" t="s">
        <v>84</v>
      </c>
      <c r="N16" t="s">
        <v>56</v>
      </c>
      <c r="O16" t="s">
        <v>36</v>
      </c>
      <c r="Q16" t="s">
        <v>84</v>
      </c>
      <c r="V16" t="s">
        <v>49</v>
      </c>
      <c r="X16" t="s">
        <v>84</v>
      </c>
      <c r="Z16" t="s">
        <v>84</v>
      </c>
      <c r="AA16" t="s">
        <v>84</v>
      </c>
      <c r="AB16" t="s">
        <v>36</v>
      </c>
      <c r="AC16" t="s">
        <v>1340</v>
      </c>
      <c r="AD16" t="s">
        <v>36</v>
      </c>
      <c r="AE16" t="s">
        <v>1340</v>
      </c>
      <c r="AF16" t="s">
        <v>86</v>
      </c>
      <c r="AG16" t="s">
        <v>269</v>
      </c>
      <c r="AH16" t="s">
        <v>183</v>
      </c>
      <c r="AI16" s="4">
        <f ca="1">data[[#This Row],[Expiry Date]]-TODAY()</f>
        <v>42</v>
      </c>
      <c r="AJ16" s="4">
        <f ca="1">data[[#This Row],[Maturity ( Days)]]/365</f>
        <v>0.11506849315068493</v>
      </c>
      <c r="AK16" s="4" t="str">
        <f>IF(data[[#This Row],[Option Type]]="put","p","c")</f>
        <v>c</v>
      </c>
      <c r="AL16" s="4">
        <f>(data[[#This Row],[Bid]]*data[[#This Row],[Bidsize]]+data[[#This Row],[Ask]]*data[[#This Row],[Asksize]])/(data[[#This Row],[Bidsize]]+data[[#This Row],[Asksize]])</f>
        <v>928.15000000000009</v>
      </c>
      <c r="AM16" s="4">
        <f>VALUE(data[[#This Row],[Strike]])</f>
        <v>3050</v>
      </c>
      <c r="AN16" s="5">
        <f ca="1">impliedVol(data[[#This Row],[OptType]],Details!$B$4,VALUE(data[[#This Row],[Strike]]),VALUE(data[[#This Row],[Cnt Price]]),Details!$B$6,data[[#This Row],[T]],Details!$B$7)</f>
        <v>0.62782081698371017</v>
      </c>
      <c r="AO16" s="7">
        <f t="array" aca="1" ref="AO16:AS16" ca="1">bsGreeks(data[[#This Row],[OptType]],Details!$B$4,VALUE(data[[#This Row],[Strike]]),Details!$B$6,data[[#This Row],[T]],AN16,Details!$B$7)</f>
        <v>0.90359192115379283</v>
      </c>
      <c r="AP16" s="7">
        <f ca="1"/>
        <v>2.0390144543464824E-4</v>
      </c>
      <c r="AQ16" s="6">
        <f ca="1"/>
        <v>2.2777967031051927</v>
      </c>
      <c r="AR16" s="6">
        <f ca="1"/>
        <v>-177.43851850519633</v>
      </c>
      <c r="AS16" s="6">
        <f ca="1"/>
        <v>301.82933152393036</v>
      </c>
      <c r="AU16" s="60">
        <f ca="1"/>
        <v>925.12788775821218</v>
      </c>
      <c r="AV16" s="61" t="str">
        <f ca="1"/>
        <v>c</v>
      </c>
      <c r="AW16" s="61">
        <f ca="1"/>
        <v>0.62782081698371017</v>
      </c>
      <c r="AX16" s="62">
        <f ca="1"/>
        <v>0.90359192115379283</v>
      </c>
      <c r="AY16" s="62">
        <f ca="1"/>
        <v>2.0390144543464824E-4</v>
      </c>
      <c r="AZ16" s="62">
        <f ca="1"/>
        <v>2.2777967031051927</v>
      </c>
      <c r="BA16" s="60">
        <f ca="1"/>
        <v>-177.43851850519633</v>
      </c>
      <c r="BB16" s="60">
        <f ca="1"/>
        <v>301.82933152393036</v>
      </c>
    </row>
    <row r="17" spans="1:54" x14ac:dyDescent="0.3">
      <c r="A17" t="s">
        <v>352</v>
      </c>
      <c r="B17" t="s">
        <v>353</v>
      </c>
      <c r="C17" t="s">
        <v>57</v>
      </c>
      <c r="D17" t="s">
        <v>84</v>
      </c>
      <c r="E17" t="s">
        <v>84</v>
      </c>
      <c r="F17" t="s">
        <v>163</v>
      </c>
      <c r="G17" t="s">
        <v>1449</v>
      </c>
      <c r="H17" t="s">
        <v>1450</v>
      </c>
      <c r="J17" t="s">
        <v>109</v>
      </c>
      <c r="K17" t="s">
        <v>109</v>
      </c>
      <c r="L17" t="s">
        <v>307</v>
      </c>
      <c r="M17" t="s">
        <v>84</v>
      </c>
      <c r="N17" t="s">
        <v>56</v>
      </c>
      <c r="O17" t="s">
        <v>36</v>
      </c>
      <c r="Q17" t="s">
        <v>84</v>
      </c>
      <c r="V17" t="s">
        <v>49</v>
      </c>
      <c r="X17" t="s">
        <v>84</v>
      </c>
      <c r="Z17" t="s">
        <v>84</v>
      </c>
      <c r="AA17" t="s">
        <v>84</v>
      </c>
      <c r="AB17" t="s">
        <v>36</v>
      </c>
      <c r="AC17" t="s">
        <v>1340</v>
      </c>
      <c r="AD17" t="s">
        <v>36</v>
      </c>
      <c r="AE17" t="s">
        <v>1340</v>
      </c>
      <c r="AF17" t="s">
        <v>86</v>
      </c>
      <c r="AG17" t="s">
        <v>269</v>
      </c>
      <c r="AH17" t="s">
        <v>183</v>
      </c>
      <c r="AI17" s="4">
        <f ca="1">data[[#This Row],[Expiry Date]]-TODAY()</f>
        <v>42</v>
      </c>
      <c r="AJ17" s="4">
        <f ca="1">data[[#This Row],[Maturity ( Days)]]/365</f>
        <v>0.11506849315068493</v>
      </c>
      <c r="AK17" s="4" t="str">
        <f>IF(data[[#This Row],[Option Type]]="put","p","c")</f>
        <v>c</v>
      </c>
      <c r="AL17" s="4">
        <f>(data[[#This Row],[Bid]]*data[[#This Row],[Bidsize]]+data[[#This Row],[Ask]]*data[[#This Row],[Asksize]])/(data[[#This Row],[Bidsize]]+data[[#This Row],[Asksize]])</f>
        <v>879.34999999999991</v>
      </c>
      <c r="AM17" s="4">
        <f>VALUE(data[[#This Row],[Strike]])</f>
        <v>3100</v>
      </c>
      <c r="AN17" s="5">
        <f ca="1">impliedVol(data[[#This Row],[OptType]],Details!$B$4,VALUE(data[[#This Row],[Strike]]),VALUE(data[[#This Row],[Cnt Price]]),Details!$B$6,data[[#This Row],[T]],Details!$B$7)</f>
        <v>0.60239964672946766</v>
      </c>
      <c r="AO17" s="7">
        <f t="array" aca="1" ref="AO17:AS17" ca="1">bsGreeks(data[[#This Row],[OptType]],Details!$B$4,VALUE(data[[#This Row],[Strike]]),Details!$B$6,data[[#This Row],[T]],AN17,Details!$B$7)</f>
        <v>0.89775637285504506</v>
      </c>
      <c r="AP17" s="7">
        <f ca="1"/>
        <v>2.2183595313905825E-4</v>
      </c>
      <c r="AQ17" s="6">
        <f ca="1"/>
        <v>2.3778014432614958</v>
      </c>
      <c r="AR17" s="6">
        <f ca="1"/>
        <v>-177.78786616030328</v>
      </c>
      <c r="AS17" s="6">
        <f ca="1"/>
        <v>304.80569447500505</v>
      </c>
      <c r="AU17" s="60">
        <f ca="1"/>
        <v>876.29792397937854</v>
      </c>
      <c r="AV17" s="61" t="str">
        <f ca="1"/>
        <v>c</v>
      </c>
      <c r="AW17" s="61">
        <f ca="1"/>
        <v>0.60239964672946766</v>
      </c>
      <c r="AX17" s="62">
        <f ca="1"/>
        <v>0.89775637285504506</v>
      </c>
      <c r="AY17" s="62">
        <f ca="1"/>
        <v>2.2183595313905825E-4</v>
      </c>
      <c r="AZ17" s="62">
        <f ca="1"/>
        <v>2.3778014432614958</v>
      </c>
      <c r="BA17" s="60">
        <f ca="1"/>
        <v>-177.78786616030328</v>
      </c>
      <c r="BB17" s="60">
        <f ca="1"/>
        <v>304.80569447500505</v>
      </c>
    </row>
    <row r="18" spans="1:54" x14ac:dyDescent="0.3">
      <c r="A18" t="s">
        <v>354</v>
      </c>
      <c r="B18" t="s">
        <v>355</v>
      </c>
      <c r="C18" t="s">
        <v>57</v>
      </c>
      <c r="D18" t="s">
        <v>84</v>
      </c>
      <c r="E18" t="s">
        <v>84</v>
      </c>
      <c r="F18" t="s">
        <v>248</v>
      </c>
      <c r="G18" t="s">
        <v>1451</v>
      </c>
      <c r="H18" t="s">
        <v>1452</v>
      </c>
      <c r="J18" t="s">
        <v>109</v>
      </c>
      <c r="K18" t="s">
        <v>109</v>
      </c>
      <c r="L18" t="s">
        <v>307</v>
      </c>
      <c r="M18" t="s">
        <v>84</v>
      </c>
      <c r="N18" t="s">
        <v>56</v>
      </c>
      <c r="O18" t="s">
        <v>36</v>
      </c>
      <c r="Q18" t="s">
        <v>84</v>
      </c>
      <c r="V18" t="s">
        <v>49</v>
      </c>
      <c r="X18" t="s">
        <v>84</v>
      </c>
      <c r="Z18" t="s">
        <v>84</v>
      </c>
      <c r="AA18" t="s">
        <v>84</v>
      </c>
      <c r="AB18" t="s">
        <v>36</v>
      </c>
      <c r="AC18" t="s">
        <v>1340</v>
      </c>
      <c r="AD18" t="s">
        <v>36</v>
      </c>
      <c r="AE18" t="s">
        <v>1340</v>
      </c>
      <c r="AF18" t="s">
        <v>86</v>
      </c>
      <c r="AG18" t="s">
        <v>269</v>
      </c>
      <c r="AH18" t="s">
        <v>183</v>
      </c>
      <c r="AI18" s="4">
        <f ca="1">data[[#This Row],[Expiry Date]]-TODAY()</f>
        <v>42</v>
      </c>
      <c r="AJ18" s="4">
        <f ca="1">data[[#This Row],[Maturity ( Days)]]/365</f>
        <v>0.11506849315068493</v>
      </c>
      <c r="AK18" s="4" t="str">
        <f>IF(data[[#This Row],[Option Type]]="put","p","c")</f>
        <v>c</v>
      </c>
      <c r="AL18" s="4">
        <f>(data[[#This Row],[Bid]]*data[[#This Row],[Bidsize]]+data[[#This Row],[Ask]]*data[[#This Row],[Asksize]])/(data[[#This Row],[Bidsize]]+data[[#This Row],[Asksize]])</f>
        <v>830.75</v>
      </c>
      <c r="AM18" s="4">
        <f>VALUE(data[[#This Row],[Strike]])</f>
        <v>3150</v>
      </c>
      <c r="AN18" s="5">
        <f ca="1">impliedVol(data[[#This Row],[OptType]],Details!$B$4,VALUE(data[[#This Row],[Strike]]),VALUE(data[[#This Row],[Cnt Price]]),Details!$B$6,data[[#This Row],[T]],Details!$B$7)</f>
        <v>0.57769134966632374</v>
      </c>
      <c r="AO18" s="7">
        <f t="array" aca="1" ref="AO18:AS18" ca="1">bsGreeks(data[[#This Row],[OptType]],Details!$B$4,VALUE(data[[#This Row],[Strike]]),Details!$B$6,data[[#This Row],[T]],AN18,Details!$B$7)</f>
        <v>0.89119915634398206</v>
      </c>
      <c r="AP18" s="7">
        <f ca="1"/>
        <v>2.4196107405805663E-4</v>
      </c>
      <c r="AQ18" s="6">
        <f ca="1"/>
        <v>2.4871404568039286</v>
      </c>
      <c r="AR18" s="6">
        <f ca="1"/>
        <v>-178.37581632681741</v>
      </c>
      <c r="AS18" s="6">
        <f ca="1"/>
        <v>307.43268745135447</v>
      </c>
      <c r="AU18" s="60">
        <f ca="1"/>
        <v>827.67143355029884</v>
      </c>
      <c r="AV18" s="61" t="str">
        <f ca="1"/>
        <v>c</v>
      </c>
      <c r="AW18" s="61">
        <f ca="1"/>
        <v>0.57769134966632374</v>
      </c>
      <c r="AX18" s="62">
        <f ca="1"/>
        <v>0.89119915634398206</v>
      </c>
      <c r="AY18" s="62">
        <f ca="1"/>
        <v>2.4196107405805663E-4</v>
      </c>
      <c r="AZ18" s="62">
        <f ca="1"/>
        <v>2.4871404568039286</v>
      </c>
      <c r="BA18" s="60">
        <f ca="1"/>
        <v>-178.37581632681741</v>
      </c>
      <c r="BB18" s="60">
        <f ca="1"/>
        <v>307.43268745135447</v>
      </c>
    </row>
    <row r="19" spans="1:54" x14ac:dyDescent="0.3">
      <c r="A19" t="s">
        <v>356</v>
      </c>
      <c r="B19" t="s">
        <v>357</v>
      </c>
      <c r="C19" t="s">
        <v>57</v>
      </c>
      <c r="D19" t="s">
        <v>84</v>
      </c>
      <c r="E19" t="s">
        <v>84</v>
      </c>
      <c r="F19" t="s">
        <v>90</v>
      </c>
      <c r="G19" t="s">
        <v>1453</v>
      </c>
      <c r="H19" t="s">
        <v>1454</v>
      </c>
      <c r="J19" t="s">
        <v>109</v>
      </c>
      <c r="K19" t="s">
        <v>109</v>
      </c>
      <c r="L19" t="s">
        <v>307</v>
      </c>
      <c r="M19" t="s">
        <v>84</v>
      </c>
      <c r="N19" t="s">
        <v>56</v>
      </c>
      <c r="O19" t="s">
        <v>36</v>
      </c>
      <c r="Q19" t="s">
        <v>84</v>
      </c>
      <c r="V19" t="s">
        <v>49</v>
      </c>
      <c r="X19" t="s">
        <v>84</v>
      </c>
      <c r="Z19" t="s">
        <v>84</v>
      </c>
      <c r="AA19" t="s">
        <v>84</v>
      </c>
      <c r="AB19" t="s">
        <v>36</v>
      </c>
      <c r="AC19" t="s">
        <v>1340</v>
      </c>
      <c r="AD19" t="s">
        <v>36</v>
      </c>
      <c r="AE19" t="s">
        <v>1340</v>
      </c>
      <c r="AF19" t="s">
        <v>86</v>
      </c>
      <c r="AG19" t="s">
        <v>269</v>
      </c>
      <c r="AH19" t="s">
        <v>183</v>
      </c>
      <c r="AI19" s="4">
        <f ca="1">data[[#This Row],[Expiry Date]]-TODAY()</f>
        <v>42</v>
      </c>
      <c r="AJ19" s="4">
        <f ca="1">data[[#This Row],[Maturity ( Days)]]/365</f>
        <v>0.11506849315068493</v>
      </c>
      <c r="AK19" s="4" t="str">
        <f>IF(data[[#This Row],[Option Type]]="put","p","c")</f>
        <v>c</v>
      </c>
      <c r="AL19" s="4">
        <f>(data[[#This Row],[Bid]]*data[[#This Row],[Bidsize]]+data[[#This Row],[Ask]]*data[[#This Row],[Asksize]])/(data[[#This Row],[Bidsize]]+data[[#This Row],[Asksize]])</f>
        <v>782.44999999999993</v>
      </c>
      <c r="AM19" s="4">
        <f>VALUE(data[[#This Row],[Strike]])</f>
        <v>3200</v>
      </c>
      <c r="AN19" s="5">
        <f ca="1">impliedVol(data[[#This Row],[OptType]],Details!$B$4,VALUE(data[[#This Row],[Strike]]),VALUE(data[[#This Row],[Cnt Price]]),Details!$B$6,data[[#This Row],[T]],Details!$B$7)</f>
        <v>0.5539542024798354</v>
      </c>
      <c r="AO19" s="7">
        <f t="array" aca="1" ref="AO19:AS19" ca="1">bsGreeks(data[[#This Row],[OptType]],Details!$B$4,VALUE(data[[#This Row],[Strike]]),Details!$B$6,data[[#This Row],[T]],AN19,Details!$B$7)</f>
        <v>0.88370818604294377</v>
      </c>
      <c r="AP19" s="7">
        <f ca="1"/>
        <v>2.6462079364089906E-4</v>
      </c>
      <c r="AQ19" s="6">
        <f ca="1"/>
        <v>2.6082953845197903</v>
      </c>
      <c r="AR19" s="6">
        <f ca="1"/>
        <v>-179.38905478877851</v>
      </c>
      <c r="AS19" s="6">
        <f ca="1"/>
        <v>309.602892880139</v>
      </c>
      <c r="AU19" s="60">
        <f ca="1"/>
        <v>779.34948783710888</v>
      </c>
      <c r="AV19" s="61" t="str">
        <f ca="1"/>
        <v>c</v>
      </c>
      <c r="AW19" s="61">
        <f ca="1"/>
        <v>0.5539542024798354</v>
      </c>
      <c r="AX19" s="62">
        <f ca="1"/>
        <v>0.88370818604294377</v>
      </c>
      <c r="AY19" s="62">
        <f ca="1"/>
        <v>2.6462079364089906E-4</v>
      </c>
      <c r="AZ19" s="62">
        <f ca="1"/>
        <v>2.6082953845197903</v>
      </c>
      <c r="BA19" s="60">
        <f ca="1"/>
        <v>-179.38905478877851</v>
      </c>
      <c r="BB19" s="60">
        <f ca="1"/>
        <v>309.602892880139</v>
      </c>
    </row>
    <row r="20" spans="1:54" x14ac:dyDescent="0.3">
      <c r="A20" t="s">
        <v>358</v>
      </c>
      <c r="B20" t="s">
        <v>359</v>
      </c>
      <c r="C20" t="s">
        <v>57</v>
      </c>
      <c r="D20" t="s">
        <v>84</v>
      </c>
      <c r="E20" t="s">
        <v>84</v>
      </c>
      <c r="F20" t="s">
        <v>249</v>
      </c>
      <c r="G20" t="s">
        <v>1455</v>
      </c>
      <c r="H20" t="s">
        <v>1456</v>
      </c>
      <c r="J20" t="s">
        <v>109</v>
      </c>
      <c r="K20" t="s">
        <v>109</v>
      </c>
      <c r="L20" t="s">
        <v>307</v>
      </c>
      <c r="M20" t="s">
        <v>84</v>
      </c>
      <c r="N20" t="s">
        <v>56</v>
      </c>
      <c r="O20" t="s">
        <v>36</v>
      </c>
      <c r="Q20" t="s">
        <v>84</v>
      </c>
      <c r="V20" t="s">
        <v>49</v>
      </c>
      <c r="X20" t="s">
        <v>84</v>
      </c>
      <c r="Z20" t="s">
        <v>84</v>
      </c>
      <c r="AA20" t="s">
        <v>84</v>
      </c>
      <c r="AB20" t="s">
        <v>36</v>
      </c>
      <c r="AC20" t="s">
        <v>1340</v>
      </c>
      <c r="AD20" t="s">
        <v>36</v>
      </c>
      <c r="AE20" t="s">
        <v>1340</v>
      </c>
      <c r="AF20" t="s">
        <v>86</v>
      </c>
      <c r="AG20" t="s">
        <v>269</v>
      </c>
      <c r="AH20" t="s">
        <v>183</v>
      </c>
      <c r="AI20" s="4">
        <f ca="1">data[[#This Row],[Expiry Date]]-TODAY()</f>
        <v>42</v>
      </c>
      <c r="AJ20" s="4">
        <f ca="1">data[[#This Row],[Maturity ( Days)]]/365</f>
        <v>0.11506849315068493</v>
      </c>
      <c r="AK20" s="4" t="str">
        <f>IF(data[[#This Row],[Option Type]]="put","p","c")</f>
        <v>c</v>
      </c>
      <c r="AL20" s="4">
        <f>(data[[#This Row],[Bid]]*data[[#This Row],[Bidsize]]+data[[#This Row],[Ask]]*data[[#This Row],[Asksize]])/(data[[#This Row],[Bidsize]]+data[[#This Row],[Asksize]])</f>
        <v>734.4</v>
      </c>
      <c r="AM20" s="4">
        <f>VALUE(data[[#This Row],[Strike]])</f>
        <v>3250</v>
      </c>
      <c r="AN20" s="5">
        <f ca="1">impliedVol(data[[#This Row],[OptType]],Details!$B$4,VALUE(data[[#This Row],[Strike]]),VALUE(data[[#This Row],[Cnt Price]]),Details!$B$6,data[[#This Row],[T]],Details!$B$7)</f>
        <v>0.53082264959649961</v>
      </c>
      <c r="AO20" s="7">
        <f t="array" aca="1" ref="AO20:AS20" ca="1">bsGreeks(data[[#This Row],[OptType]],Details!$B$4,VALUE(data[[#This Row],[Strike]]),Details!$B$6,data[[#This Row],[T]],AN20,Details!$B$7)</f>
        <v>0.87526294657487602</v>
      </c>
      <c r="AP20" s="7">
        <f ca="1"/>
        <v>2.9012861088428989E-4</v>
      </c>
      <c r="AQ20" s="6">
        <f ca="1"/>
        <v>2.7403052825505405</v>
      </c>
      <c r="AR20" s="6">
        <f ca="1"/>
        <v>-180.58932785708657</v>
      </c>
      <c r="AS20" s="6">
        <f ca="1"/>
        <v>311.31278695095091</v>
      </c>
      <c r="AU20" s="60">
        <f ca="1"/>
        <v>731.28211861558839</v>
      </c>
      <c r="AV20" s="61" t="str">
        <f ca="1"/>
        <v>c</v>
      </c>
      <c r="AW20" s="61">
        <f ca="1"/>
        <v>0.53082264959649961</v>
      </c>
      <c r="AX20" s="62">
        <f ca="1"/>
        <v>0.87526294657487602</v>
      </c>
      <c r="AY20" s="62">
        <f ca="1"/>
        <v>2.9012861088428989E-4</v>
      </c>
      <c r="AZ20" s="62">
        <f ca="1"/>
        <v>2.7403052825505405</v>
      </c>
      <c r="BA20" s="60">
        <f ca="1"/>
        <v>-180.58932785708657</v>
      </c>
      <c r="BB20" s="60">
        <f ca="1"/>
        <v>311.31278695095091</v>
      </c>
    </row>
    <row r="21" spans="1:54" x14ac:dyDescent="0.3">
      <c r="A21" t="s">
        <v>360</v>
      </c>
      <c r="B21" t="s">
        <v>361</v>
      </c>
      <c r="C21" t="s">
        <v>57</v>
      </c>
      <c r="D21" t="s">
        <v>84</v>
      </c>
      <c r="E21" t="s">
        <v>84</v>
      </c>
      <c r="F21" t="s">
        <v>129</v>
      </c>
      <c r="G21" t="s">
        <v>1457</v>
      </c>
      <c r="H21" t="s">
        <v>1458</v>
      </c>
      <c r="J21" t="s">
        <v>109</v>
      </c>
      <c r="K21" t="s">
        <v>109</v>
      </c>
      <c r="L21" t="s">
        <v>307</v>
      </c>
      <c r="M21" t="s">
        <v>84</v>
      </c>
      <c r="N21" t="s">
        <v>56</v>
      </c>
      <c r="O21" t="s">
        <v>36</v>
      </c>
      <c r="Q21" t="s">
        <v>84</v>
      </c>
      <c r="V21" t="s">
        <v>49</v>
      </c>
      <c r="X21" t="s">
        <v>84</v>
      </c>
      <c r="Z21" t="s">
        <v>84</v>
      </c>
      <c r="AA21" t="s">
        <v>84</v>
      </c>
      <c r="AB21" t="s">
        <v>36</v>
      </c>
      <c r="AC21" t="s">
        <v>1340</v>
      </c>
      <c r="AD21" t="s">
        <v>36</v>
      </c>
      <c r="AE21" t="s">
        <v>1340</v>
      </c>
      <c r="AF21" t="s">
        <v>86</v>
      </c>
      <c r="AG21" t="s">
        <v>269</v>
      </c>
      <c r="AH21" t="s">
        <v>183</v>
      </c>
      <c r="AI21" s="4">
        <f ca="1">data[[#This Row],[Expiry Date]]-TODAY()</f>
        <v>42</v>
      </c>
      <c r="AJ21" s="4">
        <f ca="1">data[[#This Row],[Maturity ( Days)]]/365</f>
        <v>0.11506849315068493</v>
      </c>
      <c r="AK21" s="4" t="str">
        <f>IF(data[[#This Row],[Option Type]]="put","p","c")</f>
        <v>c</v>
      </c>
      <c r="AL21" s="4">
        <f>(data[[#This Row],[Bid]]*data[[#This Row],[Bidsize]]+data[[#This Row],[Ask]]*data[[#This Row],[Asksize]])/(data[[#This Row],[Bidsize]]+data[[#This Row],[Asksize]])</f>
        <v>686.69999999999993</v>
      </c>
      <c r="AM21" s="4">
        <f>VALUE(data[[#This Row],[Strike]])</f>
        <v>3300</v>
      </c>
      <c r="AN21" s="5">
        <f ca="1">impliedVol(data[[#This Row],[OptType]],Details!$B$4,VALUE(data[[#This Row],[Strike]]),VALUE(data[[#This Row],[Cnt Price]]),Details!$B$6,data[[#This Row],[T]],Details!$B$7)</f>
        <v>0.50849533314888273</v>
      </c>
      <c r="AO21" s="7">
        <f t="array" aca="1" ref="AO21:AS21" ca="1">bsGreeks(data[[#This Row],[OptType]],Details!$B$4,VALUE(data[[#This Row],[Strike]]),Details!$B$6,data[[#This Row],[T]],AN21,Details!$B$7)</f>
        <v>0.8656241814095047</v>
      </c>
      <c r="AP21" s="7">
        <f ca="1"/>
        <v>3.1889617096213306E-4</v>
      </c>
      <c r="AQ21" s="6">
        <f ca="1"/>
        <v>2.8853281966759914</v>
      </c>
      <c r="AR21" s="6">
        <f ca="1"/>
        <v>-182.11147637454886</v>
      </c>
      <c r="AS21" s="6">
        <f ca="1"/>
        <v>312.44266467348757</v>
      </c>
      <c r="AU21" s="60">
        <f ca="1"/>
        <v>683.57051968822589</v>
      </c>
      <c r="AV21" s="61" t="str">
        <f ca="1"/>
        <v>c</v>
      </c>
      <c r="AW21" s="61">
        <f ca="1"/>
        <v>0.50849533314888273</v>
      </c>
      <c r="AX21" s="62">
        <f ca="1"/>
        <v>0.8656241814095047</v>
      </c>
      <c r="AY21" s="62">
        <f ca="1"/>
        <v>3.1889617096213306E-4</v>
      </c>
      <c r="AZ21" s="62">
        <f ca="1"/>
        <v>2.8853281966759914</v>
      </c>
      <c r="BA21" s="60">
        <f ca="1"/>
        <v>-182.11147637454886</v>
      </c>
      <c r="BB21" s="60">
        <f ca="1"/>
        <v>312.44266467348757</v>
      </c>
    </row>
    <row r="22" spans="1:54" x14ac:dyDescent="0.3">
      <c r="A22" t="s">
        <v>362</v>
      </c>
      <c r="B22" t="s">
        <v>363</v>
      </c>
      <c r="C22" t="s">
        <v>57</v>
      </c>
      <c r="D22" t="s">
        <v>84</v>
      </c>
      <c r="E22" t="s">
        <v>84</v>
      </c>
      <c r="F22" t="s">
        <v>250</v>
      </c>
      <c r="G22" t="s">
        <v>1392</v>
      </c>
      <c r="H22" t="s">
        <v>1109</v>
      </c>
      <c r="J22" t="s">
        <v>123</v>
      </c>
      <c r="K22" t="s">
        <v>123</v>
      </c>
      <c r="L22" t="s">
        <v>307</v>
      </c>
      <c r="M22" t="s">
        <v>84</v>
      </c>
      <c r="N22" t="s">
        <v>56</v>
      </c>
      <c r="O22" t="s">
        <v>36</v>
      </c>
      <c r="Q22" t="s">
        <v>84</v>
      </c>
      <c r="V22" t="s">
        <v>49</v>
      </c>
      <c r="X22" t="s">
        <v>84</v>
      </c>
      <c r="Z22" t="s">
        <v>84</v>
      </c>
      <c r="AA22" t="s">
        <v>84</v>
      </c>
      <c r="AB22" t="s">
        <v>36</v>
      </c>
      <c r="AC22" t="s">
        <v>1340</v>
      </c>
      <c r="AD22" t="s">
        <v>36</v>
      </c>
      <c r="AE22" t="s">
        <v>1340</v>
      </c>
      <c r="AF22" t="s">
        <v>86</v>
      </c>
      <c r="AG22" t="s">
        <v>269</v>
      </c>
      <c r="AH22" t="s">
        <v>183</v>
      </c>
      <c r="AI22" s="4">
        <f ca="1">data[[#This Row],[Expiry Date]]-TODAY()</f>
        <v>42</v>
      </c>
      <c r="AJ22" s="4">
        <f ca="1">data[[#This Row],[Maturity ( Days)]]/365</f>
        <v>0.11506849315068493</v>
      </c>
      <c r="AK22" s="4" t="str">
        <f>IF(data[[#This Row],[Option Type]]="put","p","c")</f>
        <v>c</v>
      </c>
      <c r="AL22" s="4">
        <f>(data[[#This Row],[Bid]]*data[[#This Row],[Bidsize]]+data[[#This Row],[Ask]]*data[[#This Row],[Asksize]])/(data[[#This Row],[Bidsize]]+data[[#This Row],[Asksize]])</f>
        <v>639.6</v>
      </c>
      <c r="AM22" s="4">
        <f>VALUE(data[[#This Row],[Strike]])</f>
        <v>3350</v>
      </c>
      <c r="AN22" s="5">
        <f ca="1">impliedVol(data[[#This Row],[OptType]],Details!$B$4,VALUE(data[[#This Row],[Strike]]),VALUE(data[[#This Row],[Cnt Price]]),Details!$B$6,data[[#This Row],[T]],Details!$B$7)</f>
        <v>0.48759787145973549</v>
      </c>
      <c r="AO22" s="7">
        <f t="array" aca="1" ref="AO22:AS22" ca="1">bsGreeks(data[[#This Row],[OptType]],Details!$B$4,VALUE(data[[#This Row],[Strike]]),Details!$B$6,data[[#This Row],[T]],AN22,Details!$B$7)</f>
        <v>0.85432904972430479</v>
      </c>
      <c r="AP22" s="7">
        <f ca="1"/>
        <v>3.5131365148725473E-4</v>
      </c>
      <c r="AQ22" s="6">
        <f ca="1"/>
        <v>3.0480056733688587</v>
      </c>
      <c r="AR22" s="6">
        <f ca="1"/>
        <v>-184.38380788731362</v>
      </c>
      <c r="AS22" s="6">
        <f ca="1"/>
        <v>312.75444964070056</v>
      </c>
      <c r="AU22" s="60">
        <f ca="1"/>
        <v>636.46706907655062</v>
      </c>
      <c r="AV22" s="61" t="str">
        <f ca="1"/>
        <v>c</v>
      </c>
      <c r="AW22" s="61">
        <f ca="1"/>
        <v>0.48759787145973549</v>
      </c>
      <c r="AX22" s="62">
        <f ca="1"/>
        <v>0.85432904972430479</v>
      </c>
      <c r="AY22" s="62">
        <f ca="1"/>
        <v>3.5131365148725473E-4</v>
      </c>
      <c r="AZ22" s="62">
        <f ca="1"/>
        <v>3.0480056733688587</v>
      </c>
      <c r="BA22" s="60">
        <f ca="1"/>
        <v>-184.38380788731362</v>
      </c>
      <c r="BB22" s="60">
        <f ca="1"/>
        <v>312.75444964070056</v>
      </c>
    </row>
    <row r="23" spans="1:54" x14ac:dyDescent="0.3">
      <c r="A23" t="s">
        <v>364</v>
      </c>
      <c r="B23" t="s">
        <v>365</v>
      </c>
      <c r="C23" t="s">
        <v>57</v>
      </c>
      <c r="D23" t="s">
        <v>84</v>
      </c>
      <c r="E23" t="s">
        <v>84</v>
      </c>
      <c r="F23" t="s">
        <v>92</v>
      </c>
      <c r="G23" t="s">
        <v>1459</v>
      </c>
      <c r="H23" t="s">
        <v>1460</v>
      </c>
      <c r="J23" t="s">
        <v>123</v>
      </c>
      <c r="K23" t="s">
        <v>123</v>
      </c>
      <c r="L23" t="s">
        <v>307</v>
      </c>
      <c r="M23" t="s">
        <v>84</v>
      </c>
      <c r="N23" t="s">
        <v>56</v>
      </c>
      <c r="O23" t="s">
        <v>36</v>
      </c>
      <c r="Q23" t="s">
        <v>84</v>
      </c>
      <c r="V23" t="s">
        <v>49</v>
      </c>
      <c r="X23" t="s">
        <v>84</v>
      </c>
      <c r="Z23" t="s">
        <v>84</v>
      </c>
      <c r="AA23" t="s">
        <v>84</v>
      </c>
      <c r="AB23" t="s">
        <v>36</v>
      </c>
      <c r="AC23" t="s">
        <v>1340</v>
      </c>
      <c r="AD23" t="s">
        <v>36</v>
      </c>
      <c r="AE23" t="s">
        <v>1340</v>
      </c>
      <c r="AF23" t="s">
        <v>86</v>
      </c>
      <c r="AG23" t="s">
        <v>269</v>
      </c>
      <c r="AH23" t="s">
        <v>183</v>
      </c>
      <c r="AI23" s="4">
        <f ca="1">data[[#This Row],[Expiry Date]]-TODAY()</f>
        <v>42</v>
      </c>
      <c r="AJ23" s="4">
        <f ca="1">data[[#This Row],[Maturity ( Days)]]/365</f>
        <v>0.11506849315068493</v>
      </c>
      <c r="AK23" s="4" t="str">
        <f>IF(data[[#This Row],[Option Type]]="put","p","c")</f>
        <v>c</v>
      </c>
      <c r="AL23" s="4">
        <f>(data[[#This Row],[Bid]]*data[[#This Row],[Bidsize]]+data[[#This Row],[Ask]]*data[[#This Row],[Asksize]])/(data[[#This Row],[Bidsize]]+data[[#This Row],[Asksize]])</f>
        <v>593</v>
      </c>
      <c r="AM23" s="4">
        <f>VALUE(data[[#This Row],[Strike]])</f>
        <v>3400</v>
      </c>
      <c r="AN23" s="5">
        <f ca="1">impliedVol(data[[#This Row],[OptType]],Details!$B$4,VALUE(data[[#This Row],[Strike]]),VALUE(data[[#This Row],[Cnt Price]]),Details!$B$6,data[[#This Row],[T]],Details!$B$7)</f>
        <v>0.46748780019921177</v>
      </c>
      <c r="AO23" s="7">
        <f t="array" aca="1" ref="AO23:AS23" ca="1">bsGreeks(data[[#This Row],[OptType]],Details!$B$4,VALUE(data[[#This Row],[Strike]]),Details!$B$6,data[[#This Row],[T]],AN23,Details!$B$7)</f>
        <v>0.84138871496766399</v>
      </c>
      <c r="AP23" s="7">
        <f ca="1"/>
        <v>3.877343454069121E-4</v>
      </c>
      <c r="AQ23" s="6">
        <f ca="1"/>
        <v>3.2252508474398889</v>
      </c>
      <c r="AR23" s="6">
        <f ca="1"/>
        <v>-186.9393176533373</v>
      </c>
      <c r="AS23" s="6">
        <f ca="1"/>
        <v>312.26469754609036</v>
      </c>
      <c r="AU23" s="60">
        <f ca="1"/>
        <v>589.87159751339595</v>
      </c>
      <c r="AV23" s="61" t="str">
        <f ca="1"/>
        <v>c</v>
      </c>
      <c r="AW23" s="61">
        <f ca="1"/>
        <v>0.46748780019921177</v>
      </c>
      <c r="AX23" s="62">
        <f ca="1"/>
        <v>0.84138871496766399</v>
      </c>
      <c r="AY23" s="62">
        <f ca="1"/>
        <v>3.877343454069121E-4</v>
      </c>
      <c r="AZ23" s="62">
        <f ca="1"/>
        <v>3.2252508474398889</v>
      </c>
      <c r="BA23" s="60">
        <f ca="1"/>
        <v>-186.9393176533373</v>
      </c>
      <c r="BB23" s="60">
        <f ca="1"/>
        <v>312.26469754609036</v>
      </c>
    </row>
    <row r="24" spans="1:54" x14ac:dyDescent="0.3">
      <c r="A24" t="s">
        <v>366</v>
      </c>
      <c r="B24" t="s">
        <v>367</v>
      </c>
      <c r="C24" t="s">
        <v>57</v>
      </c>
      <c r="D24" t="s">
        <v>84</v>
      </c>
      <c r="E24" t="s">
        <v>84</v>
      </c>
      <c r="F24" t="s">
        <v>266</v>
      </c>
      <c r="G24" t="s">
        <v>1461</v>
      </c>
      <c r="H24" t="s">
        <v>1462</v>
      </c>
      <c r="J24" t="s">
        <v>123</v>
      </c>
      <c r="K24" t="s">
        <v>123</v>
      </c>
      <c r="L24" t="s">
        <v>307</v>
      </c>
      <c r="M24" t="s">
        <v>84</v>
      </c>
      <c r="N24" t="s">
        <v>56</v>
      </c>
      <c r="O24" t="s">
        <v>36</v>
      </c>
      <c r="Q24" t="s">
        <v>84</v>
      </c>
      <c r="V24" t="s">
        <v>49</v>
      </c>
      <c r="X24" t="s">
        <v>84</v>
      </c>
      <c r="Z24" t="s">
        <v>84</v>
      </c>
      <c r="AA24" t="s">
        <v>84</v>
      </c>
      <c r="AB24" t="s">
        <v>36</v>
      </c>
      <c r="AC24" t="s">
        <v>1340</v>
      </c>
      <c r="AD24" t="s">
        <v>36</v>
      </c>
      <c r="AE24" t="s">
        <v>1340</v>
      </c>
      <c r="AF24" t="s">
        <v>86</v>
      </c>
      <c r="AG24" t="s">
        <v>269</v>
      </c>
      <c r="AH24" t="s">
        <v>183</v>
      </c>
      <c r="AI24" s="4">
        <f ca="1">data[[#This Row],[Expiry Date]]-TODAY()</f>
        <v>42</v>
      </c>
      <c r="AJ24" s="4">
        <f ca="1">data[[#This Row],[Maturity ( Days)]]/365</f>
        <v>0.11506849315068493</v>
      </c>
      <c r="AK24" s="4" t="str">
        <f>IF(data[[#This Row],[Option Type]]="put","p","c")</f>
        <v>c</v>
      </c>
      <c r="AL24" s="4">
        <f>(data[[#This Row],[Bid]]*data[[#This Row],[Bidsize]]+data[[#This Row],[Ask]]*data[[#This Row],[Asksize]])/(data[[#This Row],[Bidsize]]+data[[#This Row],[Asksize]])</f>
        <v>547.15</v>
      </c>
      <c r="AM24" s="4">
        <f>VALUE(data[[#This Row],[Strike]])</f>
        <v>3450</v>
      </c>
      <c r="AN24" s="5">
        <f ca="1">impliedVol(data[[#This Row],[OptType]],Details!$B$4,VALUE(data[[#This Row],[Strike]]),VALUE(data[[#This Row],[Cnt Price]]),Details!$B$6,data[[#This Row],[T]],Details!$B$7)</f>
        <v>0.4486398556841017</v>
      </c>
      <c r="AO24" s="7">
        <f t="array" aca="1" ref="AO24:AS24" ca="1">bsGreeks(data[[#This Row],[OptType]],Details!$B$4,VALUE(data[[#This Row],[Strike]]),Details!$B$6,data[[#This Row],[T]],AN24,Details!$B$7)</f>
        <v>0.82632600785824106</v>
      </c>
      <c r="AP24" s="7">
        <f ca="1"/>
        <v>4.284156681447596E-4</v>
      </c>
      <c r="AQ24" s="6">
        <f ca="1"/>
        <v>3.4199687812690827</v>
      </c>
      <c r="AR24" s="6">
        <f ca="1"/>
        <v>-190.06566931539243</v>
      </c>
      <c r="AS24" s="6">
        <f ca="1"/>
        <v>310.72885208193031</v>
      </c>
      <c r="AU24" s="60">
        <f ca="1"/>
        <v>544.03654928973219</v>
      </c>
      <c r="AV24" s="61" t="str">
        <f ca="1"/>
        <v>c</v>
      </c>
      <c r="AW24" s="61">
        <f ca="1"/>
        <v>0.4486398556841017</v>
      </c>
      <c r="AX24" s="62">
        <f ca="1"/>
        <v>0.82632600785824106</v>
      </c>
      <c r="AY24" s="62">
        <f ca="1"/>
        <v>4.284156681447596E-4</v>
      </c>
      <c r="AZ24" s="62">
        <f ca="1"/>
        <v>3.4199687812690827</v>
      </c>
      <c r="BA24" s="60">
        <f ca="1"/>
        <v>-190.06566931539243</v>
      </c>
      <c r="BB24" s="60">
        <f ca="1"/>
        <v>310.72885208193031</v>
      </c>
    </row>
    <row r="25" spans="1:54" x14ac:dyDescent="0.3">
      <c r="A25" t="s">
        <v>368</v>
      </c>
      <c r="B25" t="s">
        <v>369</v>
      </c>
      <c r="C25" t="s">
        <v>57</v>
      </c>
      <c r="D25" t="s">
        <v>84</v>
      </c>
      <c r="E25" t="s">
        <v>84</v>
      </c>
      <c r="F25" t="s">
        <v>130</v>
      </c>
      <c r="G25" t="s">
        <v>1463</v>
      </c>
      <c r="H25" t="s">
        <v>1464</v>
      </c>
      <c r="J25" t="s">
        <v>123</v>
      </c>
      <c r="K25" t="s">
        <v>123</v>
      </c>
      <c r="L25" t="s">
        <v>307</v>
      </c>
      <c r="M25" t="s">
        <v>84</v>
      </c>
      <c r="N25" t="s">
        <v>56</v>
      </c>
      <c r="O25" t="s">
        <v>36</v>
      </c>
      <c r="Q25" t="s">
        <v>84</v>
      </c>
      <c r="V25" t="s">
        <v>49</v>
      </c>
      <c r="X25" t="s">
        <v>84</v>
      </c>
      <c r="Z25" t="s">
        <v>84</v>
      </c>
      <c r="AA25" t="s">
        <v>84</v>
      </c>
      <c r="AB25" t="s">
        <v>36</v>
      </c>
      <c r="AC25" t="s">
        <v>1340</v>
      </c>
      <c r="AD25" t="s">
        <v>36</v>
      </c>
      <c r="AE25" t="s">
        <v>1340</v>
      </c>
      <c r="AF25" t="s">
        <v>86</v>
      </c>
      <c r="AG25" t="s">
        <v>269</v>
      </c>
      <c r="AH25" t="s">
        <v>183</v>
      </c>
      <c r="AI25" s="4">
        <f ca="1">data[[#This Row],[Expiry Date]]-TODAY()</f>
        <v>42</v>
      </c>
      <c r="AJ25" s="4">
        <f ca="1">data[[#This Row],[Maturity ( Days)]]/365</f>
        <v>0.11506849315068493</v>
      </c>
      <c r="AK25" s="4" t="str">
        <f>IF(data[[#This Row],[Option Type]]="put","p","c")</f>
        <v>c</v>
      </c>
      <c r="AL25" s="4">
        <f>(data[[#This Row],[Bid]]*data[[#This Row],[Bidsize]]+data[[#This Row],[Ask]]*data[[#This Row],[Asksize]])/(data[[#This Row],[Bidsize]]+data[[#This Row],[Asksize]])</f>
        <v>502.15</v>
      </c>
      <c r="AM25" s="4">
        <f>VALUE(data[[#This Row],[Strike]])</f>
        <v>3500</v>
      </c>
      <c r="AN25" s="5">
        <f ca="1">impliedVol(data[[#This Row],[OptType]],Details!$B$4,VALUE(data[[#This Row],[Strike]]),VALUE(data[[#This Row],[Cnt Price]]),Details!$B$6,data[[#This Row],[T]],Details!$B$7)</f>
        <v>0.4309563908021723</v>
      </c>
      <c r="AO25" s="7">
        <f t="array" aca="1" ref="AO25:AS25" ca="1">bsGreeks(data[[#This Row],[OptType]],Details!$B$4,VALUE(data[[#This Row],[Strike]]),Details!$B$6,data[[#This Row],[T]],AN25,Details!$B$7)</f>
        <v>0.80887511118853006</v>
      </c>
      <c r="AP25" s="7">
        <f ca="1"/>
        <v>4.7349509417835012E-4</v>
      </c>
      <c r="AQ25" s="6">
        <f ca="1"/>
        <v>3.630845364107655</v>
      </c>
      <c r="AR25" s="6">
        <f ca="1"/>
        <v>-193.62023565009295</v>
      </c>
      <c r="AS25" s="6">
        <f ca="1"/>
        <v>308.01519647949493</v>
      </c>
      <c r="AU25" s="60">
        <f ca="1"/>
        <v>499.06324088297833</v>
      </c>
      <c r="AV25" s="61" t="str">
        <f ca="1"/>
        <v>c</v>
      </c>
      <c r="AW25" s="61">
        <f ca="1"/>
        <v>0.4309563908021723</v>
      </c>
      <c r="AX25" s="62">
        <f ca="1"/>
        <v>0.80887511118853006</v>
      </c>
      <c r="AY25" s="62">
        <f ca="1"/>
        <v>4.7349509417835012E-4</v>
      </c>
      <c r="AZ25" s="62">
        <f ca="1"/>
        <v>3.630845364107655</v>
      </c>
      <c r="BA25" s="60">
        <f ca="1"/>
        <v>-193.62023565009295</v>
      </c>
      <c r="BB25" s="60">
        <f ca="1"/>
        <v>308.01519647949493</v>
      </c>
    </row>
    <row r="26" spans="1:54" x14ac:dyDescent="0.3">
      <c r="A26" t="s">
        <v>370</v>
      </c>
      <c r="B26" t="s">
        <v>371</v>
      </c>
      <c r="C26" t="s">
        <v>57</v>
      </c>
      <c r="D26" t="s">
        <v>84</v>
      </c>
      <c r="E26" t="s">
        <v>84</v>
      </c>
      <c r="F26" t="s">
        <v>251</v>
      </c>
      <c r="G26" t="s">
        <v>1465</v>
      </c>
      <c r="H26" t="s">
        <v>1466</v>
      </c>
      <c r="J26" t="s">
        <v>123</v>
      </c>
      <c r="K26" t="s">
        <v>123</v>
      </c>
      <c r="L26" t="s">
        <v>307</v>
      </c>
      <c r="M26" t="s">
        <v>84</v>
      </c>
      <c r="N26" t="s">
        <v>56</v>
      </c>
      <c r="O26" t="s">
        <v>36</v>
      </c>
      <c r="Q26" t="s">
        <v>84</v>
      </c>
      <c r="V26" t="s">
        <v>49</v>
      </c>
      <c r="X26" t="s">
        <v>84</v>
      </c>
      <c r="Z26" t="s">
        <v>84</v>
      </c>
      <c r="AA26" t="s">
        <v>84</v>
      </c>
      <c r="AB26" t="s">
        <v>36</v>
      </c>
      <c r="AC26" t="s">
        <v>1340</v>
      </c>
      <c r="AD26" t="s">
        <v>36</v>
      </c>
      <c r="AE26" t="s">
        <v>1340</v>
      </c>
      <c r="AF26" t="s">
        <v>86</v>
      </c>
      <c r="AG26" t="s">
        <v>269</v>
      </c>
      <c r="AH26" t="s">
        <v>183</v>
      </c>
      <c r="AI26" s="4">
        <f ca="1">data[[#This Row],[Expiry Date]]-TODAY()</f>
        <v>42</v>
      </c>
      <c r="AJ26" s="4">
        <f ca="1">data[[#This Row],[Maturity ( Days)]]/365</f>
        <v>0.11506849315068493</v>
      </c>
      <c r="AK26" s="4" t="str">
        <f>IF(data[[#This Row],[Option Type]]="put","p","c")</f>
        <v>c</v>
      </c>
      <c r="AL26" s="4">
        <f>(data[[#This Row],[Bid]]*data[[#This Row],[Bidsize]]+data[[#This Row],[Ask]]*data[[#This Row],[Asksize]])/(data[[#This Row],[Bidsize]]+data[[#This Row],[Asksize]])</f>
        <v>458.1</v>
      </c>
      <c r="AM26" s="4">
        <f>VALUE(data[[#This Row],[Strike]])</f>
        <v>3550</v>
      </c>
      <c r="AN26" s="5">
        <f ca="1">impliedVol(data[[#This Row],[OptType]],Details!$B$4,VALUE(data[[#This Row],[Strike]]),VALUE(data[[#This Row],[Cnt Price]]),Details!$B$6,data[[#This Row],[T]],Details!$B$7)</f>
        <v>0.41430168090390129</v>
      </c>
      <c r="AO26" s="7">
        <f t="array" aca="1" ref="AO26:AS26" ca="1">bsGreeks(data[[#This Row],[OptType]],Details!$B$4,VALUE(data[[#This Row],[Strike]]),Details!$B$6,data[[#This Row],[T]],AN26,Details!$B$7)</f>
        <v>0.78877827629742336</v>
      </c>
      <c r="AP26" s="7">
        <f ca="1"/>
        <v>5.229715989603324E-4</v>
      </c>
      <c r="AQ26" s="6">
        <f ca="1"/>
        <v>3.8552606309105397</v>
      </c>
      <c r="AR26" s="6">
        <f ca="1"/>
        <v>-197.39405870812323</v>
      </c>
      <c r="AS26" s="6">
        <f ca="1"/>
        <v>303.99566263471303</v>
      </c>
      <c r="AU26" s="60">
        <f ca="1"/>
        <v>455.0529536624349</v>
      </c>
      <c r="AV26" s="61" t="str">
        <f ca="1"/>
        <v>c</v>
      </c>
      <c r="AW26" s="61">
        <f ca="1"/>
        <v>0.41430168090390129</v>
      </c>
      <c r="AX26" s="62">
        <f ca="1"/>
        <v>0.78877827629742336</v>
      </c>
      <c r="AY26" s="62">
        <f ca="1"/>
        <v>5.229715989603324E-4</v>
      </c>
      <c r="AZ26" s="62">
        <f ca="1"/>
        <v>3.8552606309105397</v>
      </c>
      <c r="BA26" s="60">
        <f ca="1"/>
        <v>-197.39405870812323</v>
      </c>
      <c r="BB26" s="60">
        <f ca="1"/>
        <v>303.99566263471303</v>
      </c>
    </row>
    <row r="27" spans="1:54" x14ac:dyDescent="0.3">
      <c r="A27" t="s">
        <v>1111</v>
      </c>
      <c r="B27" t="s">
        <v>1112</v>
      </c>
      <c r="C27" t="s">
        <v>57</v>
      </c>
      <c r="D27" t="s">
        <v>84</v>
      </c>
      <c r="E27" t="s">
        <v>84</v>
      </c>
      <c r="F27" t="s">
        <v>1113</v>
      </c>
      <c r="G27" t="s">
        <v>1467</v>
      </c>
      <c r="H27" t="s">
        <v>1468</v>
      </c>
      <c r="J27" t="s">
        <v>123</v>
      </c>
      <c r="K27" t="s">
        <v>123</v>
      </c>
      <c r="L27" t="s">
        <v>307</v>
      </c>
      <c r="M27" t="s">
        <v>84</v>
      </c>
      <c r="N27" t="s">
        <v>56</v>
      </c>
      <c r="O27" t="s">
        <v>36</v>
      </c>
      <c r="Q27" t="s">
        <v>84</v>
      </c>
      <c r="V27" t="s">
        <v>49</v>
      </c>
      <c r="X27" t="s">
        <v>84</v>
      </c>
      <c r="Z27" t="s">
        <v>84</v>
      </c>
      <c r="AA27" t="s">
        <v>84</v>
      </c>
      <c r="AB27" t="s">
        <v>36</v>
      </c>
      <c r="AC27" t="s">
        <v>1340</v>
      </c>
      <c r="AD27" t="s">
        <v>36</v>
      </c>
      <c r="AE27" t="s">
        <v>1340</v>
      </c>
      <c r="AF27" t="s">
        <v>86</v>
      </c>
      <c r="AG27" t="s">
        <v>269</v>
      </c>
      <c r="AH27" t="s">
        <v>183</v>
      </c>
      <c r="AI27" s="4">
        <f ca="1">data[[#This Row],[Expiry Date]]-TODAY()</f>
        <v>42</v>
      </c>
      <c r="AJ27" s="4">
        <f ca="1">data[[#This Row],[Maturity ( Days)]]/365</f>
        <v>0.11506849315068493</v>
      </c>
      <c r="AK27" s="4" t="str">
        <f>IF(data[[#This Row],[Option Type]]="put","p","c")</f>
        <v>c</v>
      </c>
      <c r="AL27" s="4">
        <f>(data[[#This Row],[Bid]]*data[[#This Row],[Bidsize]]+data[[#This Row],[Ask]]*data[[#This Row],[Asksize]])/(data[[#This Row],[Bidsize]]+data[[#This Row],[Asksize]])</f>
        <v>436.5</v>
      </c>
      <c r="AM27" s="4">
        <f>VALUE(data[[#This Row],[Strike]])</f>
        <v>3575</v>
      </c>
      <c r="AN27" s="5">
        <f ca="1">impliedVol(data[[#This Row],[OptType]],Details!$B$4,VALUE(data[[#This Row],[Strike]]),VALUE(data[[#This Row],[Cnt Price]]),Details!$B$6,data[[#This Row],[T]],Details!$B$7)</f>
        <v>0.40640496569321843</v>
      </c>
      <c r="AO27" s="7">
        <f t="array" aca="1" ref="AO27:AS27" ca="1">bsGreeks(data[[#This Row],[OptType]],Details!$B$4,VALUE(data[[#This Row],[Strike]]),Details!$B$6,data[[#This Row],[T]],AN27,Details!$B$7)</f>
        <v>0.77761641129194981</v>
      </c>
      <c r="AP27" s="7">
        <f ca="1"/>
        <v>5.4924741280490224E-4</v>
      </c>
      <c r="AQ27" s="6">
        <f ca="1"/>
        <v>3.9717871782264416</v>
      </c>
      <c r="AR27" s="6">
        <f ca="1"/>
        <v>-199.34644464164305</v>
      </c>
      <c r="AS27" s="6">
        <f ca="1"/>
        <v>301.43346083142802</v>
      </c>
      <c r="AU27" s="60">
        <f ca="1"/>
        <v>433.47832177349073</v>
      </c>
      <c r="AV27" s="61" t="str">
        <f ca="1"/>
        <v>c</v>
      </c>
      <c r="AW27" s="61">
        <f ca="1"/>
        <v>0.40640496569321843</v>
      </c>
      <c r="AX27" s="62">
        <f ca="1"/>
        <v>0.77761641129194981</v>
      </c>
      <c r="AY27" s="62">
        <f ca="1"/>
        <v>5.4924741280490224E-4</v>
      </c>
      <c r="AZ27" s="62">
        <f ca="1"/>
        <v>3.9717871782264416</v>
      </c>
      <c r="BA27" s="60">
        <f ca="1"/>
        <v>-199.34644464164305</v>
      </c>
      <c r="BB27" s="60">
        <f ca="1"/>
        <v>301.43346083142802</v>
      </c>
    </row>
    <row r="28" spans="1:54" x14ac:dyDescent="0.3">
      <c r="A28" t="s">
        <v>372</v>
      </c>
      <c r="B28" t="s">
        <v>373</v>
      </c>
      <c r="C28" t="s">
        <v>57</v>
      </c>
      <c r="D28" t="s">
        <v>84</v>
      </c>
      <c r="E28" t="s">
        <v>84</v>
      </c>
      <c r="F28" t="s">
        <v>103</v>
      </c>
      <c r="G28" t="s">
        <v>1142</v>
      </c>
      <c r="H28" t="s">
        <v>1469</v>
      </c>
      <c r="J28" t="s">
        <v>123</v>
      </c>
      <c r="K28" t="s">
        <v>123</v>
      </c>
      <c r="L28" t="s">
        <v>307</v>
      </c>
      <c r="M28" t="s">
        <v>84</v>
      </c>
      <c r="N28" t="s">
        <v>56</v>
      </c>
      <c r="O28" t="s">
        <v>36</v>
      </c>
      <c r="Q28" t="s">
        <v>84</v>
      </c>
      <c r="V28" t="s">
        <v>49</v>
      </c>
      <c r="X28" t="s">
        <v>84</v>
      </c>
      <c r="Z28" t="s">
        <v>84</v>
      </c>
      <c r="AA28" t="s">
        <v>84</v>
      </c>
      <c r="AB28" t="s">
        <v>36</v>
      </c>
      <c r="AC28" t="s">
        <v>1340</v>
      </c>
      <c r="AD28" t="s">
        <v>36</v>
      </c>
      <c r="AE28" t="s">
        <v>1340</v>
      </c>
      <c r="AF28" t="s">
        <v>86</v>
      </c>
      <c r="AG28" t="s">
        <v>269</v>
      </c>
      <c r="AH28" t="s">
        <v>183</v>
      </c>
      <c r="AI28" s="4">
        <f ca="1">data[[#This Row],[Expiry Date]]-TODAY()</f>
        <v>42</v>
      </c>
      <c r="AJ28" s="4">
        <f ca="1">data[[#This Row],[Maturity ( Days)]]/365</f>
        <v>0.11506849315068493</v>
      </c>
      <c r="AK28" s="4" t="str">
        <f>IF(data[[#This Row],[Option Type]]="put","p","c")</f>
        <v>c</v>
      </c>
      <c r="AL28" s="4">
        <f>(data[[#This Row],[Bid]]*data[[#This Row],[Bidsize]]+data[[#This Row],[Ask]]*data[[#This Row],[Asksize]])/(data[[#This Row],[Bidsize]]+data[[#This Row],[Asksize]])</f>
        <v>415.15</v>
      </c>
      <c r="AM28" s="4">
        <f>VALUE(data[[#This Row],[Strike]])</f>
        <v>3600</v>
      </c>
      <c r="AN28" s="5">
        <f ca="1">impliedVol(data[[#This Row],[OptType]],Details!$B$4,VALUE(data[[#This Row],[Strike]]),VALUE(data[[#This Row],[Cnt Price]]),Details!$B$6,data[[#This Row],[T]],Details!$B$7)</f>
        <v>0.39863561887667348</v>
      </c>
      <c r="AO28" s="7">
        <f t="array" aca="1" ref="AO28:AS28" ca="1">bsGreeks(data[[#This Row],[OptType]],Details!$B$4,VALUE(data[[#This Row],[Strike]]),Details!$B$6,data[[#This Row],[T]],AN28,Details!$B$7)</f>
        <v>0.76573289793046406</v>
      </c>
      <c r="AP28" s="7">
        <f ca="1"/>
        <v>5.7657893951830366E-4</v>
      </c>
      <c r="AQ28" s="6">
        <f ca="1"/>
        <v>4.0897223041928985</v>
      </c>
      <c r="AR28" s="6">
        <f ca="1"/>
        <v>-201.20011304394296</v>
      </c>
      <c r="AS28" s="6">
        <f ca="1"/>
        <v>298.51614328453172</v>
      </c>
      <c r="AU28" s="60">
        <f ca="1"/>
        <v>412.15723222961924</v>
      </c>
      <c r="AV28" s="61" t="str">
        <f ca="1"/>
        <v>c</v>
      </c>
      <c r="AW28" s="61">
        <f ca="1"/>
        <v>0.39863561887667348</v>
      </c>
      <c r="AX28" s="62">
        <f ca="1"/>
        <v>0.76573289793046406</v>
      </c>
      <c r="AY28" s="62">
        <f ca="1"/>
        <v>5.7657893951830366E-4</v>
      </c>
      <c r="AZ28" s="62">
        <f ca="1"/>
        <v>4.0897223041928985</v>
      </c>
      <c r="BA28" s="60">
        <f ca="1"/>
        <v>-201.20011304394296</v>
      </c>
      <c r="BB28" s="60">
        <f ca="1"/>
        <v>298.51614328453172</v>
      </c>
    </row>
    <row r="29" spans="1:54" x14ac:dyDescent="0.3">
      <c r="A29" t="s">
        <v>776</v>
      </c>
      <c r="B29" t="s">
        <v>777</v>
      </c>
      <c r="C29" t="s">
        <v>57</v>
      </c>
      <c r="D29" t="s">
        <v>84</v>
      </c>
      <c r="E29" t="s">
        <v>84</v>
      </c>
      <c r="F29" t="s">
        <v>778</v>
      </c>
      <c r="G29" t="s">
        <v>1372</v>
      </c>
      <c r="H29" t="s">
        <v>1470</v>
      </c>
      <c r="J29" t="s">
        <v>123</v>
      </c>
      <c r="K29" t="s">
        <v>123</v>
      </c>
      <c r="L29" t="s">
        <v>307</v>
      </c>
      <c r="M29" t="s">
        <v>84</v>
      </c>
      <c r="N29" t="s">
        <v>56</v>
      </c>
      <c r="O29" t="s">
        <v>36</v>
      </c>
      <c r="Q29" t="s">
        <v>84</v>
      </c>
      <c r="V29" t="s">
        <v>49</v>
      </c>
      <c r="X29" t="s">
        <v>84</v>
      </c>
      <c r="Z29" t="s">
        <v>84</v>
      </c>
      <c r="AA29" t="s">
        <v>84</v>
      </c>
      <c r="AB29" t="s">
        <v>36</v>
      </c>
      <c r="AC29" t="s">
        <v>1340</v>
      </c>
      <c r="AD29" t="s">
        <v>36</v>
      </c>
      <c r="AE29" t="s">
        <v>1340</v>
      </c>
      <c r="AF29" t="s">
        <v>86</v>
      </c>
      <c r="AG29" t="s">
        <v>269</v>
      </c>
      <c r="AH29" t="s">
        <v>183</v>
      </c>
      <c r="AI29" s="4">
        <f ca="1">data[[#This Row],[Expiry Date]]-TODAY()</f>
        <v>42</v>
      </c>
      <c r="AJ29" s="4">
        <f ca="1">data[[#This Row],[Maturity ( Days)]]/365</f>
        <v>0.11506849315068493</v>
      </c>
      <c r="AK29" s="4" t="str">
        <f>IF(data[[#This Row],[Option Type]]="put","p","c")</f>
        <v>c</v>
      </c>
      <c r="AL29" s="4">
        <f>(data[[#This Row],[Bid]]*data[[#This Row],[Bidsize]]+data[[#This Row],[Ask]]*data[[#This Row],[Asksize]])/(data[[#This Row],[Bidsize]]+data[[#This Row],[Asksize]])</f>
        <v>394.25</v>
      </c>
      <c r="AM29" s="4">
        <f>VALUE(data[[#This Row],[Strike]])</f>
        <v>3625</v>
      </c>
      <c r="AN29" s="5">
        <f ca="1">impliedVol(data[[#This Row],[OptType]],Details!$B$4,VALUE(data[[#This Row],[Strike]]),VALUE(data[[#This Row],[Cnt Price]]),Details!$B$6,data[[#This Row],[T]],Details!$B$7)</f>
        <v>0.39142420738225847</v>
      </c>
      <c r="AO29" s="7">
        <f t="array" aca="1" ref="AO29:AS29" ca="1">bsGreeks(data[[#This Row],[OptType]],Details!$B$4,VALUE(data[[#This Row],[Strike]]),Details!$B$6,data[[#This Row],[T]],AN29,Details!$B$7)</f>
        <v>0.75289603774994518</v>
      </c>
      <c r="AP29" s="7">
        <f ca="1"/>
        <v>6.0450355411363133E-4</v>
      </c>
      <c r="AQ29" s="6">
        <f ca="1"/>
        <v>4.2102267208767659</v>
      </c>
      <c r="AR29" s="6">
        <f ca="1"/>
        <v>-203.22330908613768</v>
      </c>
      <c r="AS29" s="6">
        <f ca="1"/>
        <v>295.1159151343374</v>
      </c>
      <c r="AU29" s="60">
        <f ca="1"/>
        <v>391.29096840477996</v>
      </c>
      <c r="AV29" s="61" t="str">
        <f ca="1"/>
        <v>c</v>
      </c>
      <c r="AW29" s="61">
        <f ca="1"/>
        <v>0.39142420738225847</v>
      </c>
      <c r="AX29" s="62">
        <f ca="1"/>
        <v>0.75289603774994518</v>
      </c>
      <c r="AY29" s="62">
        <f ca="1"/>
        <v>6.0450355411363133E-4</v>
      </c>
      <c r="AZ29" s="62">
        <f ca="1"/>
        <v>4.2102267208767659</v>
      </c>
      <c r="BA29" s="60">
        <f ca="1"/>
        <v>-203.22330908613768</v>
      </c>
      <c r="BB29" s="60">
        <f ca="1"/>
        <v>295.1159151343374</v>
      </c>
    </row>
    <row r="30" spans="1:54" x14ac:dyDescent="0.3">
      <c r="A30" t="s">
        <v>1114</v>
      </c>
      <c r="B30" t="s">
        <v>1115</v>
      </c>
      <c r="C30" t="s">
        <v>57</v>
      </c>
      <c r="D30" t="s">
        <v>84</v>
      </c>
      <c r="E30" t="s">
        <v>84</v>
      </c>
      <c r="F30" t="s">
        <v>1116</v>
      </c>
      <c r="G30" t="s">
        <v>1374</v>
      </c>
      <c r="H30" t="s">
        <v>1471</v>
      </c>
      <c r="J30" t="s">
        <v>101</v>
      </c>
      <c r="K30" t="s">
        <v>101</v>
      </c>
      <c r="L30" t="s">
        <v>307</v>
      </c>
      <c r="M30" t="s">
        <v>84</v>
      </c>
      <c r="N30" t="s">
        <v>56</v>
      </c>
      <c r="O30" t="s">
        <v>36</v>
      </c>
      <c r="Q30" t="s">
        <v>84</v>
      </c>
      <c r="V30" t="s">
        <v>49</v>
      </c>
      <c r="X30" t="s">
        <v>84</v>
      </c>
      <c r="Z30" t="s">
        <v>84</v>
      </c>
      <c r="AA30" t="s">
        <v>84</v>
      </c>
      <c r="AB30" t="s">
        <v>36</v>
      </c>
      <c r="AC30" t="s">
        <v>1340</v>
      </c>
      <c r="AD30" t="s">
        <v>36</v>
      </c>
      <c r="AE30" t="s">
        <v>1340</v>
      </c>
      <c r="AF30" t="s">
        <v>86</v>
      </c>
      <c r="AG30" t="s">
        <v>269</v>
      </c>
      <c r="AH30" t="s">
        <v>183</v>
      </c>
      <c r="AI30" s="4">
        <f ca="1">data[[#This Row],[Expiry Date]]-TODAY()</f>
        <v>42</v>
      </c>
      <c r="AJ30" s="4">
        <f ca="1">data[[#This Row],[Maturity ( Days)]]/365</f>
        <v>0.11506849315068493</v>
      </c>
      <c r="AK30" s="4" t="str">
        <f>IF(data[[#This Row],[Option Type]]="put","p","c")</f>
        <v>c</v>
      </c>
      <c r="AL30" s="4">
        <f>(data[[#This Row],[Bid]]*data[[#This Row],[Bidsize]]+data[[#This Row],[Ask]]*data[[#This Row],[Asksize]])/(data[[#This Row],[Bidsize]]+data[[#This Row],[Asksize]])</f>
        <v>390.05</v>
      </c>
      <c r="AM30" s="4">
        <f>VALUE(data[[#This Row],[Strike]])</f>
        <v>3630</v>
      </c>
      <c r="AN30" s="5">
        <f ca="1">impliedVol(data[[#This Row],[OptType]],Details!$B$4,VALUE(data[[#This Row],[Strike]]),VALUE(data[[#This Row],[Cnt Price]]),Details!$B$6,data[[#This Row],[T]],Details!$B$7)</f>
        <v>0.38986543831269249</v>
      </c>
      <c r="AO30" s="7">
        <f t="array" aca="1" ref="AO30:AS30" ca="1">bsGreeks(data[[#This Row],[OptType]],Details!$B$4,VALUE(data[[#This Row],[Strike]]),Details!$B$6,data[[#This Row],[T]],AN30,Details!$B$7)</f>
        <v>0.75029313322530256</v>
      </c>
      <c r="AP30" s="7">
        <f ca="1"/>
        <v>6.1031960427549467E-4</v>
      </c>
      <c r="AQ30" s="6">
        <f ca="1"/>
        <v>4.2338064546442107</v>
      </c>
      <c r="AR30" s="6">
        <f ca="1"/>
        <v>-203.51988405407741</v>
      </c>
      <c r="AS30" s="6">
        <f ca="1"/>
        <v>294.42210234633995</v>
      </c>
      <c r="AU30" s="60">
        <f ca="1"/>
        <v>387.09785102652268</v>
      </c>
      <c r="AV30" s="61" t="str">
        <f ca="1"/>
        <v>c</v>
      </c>
      <c r="AW30" s="61">
        <f ca="1"/>
        <v>0.38986543831269249</v>
      </c>
      <c r="AX30" s="62">
        <f ca="1"/>
        <v>0.75029313322530256</v>
      </c>
      <c r="AY30" s="62">
        <f ca="1"/>
        <v>6.1031960427549467E-4</v>
      </c>
      <c r="AZ30" s="62">
        <f ca="1"/>
        <v>4.2338064546442107</v>
      </c>
      <c r="BA30" s="60">
        <f ca="1"/>
        <v>-203.51988405407741</v>
      </c>
      <c r="BB30" s="60">
        <f ca="1"/>
        <v>294.42210234633995</v>
      </c>
    </row>
    <row r="31" spans="1:54" x14ac:dyDescent="0.3">
      <c r="A31" t="s">
        <v>1117</v>
      </c>
      <c r="B31" t="s">
        <v>1118</v>
      </c>
      <c r="C31" t="s">
        <v>57</v>
      </c>
      <c r="D31" t="s">
        <v>84</v>
      </c>
      <c r="E31" t="s">
        <v>84</v>
      </c>
      <c r="F31" t="s">
        <v>1119</v>
      </c>
      <c r="G31" t="s">
        <v>1472</v>
      </c>
      <c r="H31" t="s">
        <v>1159</v>
      </c>
      <c r="J31" t="s">
        <v>101</v>
      </c>
      <c r="K31" t="s">
        <v>101</v>
      </c>
      <c r="L31" t="s">
        <v>307</v>
      </c>
      <c r="M31" t="s">
        <v>84</v>
      </c>
      <c r="N31" t="s">
        <v>56</v>
      </c>
      <c r="O31" t="s">
        <v>36</v>
      </c>
      <c r="Q31" t="s">
        <v>84</v>
      </c>
      <c r="V31" t="s">
        <v>49</v>
      </c>
      <c r="X31" t="s">
        <v>84</v>
      </c>
      <c r="Z31" t="s">
        <v>84</v>
      </c>
      <c r="AA31" t="s">
        <v>84</v>
      </c>
      <c r="AB31" t="s">
        <v>36</v>
      </c>
      <c r="AC31" t="s">
        <v>1340</v>
      </c>
      <c r="AD31" t="s">
        <v>36</v>
      </c>
      <c r="AE31" t="s">
        <v>1340</v>
      </c>
      <c r="AF31" t="s">
        <v>86</v>
      </c>
      <c r="AG31" t="s">
        <v>269</v>
      </c>
      <c r="AH31" t="s">
        <v>183</v>
      </c>
      <c r="AI31" s="4">
        <f ca="1">data[[#This Row],[Expiry Date]]-TODAY()</f>
        <v>42</v>
      </c>
      <c r="AJ31" s="4">
        <f ca="1">data[[#This Row],[Maturity ( Days)]]/365</f>
        <v>0.11506849315068493</v>
      </c>
      <c r="AK31" s="4" t="str">
        <f>IF(data[[#This Row],[Option Type]]="put","p","c")</f>
        <v>c</v>
      </c>
      <c r="AL31" s="4">
        <f>(data[[#This Row],[Bid]]*data[[#This Row],[Bidsize]]+data[[#This Row],[Ask]]*data[[#This Row],[Asksize]])/(data[[#This Row],[Bidsize]]+data[[#This Row],[Asksize]])</f>
        <v>381.8</v>
      </c>
      <c r="AM31" s="4">
        <f>VALUE(data[[#This Row],[Strike]])</f>
        <v>3640</v>
      </c>
      <c r="AN31" s="5">
        <f ca="1">impliedVol(data[[#This Row],[OptType]],Details!$B$4,VALUE(data[[#This Row],[Strike]]),VALUE(data[[#This Row],[Cnt Price]]),Details!$B$6,data[[#This Row],[T]],Details!$B$7)</f>
        <v>0.38703341565621008</v>
      </c>
      <c r="AO31" s="7">
        <f t="array" aca="1" ref="AO31:AS31" ca="1">bsGreeks(data[[#This Row],[OptType]],Details!$B$4,VALUE(data[[#This Row],[Strike]]),Details!$B$6,data[[#This Row],[T]],AN31,Details!$B$7)</f>
        <v>0.74487111101116565</v>
      </c>
      <c r="AP31" s="7">
        <f ca="1"/>
        <v>6.2178549564852518E-4</v>
      </c>
      <c r="AQ31" s="6">
        <f ca="1"/>
        <v>4.2820131197985054</v>
      </c>
      <c r="AR31" s="6">
        <f ca="1"/>
        <v>-204.27779782757187</v>
      </c>
      <c r="AS31" s="6">
        <f ca="1"/>
        <v>292.91943857413179</v>
      </c>
      <c r="AU31" s="60">
        <f ca="1"/>
        <v>378.86276898435563</v>
      </c>
      <c r="AV31" s="61" t="str">
        <f ca="1"/>
        <v>c</v>
      </c>
      <c r="AW31" s="61">
        <f ca="1"/>
        <v>0.38703341565621008</v>
      </c>
      <c r="AX31" s="62">
        <f ca="1"/>
        <v>0.74487111101116565</v>
      </c>
      <c r="AY31" s="62">
        <f ca="1"/>
        <v>6.2178549564852518E-4</v>
      </c>
      <c r="AZ31" s="62">
        <f ca="1"/>
        <v>4.2820131197985054</v>
      </c>
      <c r="BA31" s="60">
        <f ca="1"/>
        <v>-204.27779782757187</v>
      </c>
      <c r="BB31" s="60">
        <f ca="1"/>
        <v>292.91943857413179</v>
      </c>
    </row>
    <row r="32" spans="1:54" x14ac:dyDescent="0.3">
      <c r="A32" t="s">
        <v>374</v>
      </c>
      <c r="B32" t="s">
        <v>375</v>
      </c>
      <c r="C32" t="s">
        <v>57</v>
      </c>
      <c r="D32" t="s">
        <v>84</v>
      </c>
      <c r="E32" t="s">
        <v>84</v>
      </c>
      <c r="F32" t="s">
        <v>131</v>
      </c>
      <c r="G32" t="s">
        <v>1065</v>
      </c>
      <c r="H32" t="s">
        <v>1473</v>
      </c>
      <c r="J32" t="s">
        <v>101</v>
      </c>
      <c r="K32" t="s">
        <v>101</v>
      </c>
      <c r="L32" t="s">
        <v>307</v>
      </c>
      <c r="M32" t="s">
        <v>84</v>
      </c>
      <c r="N32" t="s">
        <v>56</v>
      </c>
      <c r="O32" t="s">
        <v>36</v>
      </c>
      <c r="Q32" t="s">
        <v>84</v>
      </c>
      <c r="V32" t="s">
        <v>49</v>
      </c>
      <c r="X32" t="s">
        <v>84</v>
      </c>
      <c r="Z32" t="s">
        <v>84</v>
      </c>
      <c r="AA32" t="s">
        <v>84</v>
      </c>
      <c r="AB32" t="s">
        <v>36</v>
      </c>
      <c r="AC32" t="s">
        <v>1340</v>
      </c>
      <c r="AD32" t="s">
        <v>36</v>
      </c>
      <c r="AE32" t="s">
        <v>1340</v>
      </c>
      <c r="AF32" t="s">
        <v>86</v>
      </c>
      <c r="AG32" t="s">
        <v>269</v>
      </c>
      <c r="AH32" t="s">
        <v>183</v>
      </c>
      <c r="AI32" s="4">
        <f ca="1">data[[#This Row],[Expiry Date]]-TODAY()</f>
        <v>42</v>
      </c>
      <c r="AJ32" s="4">
        <f ca="1">data[[#This Row],[Maturity ( Days)]]/365</f>
        <v>0.11506849315068493</v>
      </c>
      <c r="AK32" s="4" t="str">
        <f>IF(data[[#This Row],[Option Type]]="put","p","c")</f>
        <v>c</v>
      </c>
      <c r="AL32" s="4">
        <f>(data[[#This Row],[Bid]]*data[[#This Row],[Bidsize]]+data[[#This Row],[Ask]]*data[[#This Row],[Asksize]])/(data[[#This Row],[Bidsize]]+data[[#This Row],[Asksize]])</f>
        <v>373.6</v>
      </c>
      <c r="AM32" s="4">
        <f>VALUE(data[[#This Row],[Strike]])</f>
        <v>3650</v>
      </c>
      <c r="AN32" s="5">
        <f ca="1">impliedVol(data[[#This Row],[OptType]],Details!$B$4,VALUE(data[[#This Row],[Strike]]),VALUE(data[[#This Row],[Cnt Price]]),Details!$B$6,data[[#This Row],[T]],Details!$B$7)</f>
        <v>0.38422081255521501</v>
      </c>
      <c r="AO32" s="7">
        <f t="array" aca="1" ref="AO32:AS32" ca="1">bsGreeks(data[[#This Row],[OptType]],Details!$B$4,VALUE(data[[#This Row],[Strike]]),Details!$B$6,data[[#This Row],[T]],AN32,Details!$B$7)</f>
        <v>0.739319583196693</v>
      </c>
      <c r="AP32" s="7">
        <f ca="1"/>
        <v>6.3337190783226409E-4</v>
      </c>
      <c r="AQ32" s="6">
        <f ca="1"/>
        <v>4.3301069878918446</v>
      </c>
      <c r="AR32" s="6">
        <f ca="1"/>
        <v>-205.00652452255105</v>
      </c>
      <c r="AS32" s="6">
        <f ca="1"/>
        <v>291.35245541247315</v>
      </c>
      <c r="AU32" s="60">
        <f ca="1"/>
        <v>370.67832925911989</v>
      </c>
      <c r="AV32" s="61" t="str">
        <f ca="1"/>
        <v>c</v>
      </c>
      <c r="AW32" s="61">
        <f ca="1"/>
        <v>0.38422081255521501</v>
      </c>
      <c r="AX32" s="62">
        <f ca="1"/>
        <v>0.739319583196693</v>
      </c>
      <c r="AY32" s="62">
        <f ca="1"/>
        <v>6.3337190783226409E-4</v>
      </c>
      <c r="AZ32" s="62">
        <f ca="1"/>
        <v>4.3301069878918446</v>
      </c>
      <c r="BA32" s="60">
        <f ca="1"/>
        <v>-205.00652452255105</v>
      </c>
      <c r="BB32" s="60">
        <f ca="1"/>
        <v>291.35245541247315</v>
      </c>
    </row>
    <row r="33" spans="1:54" x14ac:dyDescent="0.3">
      <c r="A33" t="s">
        <v>1120</v>
      </c>
      <c r="B33" t="s">
        <v>1121</v>
      </c>
      <c r="C33" t="s">
        <v>57</v>
      </c>
      <c r="D33" t="s">
        <v>84</v>
      </c>
      <c r="E33" t="s">
        <v>84</v>
      </c>
      <c r="F33" t="s">
        <v>1122</v>
      </c>
      <c r="G33" t="s">
        <v>1474</v>
      </c>
      <c r="H33" t="s">
        <v>1475</v>
      </c>
      <c r="J33" t="s">
        <v>101</v>
      </c>
      <c r="K33" t="s">
        <v>101</v>
      </c>
      <c r="L33" t="s">
        <v>307</v>
      </c>
      <c r="M33" t="s">
        <v>84</v>
      </c>
      <c r="N33" t="s">
        <v>56</v>
      </c>
      <c r="O33" t="s">
        <v>36</v>
      </c>
      <c r="Q33" t="s">
        <v>84</v>
      </c>
      <c r="V33" t="s">
        <v>49</v>
      </c>
      <c r="X33" t="s">
        <v>84</v>
      </c>
      <c r="Z33" t="s">
        <v>84</v>
      </c>
      <c r="AA33" t="s">
        <v>84</v>
      </c>
      <c r="AB33" t="s">
        <v>36</v>
      </c>
      <c r="AC33" t="s">
        <v>1340</v>
      </c>
      <c r="AD33" t="s">
        <v>36</v>
      </c>
      <c r="AE33" t="s">
        <v>1340</v>
      </c>
      <c r="AF33" t="s">
        <v>86</v>
      </c>
      <c r="AG33" t="s">
        <v>269</v>
      </c>
      <c r="AH33" t="s">
        <v>183</v>
      </c>
      <c r="AI33" s="4">
        <f ca="1">data[[#This Row],[Expiry Date]]-TODAY()</f>
        <v>42</v>
      </c>
      <c r="AJ33" s="4">
        <f ca="1">data[[#This Row],[Maturity ( Days)]]/365</f>
        <v>0.11506849315068493</v>
      </c>
      <c r="AK33" s="4" t="str">
        <f>IF(data[[#This Row],[Option Type]]="put","p","c")</f>
        <v>c</v>
      </c>
      <c r="AL33" s="4">
        <f>(data[[#This Row],[Bid]]*data[[#This Row],[Bidsize]]+data[[#This Row],[Ask]]*data[[#This Row],[Asksize]])/(data[[#This Row],[Bidsize]]+data[[#This Row],[Asksize]])</f>
        <v>365.5</v>
      </c>
      <c r="AM33" s="4">
        <f>VALUE(data[[#This Row],[Strike]])</f>
        <v>3660</v>
      </c>
      <c r="AN33" s="5">
        <f ca="1">impliedVol(data[[#This Row],[OptType]],Details!$B$4,VALUE(data[[#This Row],[Strike]]),VALUE(data[[#This Row],[Cnt Price]]),Details!$B$6,data[[#This Row],[T]],Details!$B$7)</f>
        <v>0.38153913147606011</v>
      </c>
      <c r="AO33" s="7">
        <f t="array" aca="1" ref="AO33:AS33" ca="1">bsGreeks(data[[#This Row],[OptType]],Details!$B$4,VALUE(data[[#This Row],[Strike]]),Details!$B$6,data[[#This Row],[T]],AN33,Details!$B$7)</f>
        <v>0.73358893433252226</v>
      </c>
      <c r="AP33" s="7">
        <f ca="1"/>
        <v>6.449409720693987E-4</v>
      </c>
      <c r="AQ33" s="6">
        <f ca="1"/>
        <v>4.3784258423033915</v>
      </c>
      <c r="AR33" s="6">
        <f ca="1"/>
        <v>-205.77929677314418</v>
      </c>
      <c r="AS33" s="6">
        <f ca="1"/>
        <v>289.69296176102347</v>
      </c>
      <c r="AU33" s="60">
        <f ca="1"/>
        <v>362.59481532513928</v>
      </c>
      <c r="AV33" s="61" t="str">
        <f ca="1"/>
        <v>c</v>
      </c>
      <c r="AW33" s="61">
        <f ca="1"/>
        <v>0.38153913147606011</v>
      </c>
      <c r="AX33" s="62">
        <f ca="1"/>
        <v>0.73358893433252226</v>
      </c>
      <c r="AY33" s="62">
        <f ca="1"/>
        <v>6.449409720693987E-4</v>
      </c>
      <c r="AZ33" s="62">
        <f ca="1"/>
        <v>4.3784258423033915</v>
      </c>
      <c r="BA33" s="60">
        <f ca="1"/>
        <v>-205.77929677314418</v>
      </c>
      <c r="BB33" s="60">
        <f ca="1"/>
        <v>289.69296176102347</v>
      </c>
    </row>
    <row r="34" spans="1:54" x14ac:dyDescent="0.3">
      <c r="A34" t="s">
        <v>1123</v>
      </c>
      <c r="B34" t="s">
        <v>1124</v>
      </c>
      <c r="C34" t="s">
        <v>29</v>
      </c>
      <c r="D34" t="s">
        <v>84</v>
      </c>
      <c r="E34" t="s">
        <v>84</v>
      </c>
      <c r="F34" t="s">
        <v>1122</v>
      </c>
      <c r="G34" t="s">
        <v>1238</v>
      </c>
      <c r="H34" t="s">
        <v>921</v>
      </c>
      <c r="J34" t="s">
        <v>105</v>
      </c>
      <c r="K34" t="s">
        <v>146</v>
      </c>
      <c r="L34" t="s">
        <v>307</v>
      </c>
      <c r="M34" t="s">
        <v>84</v>
      </c>
      <c r="N34" t="s">
        <v>56</v>
      </c>
      <c r="O34" t="s">
        <v>36</v>
      </c>
      <c r="Q34" t="s">
        <v>84</v>
      </c>
      <c r="V34" t="s">
        <v>49</v>
      </c>
      <c r="X34" t="s">
        <v>84</v>
      </c>
      <c r="Z34" t="s">
        <v>84</v>
      </c>
      <c r="AA34" t="s">
        <v>84</v>
      </c>
      <c r="AB34" t="s">
        <v>36</v>
      </c>
      <c r="AC34" t="s">
        <v>1340</v>
      </c>
      <c r="AD34" t="s">
        <v>36</v>
      </c>
      <c r="AE34" t="s">
        <v>1340</v>
      </c>
      <c r="AF34" t="s">
        <v>86</v>
      </c>
      <c r="AG34" t="s">
        <v>269</v>
      </c>
      <c r="AH34" t="s">
        <v>183</v>
      </c>
      <c r="AI34" s="4">
        <f ca="1">data[[#This Row],[Expiry Date]]-TODAY()</f>
        <v>42</v>
      </c>
      <c r="AJ34" s="4">
        <f ca="1">data[[#This Row],[Maturity ( Days)]]/365</f>
        <v>0.11506849315068493</v>
      </c>
      <c r="AK34" s="4" t="str">
        <f>IF(data[[#This Row],[Option Type]]="put","p","c")</f>
        <v>p</v>
      </c>
      <c r="AL34" s="4">
        <f>(data[[#This Row],[Bid]]*data[[#This Row],[Bidsize]]+data[[#This Row],[Ask]]*data[[#This Row],[Asksize]])/(data[[#This Row],[Bidsize]]+data[[#This Row],[Asksize]])</f>
        <v>54.997101449275362</v>
      </c>
      <c r="AM34" s="4">
        <f>VALUE(data[[#This Row],[Strike]])</f>
        <v>3660</v>
      </c>
      <c r="AN34" s="5">
        <f ca="1">impliedVol(data[[#This Row],[OptType]],Details!$B$4,VALUE(data[[#This Row],[Strike]]),VALUE(data[[#This Row],[Cnt Price]]),Details!$B$6,data[[#This Row],[T]],Details!$B$7)</f>
        <v>0.30504422811356746</v>
      </c>
      <c r="AO34" s="7">
        <f t="array" aca="1" ref="AO34:AS34" ca="1">bsGreeks(data[[#This Row],[OptType]],Details!$B$4,VALUE(data[[#This Row],[Strike]]),Details!$B$6,data[[#This Row],[T]],AN34,Details!$B$7)</f>
        <v>-0.22635462441234488</v>
      </c>
      <c r="AP34" s="7">
        <f ca="1"/>
        <v>7.391410460290609E-4</v>
      </c>
      <c r="AQ34" s="6">
        <f ca="1"/>
        <v>4.0118905464296377</v>
      </c>
      <c r="AR34" s="6">
        <f ca="1"/>
        <v>-143.10008528052586</v>
      </c>
      <c r="AS34" s="6">
        <f ca="1"/>
        <v>-108.69155156054953</v>
      </c>
      <c r="AU34" s="60">
        <f ca="1"/>
        <v>56.077099736589844</v>
      </c>
      <c r="AV34" s="61" t="str">
        <f ca="1"/>
        <v>p</v>
      </c>
      <c r="AW34" s="61">
        <f ca="1"/>
        <v>0.30504422811356746</v>
      </c>
      <c r="AX34" s="62">
        <f ca="1"/>
        <v>-0.22635462441234488</v>
      </c>
      <c r="AY34" s="62">
        <f ca="1"/>
        <v>7.391410460290609E-4</v>
      </c>
      <c r="AZ34" s="62">
        <f ca="1"/>
        <v>4.0118905464296377</v>
      </c>
      <c r="BA34" s="60">
        <f ca="1"/>
        <v>-143.10008528052586</v>
      </c>
      <c r="BB34" s="60">
        <f ca="1"/>
        <v>-108.69155156054953</v>
      </c>
    </row>
    <row r="35" spans="1:54" x14ac:dyDescent="0.3">
      <c r="A35" t="s">
        <v>1125</v>
      </c>
      <c r="B35" t="s">
        <v>1126</v>
      </c>
      <c r="C35" t="s">
        <v>57</v>
      </c>
      <c r="D35" t="s">
        <v>84</v>
      </c>
      <c r="E35" t="s">
        <v>84</v>
      </c>
      <c r="F35" t="s">
        <v>1127</v>
      </c>
      <c r="G35" t="s">
        <v>1476</v>
      </c>
      <c r="H35" t="s">
        <v>1477</v>
      </c>
      <c r="J35" t="s">
        <v>101</v>
      </c>
      <c r="K35" t="s">
        <v>101</v>
      </c>
      <c r="L35" t="s">
        <v>307</v>
      </c>
      <c r="M35" t="s">
        <v>84</v>
      </c>
      <c r="N35" t="s">
        <v>56</v>
      </c>
      <c r="O35" t="s">
        <v>36</v>
      </c>
      <c r="Q35" t="s">
        <v>84</v>
      </c>
      <c r="V35" t="s">
        <v>49</v>
      </c>
      <c r="X35" t="s">
        <v>84</v>
      </c>
      <c r="Z35" t="s">
        <v>84</v>
      </c>
      <c r="AA35" t="s">
        <v>84</v>
      </c>
      <c r="AB35" t="s">
        <v>36</v>
      </c>
      <c r="AC35" t="s">
        <v>1340</v>
      </c>
      <c r="AD35" t="s">
        <v>36</v>
      </c>
      <c r="AE35" t="s">
        <v>1340</v>
      </c>
      <c r="AF35" t="s">
        <v>86</v>
      </c>
      <c r="AG35" t="s">
        <v>269</v>
      </c>
      <c r="AH35" t="s">
        <v>183</v>
      </c>
      <c r="AI35" s="4">
        <f ca="1">data[[#This Row],[Expiry Date]]-TODAY()</f>
        <v>42</v>
      </c>
      <c r="AJ35" s="4">
        <f ca="1">data[[#This Row],[Maturity ( Days)]]/365</f>
        <v>0.11506849315068493</v>
      </c>
      <c r="AK35" s="4" t="str">
        <f>IF(data[[#This Row],[Option Type]]="put","p","c")</f>
        <v>c</v>
      </c>
      <c r="AL35" s="4">
        <f>(data[[#This Row],[Bid]]*data[[#This Row],[Bidsize]]+data[[#This Row],[Ask]]*data[[#This Row],[Asksize]])/(data[[#This Row],[Bidsize]]+data[[#This Row],[Asksize]])</f>
        <v>357.4</v>
      </c>
      <c r="AM35" s="4">
        <f>VALUE(data[[#This Row],[Strike]])</f>
        <v>3670</v>
      </c>
      <c r="AN35" s="5">
        <f ca="1">impliedVol(data[[#This Row],[OptType]],Details!$B$4,VALUE(data[[#This Row],[Strike]]),VALUE(data[[#This Row],[Cnt Price]]),Details!$B$6,data[[#This Row],[T]],Details!$B$7)</f>
        <v>0.37875417309386417</v>
      </c>
      <c r="AO35" s="7">
        <f t="array" aca="1" ref="AO35:AS35" ca="1">bsGreeks(data[[#This Row],[OptType]],Details!$B$4,VALUE(data[[#This Row],[Strike]]),Details!$B$6,data[[#This Row],[T]],AN35,Details!$B$7)</f>
        <v>0.72777741681262176</v>
      </c>
      <c r="AP35" s="7">
        <f ca="1"/>
        <v>6.5675204265491533E-4</v>
      </c>
      <c r="AQ35" s="6">
        <f ca="1"/>
        <v>4.42606515336856</v>
      </c>
      <c r="AR35" s="6">
        <f ca="1"/>
        <v>-206.43527899619514</v>
      </c>
      <c r="AS35" s="6">
        <f ca="1"/>
        <v>287.99689729376246</v>
      </c>
      <c r="AU35" s="60">
        <f ca="1"/>
        <v>354.5116648273688</v>
      </c>
      <c r="AV35" s="61" t="str">
        <f ca="1"/>
        <v>c</v>
      </c>
      <c r="AW35" s="61">
        <f ca="1"/>
        <v>0.37875417309386417</v>
      </c>
      <c r="AX35" s="62">
        <f ca="1"/>
        <v>0.72777741681262176</v>
      </c>
      <c r="AY35" s="62">
        <f ca="1"/>
        <v>6.5675204265491533E-4</v>
      </c>
      <c r="AZ35" s="62">
        <f ca="1"/>
        <v>4.42606515336856</v>
      </c>
      <c r="BA35" s="60">
        <f ca="1"/>
        <v>-206.43527899619514</v>
      </c>
      <c r="BB35" s="60">
        <f ca="1"/>
        <v>287.99689729376246</v>
      </c>
    </row>
    <row r="36" spans="1:54" x14ac:dyDescent="0.3">
      <c r="A36" t="s">
        <v>1128</v>
      </c>
      <c r="B36" t="s">
        <v>1129</v>
      </c>
      <c r="C36" t="s">
        <v>29</v>
      </c>
      <c r="D36" t="s">
        <v>84</v>
      </c>
      <c r="E36" t="s">
        <v>84</v>
      </c>
      <c r="F36" t="s">
        <v>1127</v>
      </c>
      <c r="G36" t="s">
        <v>864</v>
      </c>
      <c r="H36" t="s">
        <v>999</v>
      </c>
      <c r="J36" t="s">
        <v>105</v>
      </c>
      <c r="K36" t="s">
        <v>146</v>
      </c>
      <c r="L36" t="s">
        <v>307</v>
      </c>
      <c r="M36" t="s">
        <v>84</v>
      </c>
      <c r="N36" t="s">
        <v>56</v>
      </c>
      <c r="O36" t="s">
        <v>36</v>
      </c>
      <c r="Q36" t="s">
        <v>84</v>
      </c>
      <c r="V36" t="s">
        <v>49</v>
      </c>
      <c r="X36" t="s">
        <v>84</v>
      </c>
      <c r="Z36" t="s">
        <v>84</v>
      </c>
      <c r="AA36" t="s">
        <v>84</v>
      </c>
      <c r="AB36" t="s">
        <v>36</v>
      </c>
      <c r="AC36" t="s">
        <v>1340</v>
      </c>
      <c r="AD36" t="s">
        <v>36</v>
      </c>
      <c r="AE36" t="s">
        <v>1340</v>
      </c>
      <c r="AF36" t="s">
        <v>86</v>
      </c>
      <c r="AG36" t="s">
        <v>269</v>
      </c>
      <c r="AH36" t="s">
        <v>183</v>
      </c>
      <c r="AI36" s="4">
        <f ca="1">data[[#This Row],[Expiry Date]]-TODAY()</f>
        <v>42</v>
      </c>
      <c r="AJ36" s="4">
        <f ca="1">data[[#This Row],[Maturity ( Days)]]/365</f>
        <v>0.11506849315068493</v>
      </c>
      <c r="AK36" s="4" t="str">
        <f>IF(data[[#This Row],[Option Type]]="put","p","c")</f>
        <v>p</v>
      </c>
      <c r="AL36" s="4">
        <f>(data[[#This Row],[Bid]]*data[[#This Row],[Bidsize]]+data[[#This Row],[Ask]]*data[[#This Row],[Asksize]])/(data[[#This Row],[Bidsize]]+data[[#This Row],[Asksize]])</f>
        <v>56.897101449275361</v>
      </c>
      <c r="AM36" s="4">
        <f>VALUE(data[[#This Row],[Strike]])</f>
        <v>3670</v>
      </c>
      <c r="AN36" s="5">
        <f ca="1">impliedVol(data[[#This Row],[OptType]],Details!$B$4,VALUE(data[[#This Row],[Strike]]),VALUE(data[[#This Row],[Cnt Price]]),Details!$B$6,data[[#This Row],[T]],Details!$B$7)</f>
        <v>0.3033475085428779</v>
      </c>
      <c r="AO36" s="7">
        <f t="array" aca="1" ref="AO36:AS36" ca="1">bsGreeks(data[[#This Row],[OptType]],Details!$B$4,VALUE(data[[#This Row],[Strike]]),Details!$B$6,data[[#This Row],[T]],AN36,Details!$B$7)</f>
        <v>-0.23330285090266778</v>
      </c>
      <c r="AP36" s="7">
        <f ca="1"/>
        <v>7.5596494612619196E-4</v>
      </c>
      <c r="AQ36" s="6">
        <f ca="1"/>
        <v>4.0803839820524139</v>
      </c>
      <c r="AR36" s="6">
        <f ca="1"/>
        <v>-144.68310038085815</v>
      </c>
      <c r="AS36" s="6">
        <f ca="1"/>
        <v>-112.0523471145642</v>
      </c>
      <c r="AU36" s="60">
        <f ca="1"/>
        <v>58.010554813766703</v>
      </c>
      <c r="AV36" s="61" t="str">
        <f ca="1"/>
        <v>p</v>
      </c>
      <c r="AW36" s="61">
        <f ca="1"/>
        <v>0.3033475085428779</v>
      </c>
      <c r="AX36" s="62">
        <f ca="1"/>
        <v>-0.23330285090266778</v>
      </c>
      <c r="AY36" s="62">
        <f ca="1"/>
        <v>7.5596494612619196E-4</v>
      </c>
      <c r="AZ36" s="62">
        <f ca="1"/>
        <v>4.0803839820524139</v>
      </c>
      <c r="BA36" s="60">
        <f ca="1"/>
        <v>-144.68310038085815</v>
      </c>
      <c r="BB36" s="60">
        <f ca="1"/>
        <v>-112.0523471145642</v>
      </c>
    </row>
    <row r="37" spans="1:54" x14ac:dyDescent="0.3">
      <c r="A37" t="s">
        <v>779</v>
      </c>
      <c r="B37" t="s">
        <v>780</v>
      </c>
      <c r="C37" t="s">
        <v>57</v>
      </c>
      <c r="D37" t="s">
        <v>84</v>
      </c>
      <c r="E37" t="s">
        <v>84</v>
      </c>
      <c r="F37" t="s">
        <v>781</v>
      </c>
      <c r="G37" t="s">
        <v>1478</v>
      </c>
      <c r="H37" t="s">
        <v>1479</v>
      </c>
      <c r="J37" t="s">
        <v>101</v>
      </c>
      <c r="K37" t="s">
        <v>101</v>
      </c>
      <c r="L37" t="s">
        <v>307</v>
      </c>
      <c r="M37" t="s">
        <v>84</v>
      </c>
      <c r="N37" t="s">
        <v>56</v>
      </c>
      <c r="O37" t="s">
        <v>36</v>
      </c>
      <c r="Q37" t="s">
        <v>84</v>
      </c>
      <c r="V37" t="s">
        <v>49</v>
      </c>
      <c r="X37" t="s">
        <v>84</v>
      </c>
      <c r="Z37" t="s">
        <v>84</v>
      </c>
      <c r="AA37" t="s">
        <v>84</v>
      </c>
      <c r="AB37" t="s">
        <v>36</v>
      </c>
      <c r="AC37" t="s">
        <v>1340</v>
      </c>
      <c r="AD37" t="s">
        <v>36</v>
      </c>
      <c r="AE37" t="s">
        <v>1340</v>
      </c>
      <c r="AF37" t="s">
        <v>86</v>
      </c>
      <c r="AG37" t="s">
        <v>269</v>
      </c>
      <c r="AH37" t="s">
        <v>183</v>
      </c>
      <c r="AI37" s="4">
        <f ca="1">data[[#This Row],[Expiry Date]]-TODAY()</f>
        <v>42</v>
      </c>
      <c r="AJ37" s="4">
        <f ca="1">data[[#This Row],[Maturity ( Days)]]/365</f>
        <v>0.11506849315068493</v>
      </c>
      <c r="AK37" s="4" t="str">
        <f>IF(data[[#This Row],[Option Type]]="put","p","c")</f>
        <v>c</v>
      </c>
      <c r="AL37" s="4">
        <f>(data[[#This Row],[Bid]]*data[[#This Row],[Bidsize]]+data[[#This Row],[Ask]]*data[[#This Row],[Asksize]])/(data[[#This Row],[Bidsize]]+data[[#This Row],[Asksize]])</f>
        <v>353.4</v>
      </c>
      <c r="AM37" s="4">
        <f>VALUE(data[[#This Row],[Strike]])</f>
        <v>3675</v>
      </c>
      <c r="AN37" s="5">
        <f ca="1">impliedVol(data[[#This Row],[OptType]],Details!$B$4,VALUE(data[[#This Row],[Strike]]),VALUE(data[[#This Row],[Cnt Price]]),Details!$B$6,data[[#This Row],[T]],Details!$B$7)</f>
        <v>0.37743611657860754</v>
      </c>
      <c r="AO37" s="7">
        <f t="array" aca="1" ref="AO37:AS37" ca="1">bsGreeks(data[[#This Row],[OptType]],Details!$B$4,VALUE(data[[#This Row],[Strike]]),Details!$B$6,data[[#This Row],[T]],AN37,Details!$B$7)</f>
        <v>0.72479296006666138</v>
      </c>
      <c r="AP37" s="7">
        <f ca="1"/>
        <v>6.6260971878979525E-4</v>
      </c>
      <c r="AQ37" s="6">
        <f ca="1"/>
        <v>4.4500019423272246</v>
      </c>
      <c r="AR37" s="6">
        <f ca="1"/>
        <v>-206.79512718957383</v>
      </c>
      <c r="AS37" s="6">
        <f ca="1"/>
        <v>287.10752211744841</v>
      </c>
      <c r="AU37" s="60">
        <f ca="1"/>
        <v>350.52050372404165</v>
      </c>
      <c r="AV37" s="61" t="str">
        <f ca="1"/>
        <v>c</v>
      </c>
      <c r="AW37" s="61">
        <f ca="1"/>
        <v>0.37743611657860754</v>
      </c>
      <c r="AX37" s="62">
        <f ca="1"/>
        <v>0.72479296006666138</v>
      </c>
      <c r="AY37" s="62">
        <f ca="1"/>
        <v>6.6260971878979525E-4</v>
      </c>
      <c r="AZ37" s="62">
        <f ca="1"/>
        <v>4.4500019423272246</v>
      </c>
      <c r="BA37" s="60">
        <f ca="1"/>
        <v>-206.79512718957383</v>
      </c>
      <c r="BB37" s="60">
        <f ca="1"/>
        <v>287.10752211744841</v>
      </c>
    </row>
    <row r="38" spans="1:54" x14ac:dyDescent="0.3">
      <c r="A38" t="s">
        <v>782</v>
      </c>
      <c r="B38" t="s">
        <v>783</v>
      </c>
      <c r="C38" t="s">
        <v>57</v>
      </c>
      <c r="D38" t="s">
        <v>84</v>
      </c>
      <c r="E38" t="s">
        <v>84</v>
      </c>
      <c r="F38" t="s">
        <v>784</v>
      </c>
      <c r="G38" t="s">
        <v>1480</v>
      </c>
      <c r="H38" t="s">
        <v>1387</v>
      </c>
      <c r="J38" t="s">
        <v>101</v>
      </c>
      <c r="K38" t="s">
        <v>101</v>
      </c>
      <c r="L38" t="s">
        <v>307</v>
      </c>
      <c r="M38" t="s">
        <v>84</v>
      </c>
      <c r="N38" t="s">
        <v>56</v>
      </c>
      <c r="O38" t="s">
        <v>36</v>
      </c>
      <c r="Q38" t="s">
        <v>84</v>
      </c>
      <c r="V38" t="s">
        <v>49</v>
      </c>
      <c r="X38" t="s">
        <v>84</v>
      </c>
      <c r="Z38" t="s">
        <v>84</v>
      </c>
      <c r="AA38" t="s">
        <v>84</v>
      </c>
      <c r="AB38" t="s">
        <v>36</v>
      </c>
      <c r="AC38" t="s">
        <v>1340</v>
      </c>
      <c r="AD38" t="s">
        <v>36</v>
      </c>
      <c r="AE38" t="s">
        <v>1340</v>
      </c>
      <c r="AF38" t="s">
        <v>86</v>
      </c>
      <c r="AG38" t="s">
        <v>269</v>
      </c>
      <c r="AH38" t="s">
        <v>183</v>
      </c>
      <c r="AI38" s="4">
        <f ca="1">data[[#This Row],[Expiry Date]]-TODAY()</f>
        <v>42</v>
      </c>
      <c r="AJ38" s="4">
        <f ca="1">data[[#This Row],[Maturity ( Days)]]/365</f>
        <v>0.11506849315068493</v>
      </c>
      <c r="AK38" s="4" t="str">
        <f>IF(data[[#This Row],[Option Type]]="put","p","c")</f>
        <v>c</v>
      </c>
      <c r="AL38" s="4">
        <f>(data[[#This Row],[Bid]]*data[[#This Row],[Bidsize]]+data[[#This Row],[Ask]]*data[[#This Row],[Asksize]])/(data[[#This Row],[Bidsize]]+data[[#This Row],[Asksize]])</f>
        <v>349.4</v>
      </c>
      <c r="AM38" s="4">
        <f>VALUE(data[[#This Row],[Strike]])</f>
        <v>3680</v>
      </c>
      <c r="AN38" s="5">
        <f ca="1">impliedVol(data[[#This Row],[OptType]],Details!$B$4,VALUE(data[[#This Row],[Strike]]),VALUE(data[[#This Row],[Cnt Price]]),Details!$B$6,data[[#This Row],[T]],Details!$B$7)</f>
        <v>0.37609122901516412</v>
      </c>
      <c r="AO38" s="7">
        <f t="array" aca="1" ref="AO38:AS38" ca="1">bsGreeks(data[[#This Row],[OptType]],Details!$B$4,VALUE(data[[#This Row],[Strike]]),Details!$B$6,data[[#This Row],[T]],AN38,Details!$B$7)</f>
        <v>0.7217878184633616</v>
      </c>
      <c r="AP38" s="7">
        <f ca="1"/>
        <v>6.6852722090992298E-4</v>
      </c>
      <c r="AQ38" s="6">
        <f ca="1"/>
        <v>4.4737451898228491</v>
      </c>
      <c r="AR38" s="6">
        <f ca="1"/>
        <v>-207.12428457468528</v>
      </c>
      <c r="AS38" s="6">
        <f ca="1"/>
        <v>286.20879273218168</v>
      </c>
      <c r="AU38" s="60">
        <f ca="1"/>
        <v>346.52943560269568</v>
      </c>
      <c r="AV38" s="61" t="str">
        <f ca="1"/>
        <v>c</v>
      </c>
      <c r="AW38" s="61">
        <f ca="1"/>
        <v>0.37609122901516412</v>
      </c>
      <c r="AX38" s="62">
        <f ca="1"/>
        <v>0.7217878184633616</v>
      </c>
      <c r="AY38" s="62">
        <f ca="1"/>
        <v>6.6852722090992298E-4</v>
      </c>
      <c r="AZ38" s="62">
        <f ca="1"/>
        <v>4.4737451898228491</v>
      </c>
      <c r="BA38" s="60">
        <f ca="1"/>
        <v>-207.12428457468528</v>
      </c>
      <c r="BB38" s="60">
        <f ca="1"/>
        <v>286.20879273218168</v>
      </c>
    </row>
    <row r="39" spans="1:54" x14ac:dyDescent="0.3">
      <c r="A39" t="s">
        <v>785</v>
      </c>
      <c r="B39" t="s">
        <v>786</v>
      </c>
      <c r="C39" t="s">
        <v>57</v>
      </c>
      <c r="D39" t="s">
        <v>84</v>
      </c>
      <c r="E39" t="s">
        <v>84</v>
      </c>
      <c r="F39" t="s">
        <v>787</v>
      </c>
      <c r="G39" t="s">
        <v>945</v>
      </c>
      <c r="H39" t="s">
        <v>1481</v>
      </c>
      <c r="J39" t="s">
        <v>101</v>
      </c>
      <c r="K39" t="s">
        <v>101</v>
      </c>
      <c r="L39" t="s">
        <v>307</v>
      </c>
      <c r="M39" t="s">
        <v>84</v>
      </c>
      <c r="N39" t="s">
        <v>56</v>
      </c>
      <c r="O39" t="s">
        <v>36</v>
      </c>
      <c r="Q39" t="s">
        <v>84</v>
      </c>
      <c r="V39" t="s">
        <v>49</v>
      </c>
      <c r="X39" t="s">
        <v>84</v>
      </c>
      <c r="Z39" t="s">
        <v>84</v>
      </c>
      <c r="AA39" t="s">
        <v>84</v>
      </c>
      <c r="AB39" t="s">
        <v>36</v>
      </c>
      <c r="AC39" t="s">
        <v>1340</v>
      </c>
      <c r="AD39" t="s">
        <v>36</v>
      </c>
      <c r="AE39" t="s">
        <v>1340</v>
      </c>
      <c r="AF39" t="s">
        <v>86</v>
      </c>
      <c r="AG39" t="s">
        <v>269</v>
      </c>
      <c r="AH39" t="s">
        <v>183</v>
      </c>
      <c r="AI39" s="4">
        <f ca="1">data[[#This Row],[Expiry Date]]-TODAY()</f>
        <v>42</v>
      </c>
      <c r="AJ39" s="4">
        <f ca="1">data[[#This Row],[Maturity ( Days)]]/365</f>
        <v>0.11506849315068493</v>
      </c>
      <c r="AK39" s="4" t="str">
        <f>IF(data[[#This Row],[Option Type]]="put","p","c")</f>
        <v>c</v>
      </c>
      <c r="AL39" s="4">
        <f>(data[[#This Row],[Bid]]*data[[#This Row],[Bidsize]]+data[[#This Row],[Ask]]*data[[#This Row],[Asksize]])/(data[[#This Row],[Bidsize]]+data[[#This Row],[Asksize]])</f>
        <v>341.5</v>
      </c>
      <c r="AM39" s="4">
        <f>VALUE(data[[#This Row],[Strike]])</f>
        <v>3690</v>
      </c>
      <c r="AN39" s="5">
        <f ca="1">impliedVol(data[[#This Row],[OptType]],Details!$B$4,VALUE(data[[#This Row],[Strike]]),VALUE(data[[#This Row],[Cnt Price]]),Details!$B$6,data[[#This Row],[T]],Details!$B$7)</f>
        <v>0.37354359402012866</v>
      </c>
      <c r="AO39" s="7">
        <f t="array" aca="1" ref="AO39:AS39" ca="1">bsGreeks(data[[#This Row],[OptType]],Details!$B$4,VALUE(data[[#This Row],[Strike]]),Details!$B$6,data[[#This Row],[T]],AN39,Details!$B$7)</f>
        <v>0.715623431204229</v>
      </c>
      <c r="AP39" s="7">
        <f ca="1"/>
        <v>6.8024573055858065E-4</v>
      </c>
      <c r="AQ39" s="6">
        <f ca="1"/>
        <v>4.5213284936846234</v>
      </c>
      <c r="AR39" s="6">
        <f ca="1"/>
        <v>-207.83866609161041</v>
      </c>
      <c r="AS39" s="6">
        <f ca="1"/>
        <v>284.33013675131031</v>
      </c>
      <c r="AU39" s="60">
        <f ca="1"/>
        <v>338.64811296784319</v>
      </c>
      <c r="AV39" s="61" t="str">
        <f ca="1"/>
        <v>c</v>
      </c>
      <c r="AW39" s="61">
        <f ca="1"/>
        <v>0.37354359402012866</v>
      </c>
      <c r="AX39" s="62">
        <f ca="1"/>
        <v>0.715623431204229</v>
      </c>
      <c r="AY39" s="62">
        <f ca="1"/>
        <v>6.8024573055858065E-4</v>
      </c>
      <c r="AZ39" s="62">
        <f ca="1"/>
        <v>4.5213284936846234</v>
      </c>
      <c r="BA39" s="60">
        <f ca="1"/>
        <v>-207.83866609161041</v>
      </c>
      <c r="BB39" s="60">
        <f ca="1"/>
        <v>284.33013675131031</v>
      </c>
    </row>
    <row r="40" spans="1:54" x14ac:dyDescent="0.3">
      <c r="A40" t="s">
        <v>376</v>
      </c>
      <c r="B40" t="s">
        <v>377</v>
      </c>
      <c r="C40" t="s">
        <v>57</v>
      </c>
      <c r="D40" t="s">
        <v>84</v>
      </c>
      <c r="E40" t="s">
        <v>84</v>
      </c>
      <c r="F40" t="s">
        <v>155</v>
      </c>
      <c r="G40" t="s">
        <v>1482</v>
      </c>
      <c r="H40" t="s">
        <v>1060</v>
      </c>
      <c r="J40" t="s">
        <v>101</v>
      </c>
      <c r="K40" t="s">
        <v>101</v>
      </c>
      <c r="L40" t="s">
        <v>307</v>
      </c>
      <c r="M40" t="s">
        <v>84</v>
      </c>
      <c r="N40" t="s">
        <v>56</v>
      </c>
      <c r="O40" t="s">
        <v>36</v>
      </c>
      <c r="Q40" t="s">
        <v>84</v>
      </c>
      <c r="V40" t="s">
        <v>49</v>
      </c>
      <c r="X40" t="s">
        <v>84</v>
      </c>
      <c r="Z40" t="s">
        <v>84</v>
      </c>
      <c r="AA40" t="s">
        <v>84</v>
      </c>
      <c r="AB40" t="s">
        <v>36</v>
      </c>
      <c r="AC40" t="s">
        <v>1340</v>
      </c>
      <c r="AD40" t="s">
        <v>36</v>
      </c>
      <c r="AE40" t="s">
        <v>1340</v>
      </c>
      <c r="AF40" t="s">
        <v>86</v>
      </c>
      <c r="AG40" t="s">
        <v>269</v>
      </c>
      <c r="AH40" t="s">
        <v>183</v>
      </c>
      <c r="AI40" s="4">
        <f ca="1">data[[#This Row],[Expiry Date]]-TODAY()</f>
        <v>42</v>
      </c>
      <c r="AJ40" s="4">
        <f ca="1">data[[#This Row],[Maturity ( Days)]]/365</f>
        <v>0.11506849315068493</v>
      </c>
      <c r="AK40" s="4" t="str">
        <f>IF(data[[#This Row],[Option Type]]="put","p","c")</f>
        <v>c</v>
      </c>
      <c r="AL40" s="4">
        <f>(data[[#This Row],[Bid]]*data[[#This Row],[Bidsize]]+data[[#This Row],[Ask]]*data[[#This Row],[Asksize]])/(data[[#This Row],[Bidsize]]+data[[#This Row],[Asksize]])</f>
        <v>333.6</v>
      </c>
      <c r="AM40" s="4">
        <f>VALUE(data[[#This Row],[Strike]])</f>
        <v>3700</v>
      </c>
      <c r="AN40" s="5">
        <f ca="1">impliedVol(data[[#This Row],[OptType]],Details!$B$4,VALUE(data[[#This Row],[Strike]]),VALUE(data[[#This Row],[Cnt Price]]),Details!$B$6,data[[#This Row],[T]],Details!$B$7)</f>
        <v>0.37088479960955095</v>
      </c>
      <c r="AO40" s="7">
        <f t="array" aca="1" ref="AO40:AS40" ca="1">bsGreeks(data[[#This Row],[OptType]],Details!$B$4,VALUE(data[[#This Row],[Strike]]),Details!$B$6,data[[#This Row],[T]],AN40,Details!$B$7)</f>
        <v>0.70937427107553086</v>
      </c>
      <c r="AP40" s="7">
        <f ca="1"/>
        <v>6.9220074202408683E-4</v>
      </c>
      <c r="AQ40" s="6">
        <f ca="1"/>
        <v>4.5680414799627229</v>
      </c>
      <c r="AR40" s="6">
        <f ca="1"/>
        <v>-208.42438201100325</v>
      </c>
      <c r="AS40" s="6">
        <f ca="1"/>
        <v>282.41314435207511</v>
      </c>
      <c r="AU40" s="60">
        <f ca="1"/>
        <v>330.76717148962234</v>
      </c>
      <c r="AV40" s="61" t="str">
        <f ca="1"/>
        <v>c</v>
      </c>
      <c r="AW40" s="61">
        <f ca="1"/>
        <v>0.37088479960955095</v>
      </c>
      <c r="AX40" s="62">
        <f ca="1"/>
        <v>0.70937427107553086</v>
      </c>
      <c r="AY40" s="62">
        <f ca="1"/>
        <v>6.9220074202408683E-4</v>
      </c>
      <c r="AZ40" s="62">
        <f ca="1"/>
        <v>4.5680414799627229</v>
      </c>
      <c r="BA40" s="60">
        <f ca="1"/>
        <v>-208.42438201100325</v>
      </c>
      <c r="BB40" s="60">
        <f ca="1"/>
        <v>282.41314435207511</v>
      </c>
    </row>
    <row r="41" spans="1:54" x14ac:dyDescent="0.3">
      <c r="A41" t="s">
        <v>788</v>
      </c>
      <c r="B41" t="s">
        <v>789</v>
      </c>
      <c r="C41" t="s">
        <v>57</v>
      </c>
      <c r="D41" t="s">
        <v>84</v>
      </c>
      <c r="E41" t="s">
        <v>84</v>
      </c>
      <c r="F41" t="s">
        <v>790</v>
      </c>
      <c r="G41" t="s">
        <v>909</v>
      </c>
      <c r="H41" t="s">
        <v>1008</v>
      </c>
      <c r="J41" t="s">
        <v>101</v>
      </c>
      <c r="K41" t="s">
        <v>101</v>
      </c>
      <c r="L41" t="s">
        <v>307</v>
      </c>
      <c r="M41" t="s">
        <v>84</v>
      </c>
      <c r="N41" t="s">
        <v>56</v>
      </c>
      <c r="O41" t="s">
        <v>36</v>
      </c>
      <c r="Q41" t="s">
        <v>84</v>
      </c>
      <c r="V41" t="s">
        <v>49</v>
      </c>
      <c r="X41" t="s">
        <v>84</v>
      </c>
      <c r="Z41" t="s">
        <v>84</v>
      </c>
      <c r="AA41" t="s">
        <v>84</v>
      </c>
      <c r="AB41" t="s">
        <v>36</v>
      </c>
      <c r="AC41" t="s">
        <v>1340</v>
      </c>
      <c r="AD41" t="s">
        <v>36</v>
      </c>
      <c r="AE41" t="s">
        <v>1340</v>
      </c>
      <c r="AF41" t="s">
        <v>86</v>
      </c>
      <c r="AG41" t="s">
        <v>269</v>
      </c>
      <c r="AH41" t="s">
        <v>183</v>
      </c>
      <c r="AI41" s="4">
        <f ca="1">data[[#This Row],[Expiry Date]]-TODAY()</f>
        <v>42</v>
      </c>
      <c r="AJ41" s="4">
        <f ca="1">data[[#This Row],[Maturity ( Days)]]/365</f>
        <v>0.11506849315068493</v>
      </c>
      <c r="AK41" s="4" t="str">
        <f>IF(data[[#This Row],[Option Type]]="put","p","c")</f>
        <v>c</v>
      </c>
      <c r="AL41" s="4">
        <f>(data[[#This Row],[Bid]]*data[[#This Row],[Bidsize]]+data[[#This Row],[Ask]]*data[[#This Row],[Asksize]])/(data[[#This Row],[Bidsize]]+data[[#This Row],[Asksize]])</f>
        <v>325.8</v>
      </c>
      <c r="AM41" s="4">
        <f>VALUE(data[[#This Row],[Strike]])</f>
        <v>3710</v>
      </c>
      <c r="AN41" s="5">
        <f ca="1">impliedVol(data[[#This Row],[OptType]],Details!$B$4,VALUE(data[[#This Row],[Strike]]),VALUE(data[[#This Row],[Cnt Price]]),Details!$B$6,data[[#This Row],[T]],Details!$B$7)</f>
        <v>0.36833317116078013</v>
      </c>
      <c r="AO41" s="7">
        <f t="array" aca="1" ref="AO41:AS41" ca="1">bsGreeks(data[[#This Row],[OptType]],Details!$B$4,VALUE(data[[#This Row],[Strike]]),Details!$B$6,data[[#This Row],[T]],AN41,Details!$B$7)</f>
        <v>0.70295138712201255</v>
      </c>
      <c r="AP41" s="7">
        <f ca="1"/>
        <v>7.0408003833541931E-4</v>
      </c>
      <c r="AQ41" s="6">
        <f ca="1"/>
        <v>4.6144697948004687</v>
      </c>
      <c r="AR41" s="6">
        <f ca="1"/>
        <v>-209.02477120617999</v>
      </c>
      <c r="AS41" s="6">
        <f ca="1"/>
        <v>280.40608217296437</v>
      </c>
      <c r="AU41" s="60">
        <f ca="1"/>
        <v>322.98713197564848</v>
      </c>
      <c r="AV41" s="61" t="str">
        <f ca="1"/>
        <v>c</v>
      </c>
      <c r="AW41" s="61">
        <f ca="1"/>
        <v>0.36833317116078013</v>
      </c>
      <c r="AX41" s="62">
        <f ca="1"/>
        <v>0.70295138712201255</v>
      </c>
      <c r="AY41" s="62">
        <f ca="1"/>
        <v>7.0408003833541931E-4</v>
      </c>
      <c r="AZ41" s="62">
        <f ca="1"/>
        <v>4.6144697948004687</v>
      </c>
      <c r="BA41" s="60">
        <f ca="1"/>
        <v>-209.02477120617999</v>
      </c>
      <c r="BB41" s="60">
        <f ca="1"/>
        <v>280.40608217296437</v>
      </c>
    </row>
    <row r="42" spans="1:54" x14ac:dyDescent="0.3">
      <c r="A42" t="s">
        <v>791</v>
      </c>
      <c r="B42" t="s">
        <v>792</v>
      </c>
      <c r="C42" t="s">
        <v>57</v>
      </c>
      <c r="D42" t="s">
        <v>84</v>
      </c>
      <c r="E42" t="s">
        <v>84</v>
      </c>
      <c r="F42" t="s">
        <v>793</v>
      </c>
      <c r="G42" t="s">
        <v>1022</v>
      </c>
      <c r="H42" t="s">
        <v>1483</v>
      </c>
      <c r="J42" t="s">
        <v>101</v>
      </c>
      <c r="K42" t="s">
        <v>101</v>
      </c>
      <c r="L42" t="s">
        <v>307</v>
      </c>
      <c r="M42" t="s">
        <v>84</v>
      </c>
      <c r="N42" t="s">
        <v>56</v>
      </c>
      <c r="O42" t="s">
        <v>36</v>
      </c>
      <c r="Q42" t="s">
        <v>84</v>
      </c>
      <c r="V42" t="s">
        <v>49</v>
      </c>
      <c r="X42" t="s">
        <v>84</v>
      </c>
      <c r="Z42" t="s">
        <v>84</v>
      </c>
      <c r="AA42" t="s">
        <v>84</v>
      </c>
      <c r="AB42" t="s">
        <v>36</v>
      </c>
      <c r="AC42" t="s">
        <v>1340</v>
      </c>
      <c r="AD42" t="s">
        <v>36</v>
      </c>
      <c r="AE42" t="s">
        <v>1340</v>
      </c>
      <c r="AF42" t="s">
        <v>86</v>
      </c>
      <c r="AG42" t="s">
        <v>269</v>
      </c>
      <c r="AH42" t="s">
        <v>183</v>
      </c>
      <c r="AI42" s="4">
        <f ca="1">data[[#This Row],[Expiry Date]]-TODAY()</f>
        <v>42</v>
      </c>
      <c r="AJ42" s="4">
        <f ca="1">data[[#This Row],[Maturity ( Days)]]/365</f>
        <v>0.11506849315068493</v>
      </c>
      <c r="AK42" s="4" t="str">
        <f>IF(data[[#This Row],[Option Type]]="put","p","c")</f>
        <v>c</v>
      </c>
      <c r="AL42" s="4">
        <f>(data[[#This Row],[Bid]]*data[[#This Row],[Bidsize]]+data[[#This Row],[Ask]]*data[[#This Row],[Asksize]])/(data[[#This Row],[Bidsize]]+data[[#This Row],[Asksize]])</f>
        <v>318.05</v>
      </c>
      <c r="AM42" s="4">
        <f>VALUE(data[[#This Row],[Strike]])</f>
        <v>3720</v>
      </c>
      <c r="AN42" s="5">
        <f ca="1">impliedVol(data[[#This Row],[OptType]],Details!$B$4,VALUE(data[[#This Row],[Strike]]),VALUE(data[[#This Row],[Cnt Price]]),Details!$B$6,data[[#This Row],[T]],Details!$B$7)</f>
        <v>0.36577476512339263</v>
      </c>
      <c r="AO42" s="7">
        <f t="array" aca="1" ref="AO42:AS42" ca="1">bsGreeks(data[[#This Row],[OptType]],Details!$B$4,VALUE(data[[#This Row],[Strike]]),Details!$B$6,data[[#This Row],[T]],AN42,Details!$B$7)</f>
        <v>0.69639850721927221</v>
      </c>
      <c r="AP42" s="7">
        <f ca="1"/>
        <v>7.1603113228459138E-4</v>
      </c>
      <c r="AQ42" s="6">
        <f ca="1"/>
        <v>4.660200362547176</v>
      </c>
      <c r="AR42" s="6">
        <f ca="1"/>
        <v>-209.5612715147723</v>
      </c>
      <c r="AS42" s="6">
        <f ca="1"/>
        <v>278.33447879788042</v>
      </c>
      <c r="AU42" s="60">
        <f ca="1"/>
        <v>315.25773749190193</v>
      </c>
      <c r="AV42" s="61" t="str">
        <f ca="1"/>
        <v>c</v>
      </c>
      <c r="AW42" s="61">
        <f ca="1"/>
        <v>0.36577476512339263</v>
      </c>
      <c r="AX42" s="62">
        <f ca="1"/>
        <v>0.69639850721927221</v>
      </c>
      <c r="AY42" s="62">
        <f ca="1"/>
        <v>7.1603113228459138E-4</v>
      </c>
      <c r="AZ42" s="62">
        <f ca="1"/>
        <v>4.660200362547176</v>
      </c>
      <c r="BA42" s="60">
        <f ca="1"/>
        <v>-209.5612715147723</v>
      </c>
      <c r="BB42" s="60">
        <f ca="1"/>
        <v>278.33447879788042</v>
      </c>
    </row>
    <row r="43" spans="1:54" x14ac:dyDescent="0.3">
      <c r="A43" t="s">
        <v>378</v>
      </c>
      <c r="B43" t="s">
        <v>379</v>
      </c>
      <c r="C43" t="s">
        <v>57</v>
      </c>
      <c r="D43" t="s">
        <v>84</v>
      </c>
      <c r="E43" t="s">
        <v>84</v>
      </c>
      <c r="F43" t="s">
        <v>261</v>
      </c>
      <c r="G43" t="s">
        <v>1345</v>
      </c>
      <c r="H43" t="s">
        <v>1484</v>
      </c>
      <c r="J43" t="s">
        <v>101</v>
      </c>
      <c r="K43" t="s">
        <v>101</v>
      </c>
      <c r="L43" t="s">
        <v>307</v>
      </c>
      <c r="M43" t="s">
        <v>84</v>
      </c>
      <c r="N43" t="s">
        <v>56</v>
      </c>
      <c r="O43" t="s">
        <v>36</v>
      </c>
      <c r="Q43" t="s">
        <v>84</v>
      </c>
      <c r="V43" t="s">
        <v>49</v>
      </c>
      <c r="X43" t="s">
        <v>84</v>
      </c>
      <c r="Z43" t="s">
        <v>84</v>
      </c>
      <c r="AA43" t="s">
        <v>84</v>
      </c>
      <c r="AB43" t="s">
        <v>36</v>
      </c>
      <c r="AC43" t="s">
        <v>1340</v>
      </c>
      <c r="AD43" t="s">
        <v>36</v>
      </c>
      <c r="AE43" t="s">
        <v>1340</v>
      </c>
      <c r="AF43" t="s">
        <v>86</v>
      </c>
      <c r="AG43" t="s">
        <v>269</v>
      </c>
      <c r="AH43" t="s">
        <v>183</v>
      </c>
      <c r="AI43" s="4">
        <f ca="1">data[[#This Row],[Expiry Date]]-TODAY()</f>
        <v>42</v>
      </c>
      <c r="AJ43" s="4">
        <f ca="1">data[[#This Row],[Maturity ( Days)]]/365</f>
        <v>0.11506849315068493</v>
      </c>
      <c r="AK43" s="4" t="str">
        <f>IF(data[[#This Row],[Option Type]]="put","p","c")</f>
        <v>c</v>
      </c>
      <c r="AL43" s="4">
        <f>(data[[#This Row],[Bid]]*data[[#This Row],[Bidsize]]+data[[#This Row],[Ask]]*data[[#This Row],[Asksize]])/(data[[#This Row],[Bidsize]]+data[[#This Row],[Asksize]])</f>
        <v>314.2</v>
      </c>
      <c r="AM43" s="4">
        <f>VALUE(data[[#This Row],[Strike]])</f>
        <v>3725</v>
      </c>
      <c r="AN43" s="5">
        <f ca="1">impliedVol(data[[#This Row],[OptType]],Details!$B$4,VALUE(data[[#This Row],[Strike]]),VALUE(data[[#This Row],[Cnt Price]]),Details!$B$6,data[[#This Row],[T]],Details!$B$7)</f>
        <v>0.36450557370346709</v>
      </c>
      <c r="AO43" s="7">
        <f t="array" aca="1" ref="AO43:AS43" ca="1">bsGreeks(data[[#This Row],[OptType]],Details!$B$4,VALUE(data[[#This Row],[Strike]]),Details!$B$6,data[[#This Row],[T]],AN43,Details!$B$7)</f>
        <v>0.69306804711165648</v>
      </c>
      <c r="AP43" s="7">
        <f ca="1"/>
        <v>7.2201095355353022E-4</v>
      </c>
      <c r="AQ43" s="6">
        <f ca="1"/>
        <v>4.6828139522304255</v>
      </c>
      <c r="AR43" s="6">
        <f ca="1"/>
        <v>-209.8130842285928</v>
      </c>
      <c r="AS43" s="6">
        <f ca="1"/>
        <v>277.27137095605536</v>
      </c>
      <c r="AU43" s="60">
        <f ca="1"/>
        <v>311.41831341672832</v>
      </c>
      <c r="AV43" s="61" t="str">
        <f ca="1"/>
        <v>c</v>
      </c>
      <c r="AW43" s="61">
        <f ca="1"/>
        <v>0.36450557370346709</v>
      </c>
      <c r="AX43" s="62">
        <f ca="1"/>
        <v>0.69306804711165648</v>
      </c>
      <c r="AY43" s="62">
        <f ca="1"/>
        <v>7.2201095355353022E-4</v>
      </c>
      <c r="AZ43" s="62">
        <f ca="1"/>
        <v>4.6828139522304255</v>
      </c>
      <c r="BA43" s="60">
        <f ca="1"/>
        <v>-209.8130842285928</v>
      </c>
      <c r="BB43" s="60">
        <f ca="1"/>
        <v>277.27137095605536</v>
      </c>
    </row>
    <row r="44" spans="1:54" x14ac:dyDescent="0.3">
      <c r="A44" t="s">
        <v>794</v>
      </c>
      <c r="B44" t="s">
        <v>795</v>
      </c>
      <c r="C44" t="s">
        <v>57</v>
      </c>
      <c r="D44" t="s">
        <v>84</v>
      </c>
      <c r="E44" t="s">
        <v>84</v>
      </c>
      <c r="F44" t="s">
        <v>796</v>
      </c>
      <c r="G44" t="s">
        <v>1023</v>
      </c>
      <c r="H44" t="s">
        <v>1232</v>
      </c>
      <c r="J44" t="s">
        <v>101</v>
      </c>
      <c r="K44" t="s">
        <v>101</v>
      </c>
      <c r="L44" t="s">
        <v>307</v>
      </c>
      <c r="M44" t="s">
        <v>84</v>
      </c>
      <c r="N44" t="s">
        <v>56</v>
      </c>
      <c r="O44" t="s">
        <v>36</v>
      </c>
      <c r="Q44" t="s">
        <v>84</v>
      </c>
      <c r="V44" t="s">
        <v>49</v>
      </c>
      <c r="X44" t="s">
        <v>84</v>
      </c>
      <c r="Z44" t="s">
        <v>84</v>
      </c>
      <c r="AA44" t="s">
        <v>84</v>
      </c>
      <c r="AB44" t="s">
        <v>36</v>
      </c>
      <c r="AC44" t="s">
        <v>1340</v>
      </c>
      <c r="AD44" t="s">
        <v>36</v>
      </c>
      <c r="AE44" t="s">
        <v>1340</v>
      </c>
      <c r="AF44" t="s">
        <v>86</v>
      </c>
      <c r="AG44" t="s">
        <v>269</v>
      </c>
      <c r="AH44" t="s">
        <v>183</v>
      </c>
      <c r="AI44" s="4">
        <f ca="1">data[[#This Row],[Expiry Date]]-TODAY()</f>
        <v>42</v>
      </c>
      <c r="AJ44" s="4">
        <f ca="1">data[[#This Row],[Maturity ( Days)]]/365</f>
        <v>0.11506849315068493</v>
      </c>
      <c r="AK44" s="4" t="str">
        <f>IF(data[[#This Row],[Option Type]]="put","p","c")</f>
        <v>c</v>
      </c>
      <c r="AL44" s="4">
        <f>(data[[#This Row],[Bid]]*data[[#This Row],[Bidsize]]+data[[#This Row],[Ask]]*data[[#This Row],[Asksize]])/(data[[#This Row],[Bidsize]]+data[[#This Row],[Asksize]])</f>
        <v>310.60000000000002</v>
      </c>
      <c r="AM44" s="4">
        <f>VALUE(data[[#This Row],[Strike]])</f>
        <v>3730</v>
      </c>
      <c r="AN44" s="5">
        <f ca="1">impliedVol(data[[#This Row],[OptType]],Details!$B$4,VALUE(data[[#This Row],[Strike]]),VALUE(data[[#This Row],[Cnt Price]]),Details!$B$6,data[[#This Row],[T]],Details!$B$7)</f>
        <v>0.36374058503280876</v>
      </c>
      <c r="AO44" s="7">
        <f t="array" aca="1" ref="AO44:AS44" ca="1">bsGreeks(data[[#This Row],[OptType]],Details!$B$4,VALUE(data[[#This Row],[Strike]]),Details!$B$6,data[[#This Row],[T]],AN44,Details!$B$7)</f>
        <v>0.68952195211018652</v>
      </c>
      <c r="AP44" s="7">
        <f ca="1"/>
        <v>7.2717812346904378E-4</v>
      </c>
      <c r="AQ44" s="6">
        <f ca="1"/>
        <v>4.7064289828628452</v>
      </c>
      <c r="AR44" s="6">
        <f ca="1"/>
        <v>-210.38085722021603</v>
      </c>
      <c r="AS44" s="6">
        <f ca="1"/>
        <v>276.08197881983062</v>
      </c>
      <c r="AU44" s="60">
        <f ca="1"/>
        <v>307.83016118141813</v>
      </c>
      <c r="AV44" s="61" t="str">
        <f ca="1"/>
        <v>c</v>
      </c>
      <c r="AW44" s="61">
        <f ca="1"/>
        <v>0.36374058503280876</v>
      </c>
      <c r="AX44" s="62">
        <f ca="1"/>
        <v>0.68952195211018652</v>
      </c>
      <c r="AY44" s="62">
        <f ca="1"/>
        <v>7.2717812346904378E-4</v>
      </c>
      <c r="AZ44" s="62">
        <f ca="1"/>
        <v>4.7064289828628452</v>
      </c>
      <c r="BA44" s="60">
        <f ca="1"/>
        <v>-210.38085722021603</v>
      </c>
      <c r="BB44" s="60">
        <f ca="1"/>
        <v>276.08197881983062</v>
      </c>
    </row>
    <row r="45" spans="1:54" x14ac:dyDescent="0.3">
      <c r="A45" t="s">
        <v>800</v>
      </c>
      <c r="B45" t="s">
        <v>801</v>
      </c>
      <c r="C45" t="s">
        <v>57</v>
      </c>
      <c r="D45" t="s">
        <v>84</v>
      </c>
      <c r="E45" t="s">
        <v>84</v>
      </c>
      <c r="F45" t="s">
        <v>799</v>
      </c>
      <c r="G45" t="s">
        <v>1244</v>
      </c>
      <c r="H45" t="s">
        <v>1485</v>
      </c>
      <c r="J45" t="s">
        <v>101</v>
      </c>
      <c r="K45" t="s">
        <v>101</v>
      </c>
      <c r="L45" t="s">
        <v>307</v>
      </c>
      <c r="M45" t="s">
        <v>84</v>
      </c>
      <c r="N45" t="s">
        <v>56</v>
      </c>
      <c r="O45" t="s">
        <v>36</v>
      </c>
      <c r="Q45" t="s">
        <v>84</v>
      </c>
      <c r="V45" t="s">
        <v>49</v>
      </c>
      <c r="X45" t="s">
        <v>84</v>
      </c>
      <c r="Z45" t="s">
        <v>84</v>
      </c>
      <c r="AA45" t="s">
        <v>84</v>
      </c>
      <c r="AB45" t="s">
        <v>36</v>
      </c>
      <c r="AC45" t="s">
        <v>1340</v>
      </c>
      <c r="AD45" t="s">
        <v>36</v>
      </c>
      <c r="AE45" t="s">
        <v>1340</v>
      </c>
      <c r="AF45" t="s">
        <v>86</v>
      </c>
      <c r="AG45" t="s">
        <v>269</v>
      </c>
      <c r="AH45" t="s">
        <v>183</v>
      </c>
      <c r="AI45" s="4">
        <f ca="1">data[[#This Row],[Expiry Date]]-TODAY()</f>
        <v>42</v>
      </c>
      <c r="AJ45" s="4">
        <f ca="1">data[[#This Row],[Maturity ( Days)]]/365</f>
        <v>0.11506849315068493</v>
      </c>
      <c r="AK45" s="4" t="str">
        <f>IF(data[[#This Row],[Option Type]]="put","p","c")</f>
        <v>c</v>
      </c>
      <c r="AL45" s="4">
        <f>(data[[#This Row],[Bid]]*data[[#This Row],[Bidsize]]+data[[#This Row],[Ask]]*data[[#This Row],[Asksize]])/(data[[#This Row],[Bidsize]]+data[[#This Row],[Asksize]])</f>
        <v>303</v>
      </c>
      <c r="AM45" s="4">
        <f>VALUE(data[[#This Row],[Strike]])</f>
        <v>3740</v>
      </c>
      <c r="AN45" s="5">
        <f ca="1">impliedVol(data[[#This Row],[OptType]],Details!$B$4,VALUE(data[[#This Row],[Strike]]),VALUE(data[[#This Row],[Cnt Price]]),Details!$B$6,data[[#This Row],[T]],Details!$B$7)</f>
        <v>0.36126113403475901</v>
      </c>
      <c r="AO45" s="7">
        <f t="array" aca="1" ref="AO45:AS45" ca="1">bsGreeks(data[[#This Row],[OptType]],Details!$B$4,VALUE(data[[#This Row],[Strike]]),Details!$B$6,data[[#This Row],[T]],AN45,Details!$B$7)</f>
        <v>0.68267698983334935</v>
      </c>
      <c r="AP45" s="7">
        <f ca="1"/>
        <v>7.3905172228831261E-4</v>
      </c>
      <c r="AQ45" s="6">
        <f ca="1"/>
        <v>4.750671689433922</v>
      </c>
      <c r="AR45" s="6">
        <f ca="1"/>
        <v>-210.84146538183023</v>
      </c>
      <c r="AS45" s="6">
        <f ca="1"/>
        <v>273.86102714505051</v>
      </c>
      <c r="AU45" s="60">
        <f ca="1"/>
        <v>300.25226178606908</v>
      </c>
      <c r="AV45" s="61" t="str">
        <f ca="1"/>
        <v>c</v>
      </c>
      <c r="AW45" s="61">
        <f ca="1"/>
        <v>0.36126113403475901</v>
      </c>
      <c r="AX45" s="62">
        <f ca="1"/>
        <v>0.68267698983334935</v>
      </c>
      <c r="AY45" s="62">
        <f ca="1"/>
        <v>7.3905172228831261E-4</v>
      </c>
      <c r="AZ45" s="62">
        <f ca="1"/>
        <v>4.750671689433922</v>
      </c>
      <c r="BA45" s="60">
        <f ca="1"/>
        <v>-210.84146538183023</v>
      </c>
      <c r="BB45" s="60">
        <f ca="1"/>
        <v>273.86102714505051</v>
      </c>
    </row>
    <row r="46" spans="1:54" x14ac:dyDescent="0.3">
      <c r="A46" t="s">
        <v>382</v>
      </c>
      <c r="B46" t="s">
        <v>383</v>
      </c>
      <c r="C46" t="s">
        <v>57</v>
      </c>
      <c r="D46" t="s">
        <v>84</v>
      </c>
      <c r="E46" t="s">
        <v>84</v>
      </c>
      <c r="F46" t="s">
        <v>132</v>
      </c>
      <c r="G46" t="s">
        <v>1486</v>
      </c>
      <c r="H46" t="s">
        <v>1487</v>
      </c>
      <c r="J46" t="s">
        <v>101</v>
      </c>
      <c r="K46" t="s">
        <v>101</v>
      </c>
      <c r="L46" t="s">
        <v>307</v>
      </c>
      <c r="M46" t="s">
        <v>84</v>
      </c>
      <c r="N46" t="s">
        <v>56</v>
      </c>
      <c r="O46" t="s">
        <v>36</v>
      </c>
      <c r="Q46" t="s">
        <v>84</v>
      </c>
      <c r="V46" t="s">
        <v>49</v>
      </c>
      <c r="X46" t="s">
        <v>84</v>
      </c>
      <c r="Z46" t="s">
        <v>84</v>
      </c>
      <c r="AA46" t="s">
        <v>84</v>
      </c>
      <c r="AB46" t="s">
        <v>36</v>
      </c>
      <c r="AC46" t="s">
        <v>1340</v>
      </c>
      <c r="AD46" t="s">
        <v>36</v>
      </c>
      <c r="AE46" t="s">
        <v>1340</v>
      </c>
      <c r="AF46" t="s">
        <v>86</v>
      </c>
      <c r="AG46" t="s">
        <v>269</v>
      </c>
      <c r="AH46" t="s">
        <v>183</v>
      </c>
      <c r="AI46" s="4">
        <f ca="1">data[[#This Row],[Expiry Date]]-TODAY()</f>
        <v>42</v>
      </c>
      <c r="AJ46" s="4">
        <f ca="1">data[[#This Row],[Maturity ( Days)]]/365</f>
        <v>0.11506849315068493</v>
      </c>
      <c r="AK46" s="4" t="str">
        <f>IF(data[[#This Row],[Option Type]]="put","p","c")</f>
        <v>c</v>
      </c>
      <c r="AL46" s="4">
        <f>(data[[#This Row],[Bid]]*data[[#This Row],[Bidsize]]+data[[#This Row],[Ask]]*data[[#This Row],[Asksize]])/(data[[#This Row],[Bidsize]]+data[[#This Row],[Asksize]])</f>
        <v>295.25</v>
      </c>
      <c r="AM46" s="4">
        <f>VALUE(data[[#This Row],[Strike]])</f>
        <v>3750</v>
      </c>
      <c r="AN46" s="5">
        <f ca="1">impliedVol(data[[#This Row],[OptType]],Details!$B$4,VALUE(data[[#This Row],[Strike]]),VALUE(data[[#This Row],[Cnt Price]]),Details!$B$6,data[[#This Row],[T]],Details!$B$7)</f>
        <v>0.35834596890103038</v>
      </c>
      <c r="AO46" s="7">
        <f t="array" aca="1" ref="AO46:AS46" ca="1">bsGreeks(data[[#This Row],[OptType]],Details!$B$4,VALUE(data[[#This Row],[Strike]]),Details!$B$6,data[[#This Row],[T]],AN46,Details!$B$7)</f>
        <v>0.67584232494947405</v>
      </c>
      <c r="AP46" s="7">
        <f ca="1"/>
        <v>7.5171794608905719E-4</v>
      </c>
      <c r="AQ46" s="6">
        <f ca="1"/>
        <v>4.7930988495743927</v>
      </c>
      <c r="AR46" s="6">
        <f ca="1"/>
        <v>-210.95031017088328</v>
      </c>
      <c r="AS46" s="6">
        <f ca="1"/>
        <v>271.66199344948149</v>
      </c>
      <c r="AU46" s="60">
        <f ca="1"/>
        <v>292.52413498643045</v>
      </c>
      <c r="AV46" s="61" t="str">
        <f ca="1"/>
        <v>c</v>
      </c>
      <c r="AW46" s="61">
        <f ca="1"/>
        <v>0.35834596890103038</v>
      </c>
      <c r="AX46" s="62">
        <f ca="1"/>
        <v>0.67584232494947405</v>
      </c>
      <c r="AY46" s="62">
        <f ca="1"/>
        <v>7.5171794608905719E-4</v>
      </c>
      <c r="AZ46" s="62">
        <f ca="1"/>
        <v>4.7930988495743927</v>
      </c>
      <c r="BA46" s="60">
        <f ca="1"/>
        <v>-210.95031017088328</v>
      </c>
      <c r="BB46" s="60">
        <f ca="1"/>
        <v>271.66199344948149</v>
      </c>
    </row>
    <row r="47" spans="1:54" x14ac:dyDescent="0.3">
      <c r="A47" t="s">
        <v>802</v>
      </c>
      <c r="B47" t="s">
        <v>803</v>
      </c>
      <c r="C47" t="s">
        <v>57</v>
      </c>
      <c r="D47" t="s">
        <v>84</v>
      </c>
      <c r="E47" t="s">
        <v>84</v>
      </c>
      <c r="F47" t="s">
        <v>804</v>
      </c>
      <c r="G47" t="s">
        <v>1488</v>
      </c>
      <c r="H47" t="s">
        <v>1024</v>
      </c>
      <c r="J47" t="s">
        <v>98</v>
      </c>
      <c r="K47" t="s">
        <v>98</v>
      </c>
      <c r="L47" t="s">
        <v>307</v>
      </c>
      <c r="M47" t="s">
        <v>84</v>
      </c>
      <c r="N47" t="s">
        <v>56</v>
      </c>
      <c r="O47" t="s">
        <v>36</v>
      </c>
      <c r="Q47" t="s">
        <v>84</v>
      </c>
      <c r="V47" t="s">
        <v>49</v>
      </c>
      <c r="X47" t="s">
        <v>84</v>
      </c>
      <c r="Z47" t="s">
        <v>84</v>
      </c>
      <c r="AA47" t="s">
        <v>84</v>
      </c>
      <c r="AB47" t="s">
        <v>36</v>
      </c>
      <c r="AC47" t="s">
        <v>1340</v>
      </c>
      <c r="AD47" t="s">
        <v>36</v>
      </c>
      <c r="AE47" t="s">
        <v>1340</v>
      </c>
      <c r="AF47" t="s">
        <v>86</v>
      </c>
      <c r="AG47" t="s">
        <v>269</v>
      </c>
      <c r="AH47" t="s">
        <v>183</v>
      </c>
      <c r="AI47" s="4">
        <f ca="1">data[[#This Row],[Expiry Date]]-TODAY()</f>
        <v>42</v>
      </c>
      <c r="AJ47" s="4">
        <f ca="1">data[[#This Row],[Maturity ( Days)]]/365</f>
        <v>0.11506849315068493</v>
      </c>
      <c r="AK47" s="4" t="str">
        <f>IF(data[[#This Row],[Option Type]]="put","p","c")</f>
        <v>c</v>
      </c>
      <c r="AL47" s="4">
        <f>(data[[#This Row],[Bid]]*data[[#This Row],[Bidsize]]+data[[#This Row],[Ask]]*data[[#This Row],[Asksize]])/(data[[#This Row],[Bidsize]]+data[[#This Row],[Asksize]])</f>
        <v>288</v>
      </c>
      <c r="AM47" s="4">
        <f>VALUE(data[[#This Row],[Strike]])</f>
        <v>3760</v>
      </c>
      <c r="AN47" s="5">
        <f ca="1">impliedVol(data[[#This Row],[OptType]],Details!$B$4,VALUE(data[[#This Row],[Strike]]),VALUE(data[[#This Row],[Cnt Price]]),Details!$B$6,data[[#This Row],[T]],Details!$B$7)</f>
        <v>0.35635350205030947</v>
      </c>
      <c r="AO47" s="7">
        <f t="array" aca="1" ref="AO47:AS47" ca="1">bsGreeks(data[[#This Row],[OptType]],Details!$B$4,VALUE(data[[#This Row],[Strike]]),Details!$B$6,data[[#This Row],[T]],AN47,Details!$B$7)</f>
        <v>0.66856181688767813</v>
      </c>
      <c r="AP47" s="7">
        <f ca="1"/>
        <v>7.6274824389873286E-4</v>
      </c>
      <c r="AQ47" s="6">
        <f ca="1"/>
        <v>4.8363886290728466</v>
      </c>
      <c r="AR47" s="6">
        <f ca="1"/>
        <v>-211.5912827126869</v>
      </c>
      <c r="AS47" s="6">
        <f ca="1"/>
        <v>269.20380065241471</v>
      </c>
      <c r="AU47" s="60">
        <f ca="1"/>
        <v>285.29861791386065</v>
      </c>
      <c r="AV47" s="61" t="str">
        <f ca="1"/>
        <v>c</v>
      </c>
      <c r="AW47" s="61">
        <f ca="1"/>
        <v>0.35635350205030947</v>
      </c>
      <c r="AX47" s="62">
        <f ca="1"/>
        <v>0.66856181688767813</v>
      </c>
      <c r="AY47" s="62">
        <f ca="1"/>
        <v>7.6274824389873286E-4</v>
      </c>
      <c r="AZ47" s="62">
        <f ca="1"/>
        <v>4.8363886290728466</v>
      </c>
      <c r="BA47" s="60">
        <f ca="1"/>
        <v>-211.5912827126869</v>
      </c>
      <c r="BB47" s="60">
        <f ca="1"/>
        <v>269.20380065241471</v>
      </c>
    </row>
    <row r="48" spans="1:54" x14ac:dyDescent="0.3">
      <c r="A48" t="s">
        <v>805</v>
      </c>
      <c r="B48" t="s">
        <v>806</v>
      </c>
      <c r="C48" t="s">
        <v>57</v>
      </c>
      <c r="D48" t="s">
        <v>84</v>
      </c>
      <c r="E48" t="s">
        <v>84</v>
      </c>
      <c r="F48" t="s">
        <v>807</v>
      </c>
      <c r="G48" t="s">
        <v>1489</v>
      </c>
      <c r="H48" t="s">
        <v>998</v>
      </c>
      <c r="J48" t="s">
        <v>98</v>
      </c>
      <c r="K48" t="s">
        <v>98</v>
      </c>
      <c r="L48" t="s">
        <v>307</v>
      </c>
      <c r="M48" t="s">
        <v>84</v>
      </c>
      <c r="N48" t="s">
        <v>56</v>
      </c>
      <c r="O48" t="s">
        <v>36</v>
      </c>
      <c r="Q48" t="s">
        <v>84</v>
      </c>
      <c r="V48" t="s">
        <v>49</v>
      </c>
      <c r="X48" t="s">
        <v>84</v>
      </c>
      <c r="Z48" t="s">
        <v>84</v>
      </c>
      <c r="AA48" t="s">
        <v>84</v>
      </c>
      <c r="AB48" t="s">
        <v>36</v>
      </c>
      <c r="AC48" t="s">
        <v>1340</v>
      </c>
      <c r="AD48" t="s">
        <v>36</v>
      </c>
      <c r="AE48" t="s">
        <v>1340</v>
      </c>
      <c r="AF48" t="s">
        <v>86</v>
      </c>
      <c r="AG48" t="s">
        <v>269</v>
      </c>
      <c r="AH48" t="s">
        <v>183</v>
      </c>
      <c r="AI48" s="4">
        <f ca="1">data[[#This Row],[Expiry Date]]-TODAY()</f>
        <v>42</v>
      </c>
      <c r="AJ48" s="4">
        <f ca="1">data[[#This Row],[Maturity ( Days)]]/365</f>
        <v>0.11506849315068493</v>
      </c>
      <c r="AK48" s="4" t="str">
        <f>IF(data[[#This Row],[Option Type]]="put","p","c")</f>
        <v>c</v>
      </c>
      <c r="AL48" s="4">
        <f>(data[[#This Row],[Bid]]*data[[#This Row],[Bidsize]]+data[[#This Row],[Ask]]*data[[#This Row],[Asksize]])/(data[[#This Row],[Bidsize]]+data[[#This Row],[Asksize]])</f>
        <v>280.34999999999997</v>
      </c>
      <c r="AM48" s="4">
        <f>VALUE(data[[#This Row],[Strike]])</f>
        <v>3770</v>
      </c>
      <c r="AN48" s="5">
        <f ca="1">impliedVol(data[[#This Row],[OptType]],Details!$B$4,VALUE(data[[#This Row],[Strike]]),VALUE(data[[#This Row],[Cnt Price]]),Details!$B$6,data[[#This Row],[T]],Details!$B$7)</f>
        <v>0.35340375294511572</v>
      </c>
      <c r="AO48" s="7">
        <f t="array" aca="1" ref="AO48:AS48" ca="1">bsGreeks(data[[#This Row],[OptType]],Details!$B$4,VALUE(data[[#This Row],[Strike]]),Details!$B$6,data[[#This Row],[T]],AN48,Details!$B$7)</f>
        <v>0.66144995564686837</v>
      </c>
      <c r="AP48" s="7">
        <f ca="1"/>
        <v>7.7554030484754393E-4</v>
      </c>
      <c r="AQ48" s="6">
        <f ca="1"/>
        <v>4.8767947075368667</v>
      </c>
      <c r="AR48" s="6">
        <f ca="1"/>
        <v>-211.53721242269134</v>
      </c>
      <c r="AS48" s="6">
        <f ca="1"/>
        <v>266.86790420048357</v>
      </c>
      <c r="AU48" s="60">
        <f ca="1"/>
        <v>277.67185919658459</v>
      </c>
      <c r="AV48" s="61" t="str">
        <f ca="1"/>
        <v>c</v>
      </c>
      <c r="AW48" s="61">
        <f ca="1"/>
        <v>0.35340375294511572</v>
      </c>
      <c r="AX48" s="62">
        <f ca="1"/>
        <v>0.66144995564686837</v>
      </c>
      <c r="AY48" s="62">
        <f ca="1"/>
        <v>7.7554030484754393E-4</v>
      </c>
      <c r="AZ48" s="62">
        <f ca="1"/>
        <v>4.8767947075368667</v>
      </c>
      <c r="BA48" s="60">
        <f ca="1"/>
        <v>-211.53721242269134</v>
      </c>
      <c r="BB48" s="60">
        <f ca="1"/>
        <v>266.86790420048357</v>
      </c>
    </row>
    <row r="49" spans="1:54" x14ac:dyDescent="0.3">
      <c r="A49" t="s">
        <v>384</v>
      </c>
      <c r="B49" t="s">
        <v>385</v>
      </c>
      <c r="C49" t="s">
        <v>57</v>
      </c>
      <c r="D49" t="s">
        <v>84</v>
      </c>
      <c r="E49" t="s">
        <v>84</v>
      </c>
      <c r="F49" t="s">
        <v>252</v>
      </c>
      <c r="G49" t="s">
        <v>1490</v>
      </c>
      <c r="H49" t="s">
        <v>1491</v>
      </c>
      <c r="J49" t="s">
        <v>98</v>
      </c>
      <c r="K49" t="s">
        <v>98</v>
      </c>
      <c r="L49" t="s">
        <v>307</v>
      </c>
      <c r="M49" t="s">
        <v>84</v>
      </c>
      <c r="N49" t="s">
        <v>56</v>
      </c>
      <c r="O49" t="s">
        <v>36</v>
      </c>
      <c r="Q49" t="s">
        <v>84</v>
      </c>
      <c r="V49" t="s">
        <v>49</v>
      </c>
      <c r="X49" t="s">
        <v>84</v>
      </c>
      <c r="Z49" t="s">
        <v>84</v>
      </c>
      <c r="AA49" t="s">
        <v>84</v>
      </c>
      <c r="AB49" t="s">
        <v>36</v>
      </c>
      <c r="AC49" t="s">
        <v>1340</v>
      </c>
      <c r="AD49" t="s">
        <v>36</v>
      </c>
      <c r="AE49" t="s">
        <v>1340</v>
      </c>
      <c r="AF49" t="s">
        <v>86</v>
      </c>
      <c r="AG49" t="s">
        <v>269</v>
      </c>
      <c r="AH49" t="s">
        <v>183</v>
      </c>
      <c r="AI49" s="4">
        <f ca="1">data[[#This Row],[Expiry Date]]-TODAY()</f>
        <v>42</v>
      </c>
      <c r="AJ49" s="4">
        <f ca="1">data[[#This Row],[Maturity ( Days)]]/365</f>
        <v>0.11506849315068493</v>
      </c>
      <c r="AK49" s="4" t="str">
        <f>IF(data[[#This Row],[Option Type]]="put","p","c")</f>
        <v>c</v>
      </c>
      <c r="AL49" s="4">
        <f>(data[[#This Row],[Bid]]*data[[#This Row],[Bidsize]]+data[[#This Row],[Ask]]*data[[#This Row],[Asksize]])/(data[[#This Row],[Bidsize]]+data[[#This Row],[Asksize]])</f>
        <v>276.70000000000005</v>
      </c>
      <c r="AM49" s="4">
        <f>VALUE(data[[#This Row],[Strike]])</f>
        <v>3775</v>
      </c>
      <c r="AN49" s="5">
        <f ca="1">impliedVol(data[[#This Row],[OptType]],Details!$B$4,VALUE(data[[#This Row],[Strike]]),VALUE(data[[#This Row],[Cnt Price]]),Details!$B$6,data[[#This Row],[T]],Details!$B$7)</f>
        <v>0.35224283818624574</v>
      </c>
      <c r="AO49" s="7">
        <f t="array" aca="1" ref="AO49:AS49" ca="1">bsGreeks(data[[#This Row],[OptType]],Details!$B$4,VALUE(data[[#This Row],[Strike]]),Details!$B$6,data[[#This Row],[T]],AN49,Details!$B$7)</f>
        <v>0.65774231706624253</v>
      </c>
      <c r="AP49" s="7">
        <f ca="1"/>
        <v>7.8134046545100169E-4</v>
      </c>
      <c r="AQ49" s="6">
        <f ca="1"/>
        <v>4.8971277390911974</v>
      </c>
      <c r="AR49" s="6">
        <f ca="1"/>
        <v>-211.68590217300618</v>
      </c>
      <c r="AS49" s="6">
        <f ca="1"/>
        <v>265.61121164484433</v>
      </c>
      <c r="AU49" s="60">
        <f ca="1"/>
        <v>274.03437385578582</v>
      </c>
      <c r="AV49" s="61" t="str">
        <f ca="1"/>
        <v>c</v>
      </c>
      <c r="AW49" s="61">
        <f ca="1"/>
        <v>0.35224283818624574</v>
      </c>
      <c r="AX49" s="62">
        <f ca="1"/>
        <v>0.65774231706624253</v>
      </c>
      <c r="AY49" s="62">
        <f ca="1"/>
        <v>7.8134046545100169E-4</v>
      </c>
      <c r="AZ49" s="62">
        <f ca="1"/>
        <v>4.8971277390911974</v>
      </c>
      <c r="BA49" s="60">
        <f ca="1"/>
        <v>-211.68590217300618</v>
      </c>
      <c r="BB49" s="60">
        <f ca="1"/>
        <v>265.61121164484433</v>
      </c>
    </row>
    <row r="50" spans="1:54" x14ac:dyDescent="0.3">
      <c r="A50" t="s">
        <v>810</v>
      </c>
      <c r="B50" t="s">
        <v>811</v>
      </c>
      <c r="C50" t="s">
        <v>57</v>
      </c>
      <c r="D50" t="s">
        <v>84</v>
      </c>
      <c r="E50" t="s">
        <v>84</v>
      </c>
      <c r="F50" t="s">
        <v>812</v>
      </c>
      <c r="G50" t="s">
        <v>903</v>
      </c>
      <c r="H50" t="s">
        <v>1420</v>
      </c>
      <c r="J50" t="s">
        <v>98</v>
      </c>
      <c r="K50" t="s">
        <v>98</v>
      </c>
      <c r="L50" t="s">
        <v>307</v>
      </c>
      <c r="M50" t="s">
        <v>84</v>
      </c>
      <c r="N50" t="s">
        <v>56</v>
      </c>
      <c r="O50" t="s">
        <v>36</v>
      </c>
      <c r="Q50" t="s">
        <v>84</v>
      </c>
      <c r="V50" t="s">
        <v>49</v>
      </c>
      <c r="X50" t="s">
        <v>84</v>
      </c>
      <c r="Z50" t="s">
        <v>84</v>
      </c>
      <c r="AA50" t="s">
        <v>84</v>
      </c>
      <c r="AB50" t="s">
        <v>36</v>
      </c>
      <c r="AC50" t="s">
        <v>1340</v>
      </c>
      <c r="AD50" t="s">
        <v>36</v>
      </c>
      <c r="AE50" t="s">
        <v>1340</v>
      </c>
      <c r="AF50" t="s">
        <v>86</v>
      </c>
      <c r="AG50" t="s">
        <v>269</v>
      </c>
      <c r="AH50" t="s">
        <v>183</v>
      </c>
      <c r="AI50" s="4">
        <f ca="1">data[[#This Row],[Expiry Date]]-TODAY()</f>
        <v>42</v>
      </c>
      <c r="AJ50" s="4">
        <f ca="1">data[[#This Row],[Maturity ( Days)]]/365</f>
        <v>0.11506849315068493</v>
      </c>
      <c r="AK50" s="4" t="str">
        <f>IF(data[[#This Row],[Option Type]]="put","p","c")</f>
        <v>c</v>
      </c>
      <c r="AL50" s="4">
        <f>(data[[#This Row],[Bid]]*data[[#This Row],[Bidsize]]+data[[#This Row],[Ask]]*data[[#This Row],[Asksize]])/(data[[#This Row],[Bidsize]]+data[[#This Row],[Asksize]])</f>
        <v>273.3</v>
      </c>
      <c r="AM50" s="4">
        <f>VALUE(data[[#This Row],[Strike]])</f>
        <v>3780</v>
      </c>
      <c r="AN50" s="5">
        <f ca="1">impliedVol(data[[#This Row],[OptType]],Details!$B$4,VALUE(data[[#This Row],[Strike]]),VALUE(data[[#This Row],[Cnt Price]]),Details!$B$6,data[[#This Row],[T]],Details!$B$7)</f>
        <v>0.35155937316340041</v>
      </c>
      <c r="AO50" s="7">
        <f t="array" aca="1" ref="AO50:AS50" ca="1">bsGreeks(data[[#This Row],[OptType]],Details!$B$4,VALUE(data[[#This Row],[Strike]]),Details!$B$6,data[[#This Row],[T]],AN50,Details!$B$7)</f>
        <v>0.65386190492737661</v>
      </c>
      <c r="AP50" s="7">
        <f ca="1"/>
        <v>7.8617598147260595E-4</v>
      </c>
      <c r="AQ50" s="6">
        <f ca="1"/>
        <v>4.9178739913218648</v>
      </c>
      <c r="AR50" s="6">
        <f ca="1"/>
        <v>-212.12322254565331</v>
      </c>
      <c r="AS50" s="6">
        <f ca="1"/>
        <v>264.24761772794716</v>
      </c>
      <c r="AU50" s="60">
        <f ca="1"/>
        <v>270.64796797285817</v>
      </c>
      <c r="AV50" s="61" t="str">
        <f ca="1"/>
        <v>c</v>
      </c>
      <c r="AW50" s="61">
        <f ca="1"/>
        <v>0.35155937316340041</v>
      </c>
      <c r="AX50" s="62">
        <f ca="1"/>
        <v>0.65386190492737661</v>
      </c>
      <c r="AY50" s="62">
        <f ca="1"/>
        <v>7.8617598147260595E-4</v>
      </c>
      <c r="AZ50" s="62">
        <f ca="1"/>
        <v>4.9178739913218648</v>
      </c>
      <c r="BA50" s="60">
        <f ca="1"/>
        <v>-212.12322254565331</v>
      </c>
      <c r="BB50" s="60">
        <f ca="1"/>
        <v>264.24761772794716</v>
      </c>
    </row>
    <row r="51" spans="1:54" x14ac:dyDescent="0.3">
      <c r="A51" t="s">
        <v>813</v>
      </c>
      <c r="B51" t="s">
        <v>814</v>
      </c>
      <c r="C51" t="s">
        <v>57</v>
      </c>
      <c r="D51" t="s">
        <v>84</v>
      </c>
      <c r="E51" t="s">
        <v>84</v>
      </c>
      <c r="F51" t="s">
        <v>815</v>
      </c>
      <c r="G51" t="s">
        <v>997</v>
      </c>
      <c r="H51" t="s">
        <v>1333</v>
      </c>
      <c r="J51" t="s">
        <v>98</v>
      </c>
      <c r="K51" t="s">
        <v>98</v>
      </c>
      <c r="L51" t="s">
        <v>307</v>
      </c>
      <c r="M51" t="s">
        <v>84</v>
      </c>
      <c r="N51" t="s">
        <v>56</v>
      </c>
      <c r="O51" t="s">
        <v>36</v>
      </c>
      <c r="Q51" t="s">
        <v>84</v>
      </c>
      <c r="V51" t="s">
        <v>49</v>
      </c>
      <c r="X51" t="s">
        <v>84</v>
      </c>
      <c r="Z51" t="s">
        <v>84</v>
      </c>
      <c r="AA51" t="s">
        <v>84</v>
      </c>
      <c r="AB51" t="s">
        <v>36</v>
      </c>
      <c r="AC51" t="s">
        <v>1340</v>
      </c>
      <c r="AD51" t="s">
        <v>36</v>
      </c>
      <c r="AE51" t="s">
        <v>1340</v>
      </c>
      <c r="AF51" t="s">
        <v>86</v>
      </c>
      <c r="AG51" t="s">
        <v>269</v>
      </c>
      <c r="AH51" t="s">
        <v>183</v>
      </c>
      <c r="AI51" s="4">
        <f ca="1">data[[#This Row],[Expiry Date]]-TODAY()</f>
        <v>42</v>
      </c>
      <c r="AJ51" s="4">
        <f ca="1">data[[#This Row],[Maturity ( Days)]]/365</f>
        <v>0.11506849315068493</v>
      </c>
      <c r="AK51" s="4" t="str">
        <f>IF(data[[#This Row],[Option Type]]="put","p","c")</f>
        <v>c</v>
      </c>
      <c r="AL51" s="4">
        <f>(data[[#This Row],[Bid]]*data[[#This Row],[Bidsize]]+data[[#This Row],[Ask]]*data[[#This Row],[Asksize]])/(data[[#This Row],[Bidsize]]+data[[#This Row],[Asksize]])</f>
        <v>265.75</v>
      </c>
      <c r="AM51" s="4">
        <f>VALUE(data[[#This Row],[Strike]])</f>
        <v>3790</v>
      </c>
      <c r="AN51" s="5">
        <f ca="1">impliedVol(data[[#This Row],[OptType]],Details!$B$4,VALUE(data[[#This Row],[Strike]]),VALUE(data[[#This Row],[Cnt Price]]),Details!$B$6,data[[#This Row],[T]],Details!$B$7)</f>
        <v>0.34856269410272089</v>
      </c>
      <c r="AO51" s="7">
        <f t="array" aca="1" ref="AO51:AS51" ca="1">bsGreeks(data[[#This Row],[OptType]],Details!$B$4,VALUE(data[[#This Row],[Strike]]),Details!$B$6,data[[#This Row],[T]],AN51,Details!$B$7)</f>
        <v>0.64646901862805362</v>
      </c>
      <c r="AP51" s="7">
        <f ca="1"/>
        <v>7.9906529412318865E-4</v>
      </c>
      <c r="AQ51" s="6">
        <f ca="1"/>
        <v>4.9558952211499738</v>
      </c>
      <c r="AR51" s="6">
        <f ca="1"/>
        <v>-211.88751115895383</v>
      </c>
      <c r="AS51" s="6">
        <f ca="1"/>
        <v>261.77312703890448</v>
      </c>
      <c r="AU51" s="60">
        <f ca="1"/>
        <v>263.12259495144463</v>
      </c>
      <c r="AV51" s="61" t="str">
        <f ca="1"/>
        <v>c</v>
      </c>
      <c r="AW51" s="61">
        <f ca="1"/>
        <v>0.34856269410272089</v>
      </c>
      <c r="AX51" s="62">
        <f ca="1"/>
        <v>0.64646901862805362</v>
      </c>
      <c r="AY51" s="62">
        <f ca="1"/>
        <v>7.9906529412318865E-4</v>
      </c>
      <c r="AZ51" s="62">
        <f ca="1"/>
        <v>4.9558952211499738</v>
      </c>
      <c r="BA51" s="60">
        <f ca="1"/>
        <v>-211.88751115895383</v>
      </c>
      <c r="BB51" s="60">
        <f ca="1"/>
        <v>261.77312703890448</v>
      </c>
    </row>
    <row r="52" spans="1:54" x14ac:dyDescent="0.3">
      <c r="A52" t="s">
        <v>386</v>
      </c>
      <c r="B52" t="s">
        <v>387</v>
      </c>
      <c r="C52" t="s">
        <v>57</v>
      </c>
      <c r="D52" t="s">
        <v>84</v>
      </c>
      <c r="E52" t="s">
        <v>84</v>
      </c>
      <c r="F52" t="s">
        <v>108</v>
      </c>
      <c r="G52" t="s">
        <v>1348</v>
      </c>
      <c r="H52" t="s">
        <v>1492</v>
      </c>
      <c r="J52" t="s">
        <v>98</v>
      </c>
      <c r="K52" t="s">
        <v>98</v>
      </c>
      <c r="L52" t="s">
        <v>307</v>
      </c>
      <c r="M52" t="s">
        <v>84</v>
      </c>
      <c r="N52" t="s">
        <v>56</v>
      </c>
      <c r="O52" t="s">
        <v>36</v>
      </c>
      <c r="Q52" t="s">
        <v>84</v>
      </c>
      <c r="V52" t="s">
        <v>49</v>
      </c>
      <c r="X52" t="s">
        <v>84</v>
      </c>
      <c r="Z52" t="s">
        <v>84</v>
      </c>
      <c r="AA52" t="s">
        <v>84</v>
      </c>
      <c r="AB52" t="s">
        <v>36</v>
      </c>
      <c r="AC52" t="s">
        <v>1340</v>
      </c>
      <c r="AD52" t="s">
        <v>36</v>
      </c>
      <c r="AE52" t="s">
        <v>1340</v>
      </c>
      <c r="AF52" t="s">
        <v>86</v>
      </c>
      <c r="AG52" t="s">
        <v>269</v>
      </c>
      <c r="AH52" t="s">
        <v>183</v>
      </c>
      <c r="AI52" s="4">
        <f ca="1">data[[#This Row],[Expiry Date]]-TODAY()</f>
        <v>42</v>
      </c>
      <c r="AJ52" s="4">
        <f ca="1">data[[#This Row],[Maturity ( Days)]]/365</f>
        <v>0.11506849315068493</v>
      </c>
      <c r="AK52" s="4" t="str">
        <f>IF(data[[#This Row],[Option Type]]="put","p","c")</f>
        <v>c</v>
      </c>
      <c r="AL52" s="4">
        <f>(data[[#This Row],[Bid]]*data[[#This Row],[Bidsize]]+data[[#This Row],[Ask]]*data[[#This Row],[Asksize]])/(data[[#This Row],[Bidsize]]+data[[#This Row],[Asksize]])</f>
        <v>258.59999999999997</v>
      </c>
      <c r="AM52" s="4">
        <f>VALUE(data[[#This Row],[Strike]])</f>
        <v>3800</v>
      </c>
      <c r="AN52" s="5">
        <f ca="1">impliedVol(data[[#This Row],[OptType]],Details!$B$4,VALUE(data[[#This Row],[Strike]]),VALUE(data[[#This Row],[Cnt Price]]),Details!$B$6,data[[#This Row],[T]],Details!$B$7)</f>
        <v>0.34624622750310174</v>
      </c>
      <c r="AO52" s="7">
        <f t="array" aca="1" ref="AO52:AS52" ca="1">bsGreeks(data[[#This Row],[OptType]],Details!$B$4,VALUE(data[[#This Row],[Strike]]),Details!$B$6,data[[#This Row],[T]],AN52,Details!$B$7)</f>
        <v>0.63874106105577921</v>
      </c>
      <c r="AP52" s="7">
        <f ca="1"/>
        <v>8.1052223610878621E-4</v>
      </c>
      <c r="AQ52" s="6">
        <f ca="1"/>
        <v>4.9935445410796016</v>
      </c>
      <c r="AR52" s="6">
        <f ca="1"/>
        <v>-212.00902833166103</v>
      </c>
      <c r="AS52" s="6">
        <f ca="1"/>
        <v>259.10107853480912</v>
      </c>
      <c r="AU52" s="60">
        <f ca="1"/>
        <v>255.99921322480714</v>
      </c>
      <c r="AV52" s="61" t="str">
        <f ca="1"/>
        <v>c</v>
      </c>
      <c r="AW52" s="61">
        <f ca="1"/>
        <v>0.34624622750310174</v>
      </c>
      <c r="AX52" s="62">
        <f ca="1"/>
        <v>0.63874106105577921</v>
      </c>
      <c r="AY52" s="62">
        <f ca="1"/>
        <v>8.1052223610878621E-4</v>
      </c>
      <c r="AZ52" s="62">
        <f ca="1"/>
        <v>4.9935445410796016</v>
      </c>
      <c r="BA52" s="60">
        <f ca="1"/>
        <v>-212.00902833166103</v>
      </c>
      <c r="BB52" s="60">
        <f ca="1"/>
        <v>259.10107853480912</v>
      </c>
    </row>
    <row r="53" spans="1:54" x14ac:dyDescent="0.3">
      <c r="A53" t="s">
        <v>394</v>
      </c>
      <c r="B53" t="s">
        <v>395</v>
      </c>
      <c r="C53" t="s">
        <v>57</v>
      </c>
      <c r="D53" t="s">
        <v>84</v>
      </c>
      <c r="E53" t="s">
        <v>84</v>
      </c>
      <c r="F53" t="s">
        <v>164</v>
      </c>
      <c r="G53" t="s">
        <v>914</v>
      </c>
      <c r="H53" t="s">
        <v>901</v>
      </c>
      <c r="J53" t="s">
        <v>117</v>
      </c>
      <c r="K53" t="s">
        <v>117</v>
      </c>
      <c r="L53" t="s">
        <v>307</v>
      </c>
      <c r="M53" t="s">
        <v>84</v>
      </c>
      <c r="N53" t="s">
        <v>56</v>
      </c>
      <c r="O53" t="s">
        <v>36</v>
      </c>
      <c r="Q53" t="s">
        <v>84</v>
      </c>
      <c r="V53" t="s">
        <v>49</v>
      </c>
      <c r="X53" t="s">
        <v>84</v>
      </c>
      <c r="Z53" t="s">
        <v>84</v>
      </c>
      <c r="AA53" t="s">
        <v>84</v>
      </c>
      <c r="AB53" t="s">
        <v>36</v>
      </c>
      <c r="AC53" t="s">
        <v>1340</v>
      </c>
      <c r="AD53" t="s">
        <v>36</v>
      </c>
      <c r="AE53" t="s">
        <v>1340</v>
      </c>
      <c r="AF53" t="s">
        <v>86</v>
      </c>
      <c r="AG53" t="s">
        <v>269</v>
      </c>
      <c r="AH53" t="s">
        <v>183</v>
      </c>
      <c r="AI53" s="4">
        <f ca="1">data[[#This Row],[Expiry Date]]-TODAY()</f>
        <v>42</v>
      </c>
      <c r="AJ53" s="4">
        <f ca="1">data[[#This Row],[Maturity ( Days)]]/365</f>
        <v>0.11506849315068493</v>
      </c>
      <c r="AK53" s="4" t="str">
        <f>IF(data[[#This Row],[Option Type]]="put","p","c")</f>
        <v>c</v>
      </c>
      <c r="AL53" s="4">
        <f>(data[[#This Row],[Bid]]*data[[#This Row],[Bidsize]]+data[[#This Row],[Ask]]*data[[#This Row],[Asksize]])/(data[[#This Row],[Bidsize]]+data[[#This Row],[Asksize]])</f>
        <v>241.09999999999997</v>
      </c>
      <c r="AM53" s="4">
        <f>VALUE(data[[#This Row],[Strike]])</f>
        <v>3825</v>
      </c>
      <c r="AN53" s="5">
        <f ca="1">impliedVol(data[[#This Row],[OptType]],Details!$B$4,VALUE(data[[#This Row],[Strike]]),VALUE(data[[#This Row],[Cnt Price]]),Details!$B$6,data[[#This Row],[T]],Details!$B$7)</f>
        <v>0.34059837871167475</v>
      </c>
      <c r="AO53" s="7">
        <f t="array" aca="1" ref="AO53:AS53" ca="1">bsGreeks(data[[#This Row],[OptType]],Details!$B$4,VALUE(data[[#This Row],[Strike]]),Details!$B$6,data[[#This Row],[T]],AN53,Details!$B$7)</f>
        <v>0.6187869201421744</v>
      </c>
      <c r="AP53" s="7">
        <f ca="1"/>
        <v>8.3838705683027693E-4</v>
      </c>
      <c r="AQ53" s="6">
        <f ca="1"/>
        <v>5.0809636176079085</v>
      </c>
      <c r="AR53" s="6">
        <f ca="1"/>
        <v>-212.02907327866586</v>
      </c>
      <c r="AS53" s="6">
        <f ca="1"/>
        <v>252.09098120141448</v>
      </c>
      <c r="AU53" s="60">
        <f ca="1"/>
        <v>238.56906839272915</v>
      </c>
      <c r="AV53" s="61" t="str">
        <f ca="1"/>
        <v>c</v>
      </c>
      <c r="AW53" s="61">
        <f ca="1"/>
        <v>0.34059837871167475</v>
      </c>
      <c r="AX53" s="62">
        <f ca="1"/>
        <v>0.6187869201421744</v>
      </c>
      <c r="AY53" s="62">
        <f ca="1"/>
        <v>8.3838705683027693E-4</v>
      </c>
      <c r="AZ53" s="62">
        <f ca="1"/>
        <v>5.0809636176079085</v>
      </c>
      <c r="BA53" s="60">
        <f ca="1"/>
        <v>-212.02907327866586</v>
      </c>
      <c r="BB53" s="60">
        <f ca="1"/>
        <v>252.09098120141448</v>
      </c>
    </row>
    <row r="54" spans="1:54" x14ac:dyDescent="0.3">
      <c r="A54" t="s">
        <v>396</v>
      </c>
      <c r="B54" t="s">
        <v>397</v>
      </c>
      <c r="C54" t="s">
        <v>57</v>
      </c>
      <c r="D54" t="s">
        <v>84</v>
      </c>
      <c r="E54" t="s">
        <v>84</v>
      </c>
      <c r="F54" t="s">
        <v>253</v>
      </c>
      <c r="G54" t="s">
        <v>1092</v>
      </c>
      <c r="H54" t="s">
        <v>1407</v>
      </c>
      <c r="J54" t="s">
        <v>117</v>
      </c>
      <c r="K54" t="s">
        <v>117</v>
      </c>
      <c r="L54" t="s">
        <v>307</v>
      </c>
      <c r="M54" t="s">
        <v>84</v>
      </c>
      <c r="N54" t="s">
        <v>56</v>
      </c>
      <c r="O54" t="s">
        <v>36</v>
      </c>
      <c r="Q54" t="s">
        <v>84</v>
      </c>
      <c r="V54" t="s">
        <v>49</v>
      </c>
      <c r="X54" t="s">
        <v>84</v>
      </c>
      <c r="Z54" t="s">
        <v>84</v>
      </c>
      <c r="AA54" t="s">
        <v>84</v>
      </c>
      <c r="AB54" t="s">
        <v>36</v>
      </c>
      <c r="AC54" t="s">
        <v>1340</v>
      </c>
      <c r="AD54" t="s">
        <v>36</v>
      </c>
      <c r="AE54" t="s">
        <v>1340</v>
      </c>
      <c r="AF54" t="s">
        <v>86</v>
      </c>
      <c r="AG54" t="s">
        <v>269</v>
      </c>
      <c r="AH54" t="s">
        <v>183</v>
      </c>
      <c r="AI54" s="4">
        <f ca="1">data[[#This Row],[Expiry Date]]-TODAY()</f>
        <v>42</v>
      </c>
      <c r="AJ54" s="4">
        <f ca="1">data[[#This Row],[Maturity ( Days)]]/365</f>
        <v>0.11506849315068493</v>
      </c>
      <c r="AK54" s="4" t="str">
        <f>IF(data[[#This Row],[Option Type]]="put","p","c")</f>
        <v>c</v>
      </c>
      <c r="AL54" s="4">
        <f>(data[[#This Row],[Bid]]*data[[#This Row],[Bidsize]]+data[[#This Row],[Ask]]*data[[#This Row],[Asksize]])/(data[[#This Row],[Bidsize]]+data[[#This Row],[Asksize]])</f>
        <v>237.65000000000003</v>
      </c>
      <c r="AM54" s="4">
        <f>VALUE(data[[#This Row],[Strike]])</f>
        <v>3830</v>
      </c>
      <c r="AN54" s="5">
        <f ca="1">impliedVol(data[[#This Row],[OptType]],Details!$B$4,VALUE(data[[#This Row],[Strike]]),VALUE(data[[#This Row],[Cnt Price]]),Details!$B$6,data[[#This Row],[T]],Details!$B$7)</f>
        <v>0.33946153371321269</v>
      </c>
      <c r="AO54" s="7">
        <f t="array" aca="1" ref="AO54:AS54" ca="1">bsGreeks(data[[#This Row],[OptType]],Details!$B$4,VALUE(data[[#This Row],[Strike]]),Details!$B$6,data[[#This Row],[T]],AN54,Details!$B$7)</f>
        <v>0.61469532362572754</v>
      </c>
      <c r="AP54" s="7">
        <f ca="1"/>
        <v>8.4387631991215235E-4</v>
      </c>
      <c r="AQ54" s="6">
        <f ca="1"/>
        <v>5.0971605499244275</v>
      </c>
      <c r="AR54" s="6">
        <f ca="1"/>
        <v>-211.96133090859345</v>
      </c>
      <c r="AS54" s="6">
        <f ca="1"/>
        <v>250.63763791328722</v>
      </c>
      <c r="AU54" s="60">
        <f ca="1"/>
        <v>235.13355379522045</v>
      </c>
      <c r="AV54" s="61" t="str">
        <f ca="1"/>
        <v>c</v>
      </c>
      <c r="AW54" s="61">
        <f ca="1"/>
        <v>0.33946153371321269</v>
      </c>
      <c r="AX54" s="62">
        <f ca="1"/>
        <v>0.61469532362572754</v>
      </c>
      <c r="AY54" s="62">
        <f ca="1"/>
        <v>8.4387631991215235E-4</v>
      </c>
      <c r="AZ54" s="62">
        <f ca="1"/>
        <v>5.0971605499244275</v>
      </c>
      <c r="BA54" s="60">
        <f ca="1"/>
        <v>-211.96133090859345</v>
      </c>
      <c r="BB54" s="60">
        <f ca="1"/>
        <v>250.63763791328722</v>
      </c>
    </row>
    <row r="55" spans="1:54" x14ac:dyDescent="0.3">
      <c r="A55" t="s">
        <v>402</v>
      </c>
      <c r="B55" t="s">
        <v>403</v>
      </c>
      <c r="C55" t="s">
        <v>57</v>
      </c>
      <c r="D55" t="s">
        <v>84</v>
      </c>
      <c r="E55" t="s">
        <v>84</v>
      </c>
      <c r="F55" t="s">
        <v>133</v>
      </c>
      <c r="G55" t="s">
        <v>1493</v>
      </c>
      <c r="H55" t="s">
        <v>291</v>
      </c>
      <c r="J55" t="s">
        <v>117</v>
      </c>
      <c r="K55" t="s">
        <v>117</v>
      </c>
      <c r="L55" t="s">
        <v>307</v>
      </c>
      <c r="M55" t="s">
        <v>84</v>
      </c>
      <c r="N55" t="s">
        <v>56</v>
      </c>
      <c r="O55" t="s">
        <v>36</v>
      </c>
      <c r="Q55" t="s">
        <v>84</v>
      </c>
      <c r="V55" t="s">
        <v>49</v>
      </c>
      <c r="X55" t="s">
        <v>84</v>
      </c>
      <c r="Z55" t="s">
        <v>84</v>
      </c>
      <c r="AA55" t="s">
        <v>84</v>
      </c>
      <c r="AB55" t="s">
        <v>36</v>
      </c>
      <c r="AC55" t="s">
        <v>1340</v>
      </c>
      <c r="AD55" t="s">
        <v>36</v>
      </c>
      <c r="AE55" t="s">
        <v>1340</v>
      </c>
      <c r="AF55" t="s">
        <v>86</v>
      </c>
      <c r="AG55" t="s">
        <v>269</v>
      </c>
      <c r="AH55" t="s">
        <v>183</v>
      </c>
      <c r="AI55" s="4">
        <f ca="1">data[[#This Row],[Expiry Date]]-TODAY()</f>
        <v>42</v>
      </c>
      <c r="AJ55" s="4">
        <f ca="1">data[[#This Row],[Maturity ( Days)]]/365</f>
        <v>0.11506849315068493</v>
      </c>
      <c r="AK55" s="4" t="str">
        <f>IF(data[[#This Row],[Option Type]]="put","p","c")</f>
        <v>c</v>
      </c>
      <c r="AL55" s="4">
        <f>(data[[#This Row],[Bid]]*data[[#This Row],[Bidsize]]+data[[#This Row],[Ask]]*data[[#This Row],[Asksize]])/(data[[#This Row],[Bidsize]]+data[[#This Row],[Asksize]])</f>
        <v>224.04999999999998</v>
      </c>
      <c r="AM55" s="4">
        <f>VALUE(data[[#This Row],[Strike]])</f>
        <v>3850</v>
      </c>
      <c r="AN55" s="5">
        <f ca="1">impliedVol(data[[#This Row],[OptType]],Details!$B$4,VALUE(data[[#This Row],[Strike]]),VALUE(data[[#This Row],[Cnt Price]]),Details!$B$6,data[[#This Row],[T]],Details!$B$7)</f>
        <v>0.33494270382794944</v>
      </c>
      <c r="AO55" s="7">
        <f t="array" aca="1" ref="AO55:AS55" ca="1">bsGreeks(data[[#This Row],[OptType]],Details!$B$4,VALUE(data[[#This Row],[Strike]]),Details!$B$6,data[[#This Row],[T]],AN55,Details!$B$7)</f>
        <v>0.59798224685399348</v>
      </c>
      <c r="AP55" s="7">
        <f ca="1"/>
        <v>8.653484278487285E-4</v>
      </c>
      <c r="AQ55" s="6">
        <f ca="1"/>
        <v>5.1572771954045198</v>
      </c>
      <c r="AR55" s="6">
        <f ca="1"/>
        <v>-211.4735233082269</v>
      </c>
      <c r="AS55" s="6">
        <f ca="1"/>
        <v>244.64446712251407</v>
      </c>
      <c r="AU55" s="60">
        <f ca="1"/>
        <v>221.59329930122885</v>
      </c>
      <c r="AV55" s="61" t="str">
        <f ca="1"/>
        <v>c</v>
      </c>
      <c r="AW55" s="61">
        <f ca="1"/>
        <v>0.33494270382794944</v>
      </c>
      <c r="AX55" s="62">
        <f ca="1"/>
        <v>0.59798224685399348</v>
      </c>
      <c r="AY55" s="62">
        <f ca="1"/>
        <v>8.653484278487285E-4</v>
      </c>
      <c r="AZ55" s="62">
        <f ca="1"/>
        <v>5.1572771954045198</v>
      </c>
      <c r="BA55" s="60">
        <f ca="1"/>
        <v>-211.4735233082269</v>
      </c>
      <c r="BB55" s="60">
        <f ca="1"/>
        <v>244.64446712251407</v>
      </c>
    </row>
    <row r="56" spans="1:54" x14ac:dyDescent="0.3">
      <c r="A56" t="s">
        <v>404</v>
      </c>
      <c r="B56" t="s">
        <v>405</v>
      </c>
      <c r="C56" t="s">
        <v>57</v>
      </c>
      <c r="D56" t="s">
        <v>84</v>
      </c>
      <c r="E56" t="s">
        <v>84</v>
      </c>
      <c r="F56" t="s">
        <v>264</v>
      </c>
      <c r="G56" t="s">
        <v>1304</v>
      </c>
      <c r="H56" t="s">
        <v>1132</v>
      </c>
      <c r="J56" t="s">
        <v>117</v>
      </c>
      <c r="K56" t="s">
        <v>117</v>
      </c>
      <c r="L56" t="s">
        <v>307</v>
      </c>
      <c r="M56" t="s">
        <v>84</v>
      </c>
      <c r="N56" t="s">
        <v>56</v>
      </c>
      <c r="O56" t="s">
        <v>36</v>
      </c>
      <c r="Q56" t="s">
        <v>84</v>
      </c>
      <c r="V56" t="s">
        <v>49</v>
      </c>
      <c r="X56" t="s">
        <v>84</v>
      </c>
      <c r="Z56" t="s">
        <v>84</v>
      </c>
      <c r="AA56" t="s">
        <v>84</v>
      </c>
      <c r="AB56" t="s">
        <v>36</v>
      </c>
      <c r="AC56" t="s">
        <v>1340</v>
      </c>
      <c r="AD56" t="s">
        <v>36</v>
      </c>
      <c r="AE56" t="s">
        <v>1340</v>
      </c>
      <c r="AF56" t="s">
        <v>86</v>
      </c>
      <c r="AG56" t="s">
        <v>269</v>
      </c>
      <c r="AH56" t="s">
        <v>183</v>
      </c>
      <c r="AI56" s="4">
        <f ca="1">data[[#This Row],[Expiry Date]]-TODAY()</f>
        <v>42</v>
      </c>
      <c r="AJ56" s="4">
        <f ca="1">data[[#This Row],[Maturity ( Days)]]/365</f>
        <v>0.11506849315068493</v>
      </c>
      <c r="AK56" s="4" t="str">
        <f>IF(data[[#This Row],[Option Type]]="put","p","c")</f>
        <v>c</v>
      </c>
      <c r="AL56" s="4">
        <f>(data[[#This Row],[Bid]]*data[[#This Row],[Bidsize]]+data[[#This Row],[Ask]]*data[[#This Row],[Asksize]])/(data[[#This Row],[Bidsize]]+data[[#This Row],[Asksize]])</f>
        <v>217.45000000000002</v>
      </c>
      <c r="AM56" s="4">
        <f>VALUE(data[[#This Row],[Strike]])</f>
        <v>3860</v>
      </c>
      <c r="AN56" s="5">
        <f ca="1">impliedVol(data[[#This Row],[OptType]],Details!$B$4,VALUE(data[[#This Row],[Strike]]),VALUE(data[[#This Row],[Cnt Price]]),Details!$B$6,data[[#This Row],[T]],Details!$B$7)</f>
        <v>0.33284933085607493</v>
      </c>
      <c r="AO56" s="7">
        <f t="array" aca="1" ref="AO56:AS56" ca="1">bsGreeks(data[[#This Row],[OptType]],Details!$B$4,VALUE(data[[#This Row],[Strike]]),Details!$B$6,data[[#This Row],[T]],AN56,Details!$B$7)</f>
        <v>0.58939980201807907</v>
      </c>
      <c r="AP56" s="7">
        <f ca="1"/>
        <v>8.7537047803423827E-4</v>
      </c>
      <c r="AQ56" s="6">
        <f ca="1"/>
        <v>5.1844003101541931</v>
      </c>
      <c r="AR56" s="6">
        <f ca="1"/>
        <v>-211.18861078586795</v>
      </c>
      <c r="AS56" s="6">
        <f ca="1"/>
        <v>241.5227058853861</v>
      </c>
      <c r="AU56" s="60">
        <f ca="1"/>
        <v>215.02443178419117</v>
      </c>
      <c r="AV56" s="61" t="str">
        <f ca="1"/>
        <v>c</v>
      </c>
      <c r="AW56" s="61">
        <f ca="1"/>
        <v>0.33284933085607493</v>
      </c>
      <c r="AX56" s="62">
        <f ca="1"/>
        <v>0.58939980201807907</v>
      </c>
      <c r="AY56" s="62">
        <f ca="1"/>
        <v>8.7537047803423827E-4</v>
      </c>
      <c r="AZ56" s="62">
        <f ca="1"/>
        <v>5.1844003101541931</v>
      </c>
      <c r="BA56" s="60">
        <f ca="1"/>
        <v>-211.18861078586795</v>
      </c>
      <c r="BB56" s="60">
        <f ca="1"/>
        <v>241.5227058853861</v>
      </c>
    </row>
    <row r="57" spans="1:54" x14ac:dyDescent="0.3">
      <c r="A57" t="s">
        <v>412</v>
      </c>
      <c r="B57" t="s">
        <v>413</v>
      </c>
      <c r="C57" t="s">
        <v>57</v>
      </c>
      <c r="D57" t="s">
        <v>84</v>
      </c>
      <c r="E57" t="s">
        <v>84</v>
      </c>
      <c r="F57" t="s">
        <v>265</v>
      </c>
      <c r="G57" t="s">
        <v>1494</v>
      </c>
      <c r="H57" t="s">
        <v>1495</v>
      </c>
      <c r="J57" t="s">
        <v>100</v>
      </c>
      <c r="K57" t="s">
        <v>100</v>
      </c>
      <c r="L57" t="s">
        <v>307</v>
      </c>
      <c r="M57" t="s">
        <v>84</v>
      </c>
      <c r="N57" t="s">
        <v>56</v>
      </c>
      <c r="O57" t="s">
        <v>36</v>
      </c>
      <c r="Q57" t="s">
        <v>84</v>
      </c>
      <c r="V57" t="s">
        <v>49</v>
      </c>
      <c r="X57" t="s">
        <v>84</v>
      </c>
      <c r="Z57" t="s">
        <v>84</v>
      </c>
      <c r="AA57" t="s">
        <v>84</v>
      </c>
      <c r="AB57" t="s">
        <v>36</v>
      </c>
      <c r="AC57" t="s">
        <v>1340</v>
      </c>
      <c r="AD57" t="s">
        <v>36</v>
      </c>
      <c r="AE57" t="s">
        <v>1340</v>
      </c>
      <c r="AF57" t="s">
        <v>86</v>
      </c>
      <c r="AG57" t="s">
        <v>269</v>
      </c>
      <c r="AH57" t="s">
        <v>183</v>
      </c>
      <c r="AI57" s="4">
        <f ca="1">data[[#This Row],[Expiry Date]]-TODAY()</f>
        <v>42</v>
      </c>
      <c r="AJ57" s="4">
        <f ca="1">data[[#This Row],[Maturity ( Days)]]/365</f>
        <v>0.11506849315068493</v>
      </c>
      <c r="AK57" s="4" t="str">
        <f>IF(data[[#This Row],[Option Type]]="put","p","c")</f>
        <v>c</v>
      </c>
      <c r="AL57" s="4">
        <f>(data[[#This Row],[Bid]]*data[[#This Row],[Bidsize]]+data[[#This Row],[Ask]]*data[[#This Row],[Asksize]])/(data[[#This Row],[Bidsize]]+data[[#This Row],[Asksize]])</f>
        <v>204.35</v>
      </c>
      <c r="AM57" s="4">
        <f>VALUE(data[[#This Row],[Strike]])</f>
        <v>3880</v>
      </c>
      <c r="AN57" s="5">
        <f ca="1">impliedVol(data[[#This Row],[OptType]],Details!$B$4,VALUE(data[[#This Row],[Strike]]),VALUE(data[[#This Row],[Cnt Price]]),Details!$B$6,data[[#This Row],[T]],Details!$B$7)</f>
        <v>0.32839674509343991</v>
      </c>
      <c r="AO57" s="7">
        <f t="array" aca="1" ref="AO57:AS57" ca="1">bsGreeks(data[[#This Row],[OptType]],Details!$B$4,VALUE(data[[#This Row],[Strike]]),Details!$B$6,data[[#This Row],[T]],AN57,Details!$B$7)</f>
        <v>0.57187623839919099</v>
      </c>
      <c r="AP57" s="7">
        <f ca="1"/>
        <v>8.953769149322667E-4</v>
      </c>
      <c r="AQ57" s="6">
        <f ca="1"/>
        <v>5.2319511546391153</v>
      </c>
      <c r="AR57" s="6">
        <f ca="1"/>
        <v>-210.14654310426201</v>
      </c>
      <c r="AS57" s="6">
        <f ca="1"/>
        <v>235.10547398756648</v>
      </c>
      <c r="AU57" s="60">
        <f ca="1"/>
        <v>201.9884351478413</v>
      </c>
      <c r="AV57" s="61" t="str">
        <f ca="1"/>
        <v>c</v>
      </c>
      <c r="AW57" s="61">
        <f ca="1"/>
        <v>0.32839674509343991</v>
      </c>
      <c r="AX57" s="62">
        <f ca="1"/>
        <v>0.57187623839919099</v>
      </c>
      <c r="AY57" s="62">
        <f ca="1"/>
        <v>8.953769149322667E-4</v>
      </c>
      <c r="AZ57" s="62">
        <f ca="1"/>
        <v>5.2319511546391153</v>
      </c>
      <c r="BA57" s="60">
        <f ca="1"/>
        <v>-210.14654310426201</v>
      </c>
      <c r="BB57" s="60">
        <f ca="1"/>
        <v>235.10547398756648</v>
      </c>
    </row>
    <row r="58" spans="1:54" x14ac:dyDescent="0.3">
      <c r="A58" t="s">
        <v>414</v>
      </c>
      <c r="B58" t="s">
        <v>415</v>
      </c>
      <c r="C58" t="s">
        <v>57</v>
      </c>
      <c r="D58" t="s">
        <v>84</v>
      </c>
      <c r="E58" t="s">
        <v>84</v>
      </c>
      <c r="F58" t="s">
        <v>257</v>
      </c>
      <c r="G58" t="s">
        <v>1417</v>
      </c>
      <c r="H58" t="s">
        <v>1397</v>
      </c>
      <c r="J58" t="s">
        <v>100</v>
      </c>
      <c r="K58" t="s">
        <v>100</v>
      </c>
      <c r="L58" t="s">
        <v>307</v>
      </c>
      <c r="M58" t="s">
        <v>84</v>
      </c>
      <c r="N58" t="s">
        <v>56</v>
      </c>
      <c r="O58" t="s">
        <v>36</v>
      </c>
      <c r="Q58" t="s">
        <v>84</v>
      </c>
      <c r="V58" t="s">
        <v>49</v>
      </c>
      <c r="X58" t="s">
        <v>84</v>
      </c>
      <c r="Z58" t="s">
        <v>84</v>
      </c>
      <c r="AA58" t="s">
        <v>84</v>
      </c>
      <c r="AB58" t="s">
        <v>36</v>
      </c>
      <c r="AC58" t="s">
        <v>1340</v>
      </c>
      <c r="AD58" t="s">
        <v>36</v>
      </c>
      <c r="AE58" t="s">
        <v>1340</v>
      </c>
      <c r="AF58" t="s">
        <v>86</v>
      </c>
      <c r="AG58" t="s">
        <v>269</v>
      </c>
      <c r="AH58" t="s">
        <v>183</v>
      </c>
      <c r="AI58" s="4">
        <f ca="1">data[[#This Row],[Expiry Date]]-TODAY()</f>
        <v>42</v>
      </c>
      <c r="AJ58" s="4">
        <f ca="1">data[[#This Row],[Maturity ( Days)]]/365</f>
        <v>0.11506849315068493</v>
      </c>
      <c r="AK58" s="4" t="str">
        <f>IF(data[[#This Row],[Option Type]]="put","p","c")</f>
        <v>c</v>
      </c>
      <c r="AL58" s="4">
        <f>(data[[#This Row],[Bid]]*data[[#This Row],[Bidsize]]+data[[#This Row],[Ask]]*data[[#This Row],[Asksize]])/(data[[#This Row],[Bidsize]]+data[[#This Row],[Asksize]])</f>
        <v>197.95</v>
      </c>
      <c r="AM58" s="4">
        <f>VALUE(data[[#This Row],[Strike]])</f>
        <v>3890</v>
      </c>
      <c r="AN58" s="5">
        <f ca="1">impliedVol(data[[#This Row],[OptType]],Details!$B$4,VALUE(data[[#This Row],[Strike]]),VALUE(data[[#This Row],[Cnt Price]]),Details!$B$6,data[[#This Row],[T]],Details!$B$7)</f>
        <v>0.32622459811642263</v>
      </c>
      <c r="AO58" s="7">
        <f t="array" aca="1" ref="AO58:AS58" ca="1">bsGreeks(data[[#This Row],[OptType]],Details!$B$4,VALUE(data[[#This Row],[Strike]]),Details!$B$6,data[[#This Row],[T]],AN58,Details!$B$7)</f>
        <v>0.56291328383054295</v>
      </c>
      <c r="AP58" s="7">
        <f ca="1"/>
        <v>9.0483304483052955E-4</v>
      </c>
      <c r="AQ58" s="6">
        <f ca="1"/>
        <v>5.2522344192960189</v>
      </c>
      <c r="AR58" s="6">
        <f ca="1"/>
        <v>-209.50228103620103</v>
      </c>
      <c r="AS58" s="6">
        <f ca="1"/>
        <v>231.78862109469469</v>
      </c>
      <c r="AU58" s="60">
        <f ca="1"/>
        <v>195.62152536901726</v>
      </c>
      <c r="AV58" s="61" t="str">
        <f ca="1"/>
        <v>c</v>
      </c>
      <c r="AW58" s="61">
        <f ca="1"/>
        <v>0.32622459811642263</v>
      </c>
      <c r="AX58" s="62">
        <f ca="1"/>
        <v>0.56291328383054295</v>
      </c>
      <c r="AY58" s="62">
        <f ca="1"/>
        <v>9.0483304483052955E-4</v>
      </c>
      <c r="AZ58" s="62">
        <f ca="1"/>
        <v>5.2522344192960189</v>
      </c>
      <c r="BA58" s="60">
        <f ca="1"/>
        <v>-209.50228103620103</v>
      </c>
      <c r="BB58" s="60">
        <f ca="1"/>
        <v>231.78862109469469</v>
      </c>
    </row>
    <row r="59" spans="1:54" x14ac:dyDescent="0.3">
      <c r="A59" t="s">
        <v>424</v>
      </c>
      <c r="B59" t="s">
        <v>425</v>
      </c>
      <c r="C59" t="s">
        <v>57</v>
      </c>
      <c r="D59" t="s">
        <v>84</v>
      </c>
      <c r="E59" t="s">
        <v>84</v>
      </c>
      <c r="F59" t="s">
        <v>186</v>
      </c>
      <c r="G59" t="s">
        <v>1301</v>
      </c>
      <c r="H59" t="s">
        <v>898</v>
      </c>
      <c r="J59" t="s">
        <v>100</v>
      </c>
      <c r="K59" t="s">
        <v>100</v>
      </c>
      <c r="L59" t="s">
        <v>307</v>
      </c>
      <c r="M59" t="s">
        <v>84</v>
      </c>
      <c r="N59" t="s">
        <v>56</v>
      </c>
      <c r="O59" t="s">
        <v>36</v>
      </c>
      <c r="Q59" t="s">
        <v>84</v>
      </c>
      <c r="V59" t="s">
        <v>49</v>
      </c>
      <c r="X59" t="s">
        <v>84</v>
      </c>
      <c r="Z59" t="s">
        <v>84</v>
      </c>
      <c r="AA59" t="s">
        <v>84</v>
      </c>
      <c r="AB59" t="s">
        <v>36</v>
      </c>
      <c r="AC59" t="s">
        <v>1340</v>
      </c>
      <c r="AD59" t="s">
        <v>36</v>
      </c>
      <c r="AE59" t="s">
        <v>1340</v>
      </c>
      <c r="AF59" t="s">
        <v>86</v>
      </c>
      <c r="AG59" t="s">
        <v>269</v>
      </c>
      <c r="AH59" t="s">
        <v>183</v>
      </c>
      <c r="AI59" s="4">
        <f ca="1">data[[#This Row],[Expiry Date]]-TODAY()</f>
        <v>42</v>
      </c>
      <c r="AJ59" s="4">
        <f ca="1">data[[#This Row],[Maturity ( Days)]]/365</f>
        <v>0.11506849315068493</v>
      </c>
      <c r="AK59" s="4" t="str">
        <f>IF(data[[#This Row],[Option Type]]="put","p","c")</f>
        <v>c</v>
      </c>
      <c r="AL59" s="4">
        <f>(data[[#This Row],[Bid]]*data[[#This Row],[Bidsize]]+data[[#This Row],[Ask]]*data[[#This Row],[Asksize]])/(data[[#This Row],[Bidsize]]+data[[#This Row],[Asksize]])</f>
        <v>179.35</v>
      </c>
      <c r="AM59" s="4">
        <f>VALUE(data[[#This Row],[Strike]])</f>
        <v>3920</v>
      </c>
      <c r="AN59" s="5">
        <f ca="1">impliedVol(data[[#This Row],[OptType]],Details!$B$4,VALUE(data[[#This Row],[Strike]]),VALUE(data[[#This Row],[Cnt Price]]),Details!$B$6,data[[#This Row],[T]],Details!$B$7)</f>
        <v>0.31988368054745225</v>
      </c>
      <c r="AO59" s="7">
        <f t="array" aca="1" ref="AO59:AS59" ca="1">bsGreeks(data[[#This Row],[OptType]],Details!$B$4,VALUE(data[[#This Row],[Strike]]),Details!$B$6,data[[#This Row],[T]],AN59,Details!$B$7)</f>
        <v>0.53527094427003674</v>
      </c>
      <c r="AP59" s="7">
        <f ca="1"/>
        <v>9.3075818911076628E-4</v>
      </c>
      <c r="AQ59" s="6">
        <f ca="1"/>
        <v>5.297706499807183</v>
      </c>
      <c r="AR59" s="6">
        <f ca="1"/>
        <v>-207.02220200526824</v>
      </c>
      <c r="AS59" s="6">
        <f ca="1"/>
        <v>221.42827529890283</v>
      </c>
      <c r="AU59" s="60">
        <f ca="1"/>
        <v>177.12492106078889</v>
      </c>
      <c r="AV59" s="61" t="str">
        <f ca="1"/>
        <v>c</v>
      </c>
      <c r="AW59" s="61">
        <f ca="1"/>
        <v>0.31988368054745225</v>
      </c>
      <c r="AX59" s="62">
        <f ca="1"/>
        <v>0.53527094427003674</v>
      </c>
      <c r="AY59" s="62">
        <f ca="1"/>
        <v>9.3075818911076628E-4</v>
      </c>
      <c r="AZ59" s="62">
        <f ca="1"/>
        <v>5.297706499807183</v>
      </c>
      <c r="BA59" s="60">
        <f ca="1"/>
        <v>-207.02220200526824</v>
      </c>
      <c r="BB59" s="60">
        <f ca="1"/>
        <v>221.42827529890283</v>
      </c>
    </row>
    <row r="60" spans="1:54" x14ac:dyDescent="0.3">
      <c r="A60" t="s">
        <v>429</v>
      </c>
      <c r="B60" t="s">
        <v>430</v>
      </c>
      <c r="C60" t="s">
        <v>57</v>
      </c>
      <c r="D60" t="s">
        <v>84</v>
      </c>
      <c r="E60" t="s">
        <v>84</v>
      </c>
      <c r="F60" t="s">
        <v>184</v>
      </c>
      <c r="G60" t="s">
        <v>1323</v>
      </c>
      <c r="H60" t="s">
        <v>1353</v>
      </c>
      <c r="J60" t="s">
        <v>111</v>
      </c>
      <c r="K60" t="s">
        <v>100</v>
      </c>
      <c r="L60" t="s">
        <v>307</v>
      </c>
      <c r="M60" t="s">
        <v>84</v>
      </c>
      <c r="N60" t="s">
        <v>56</v>
      </c>
      <c r="O60" t="s">
        <v>36</v>
      </c>
      <c r="Q60" t="s">
        <v>84</v>
      </c>
      <c r="V60" t="s">
        <v>49</v>
      </c>
      <c r="X60" t="s">
        <v>84</v>
      </c>
      <c r="Z60" t="s">
        <v>84</v>
      </c>
      <c r="AA60" t="s">
        <v>84</v>
      </c>
      <c r="AB60" t="s">
        <v>36</v>
      </c>
      <c r="AC60" t="s">
        <v>1340</v>
      </c>
      <c r="AD60" t="s">
        <v>36</v>
      </c>
      <c r="AE60" t="s">
        <v>1340</v>
      </c>
      <c r="AF60" t="s">
        <v>86</v>
      </c>
      <c r="AG60" t="s">
        <v>269</v>
      </c>
      <c r="AH60" t="s">
        <v>183</v>
      </c>
      <c r="AI60" s="4">
        <f ca="1">data[[#This Row],[Expiry Date]]-TODAY()</f>
        <v>42</v>
      </c>
      <c r="AJ60" s="4">
        <f ca="1">data[[#This Row],[Maturity ( Days)]]/365</f>
        <v>0.11506849315068493</v>
      </c>
      <c r="AK60" s="4" t="str">
        <f>IF(data[[#This Row],[Option Type]]="put","p","c")</f>
        <v>c</v>
      </c>
      <c r="AL60" s="4">
        <f>(data[[#This Row],[Bid]]*data[[#This Row],[Bidsize]]+data[[#This Row],[Ask]]*data[[#This Row],[Asksize]])/(data[[#This Row],[Bidsize]]+data[[#This Row],[Asksize]])</f>
        <v>173.15217391304347</v>
      </c>
      <c r="AM60" s="4">
        <f>VALUE(data[[#This Row],[Strike]])</f>
        <v>3930</v>
      </c>
      <c r="AN60" s="5">
        <f ca="1">impliedVol(data[[#This Row],[OptType]],Details!$B$4,VALUE(data[[#This Row],[Strike]]),VALUE(data[[#This Row],[Cnt Price]]),Details!$B$6,data[[#This Row],[T]],Details!$B$7)</f>
        <v>0.31744486787913057</v>
      </c>
      <c r="AO60" s="7">
        <f t="array" aca="1" ref="AO60:AS60" ca="1">bsGreeks(data[[#This Row],[OptType]],Details!$B$4,VALUE(data[[#This Row],[Strike]]),Details!$B$6,data[[#This Row],[T]],AN60,Details!$B$7)</f>
        <v>0.52580006969601778</v>
      </c>
      <c r="AP60" s="7">
        <f ca="1"/>
        <v>9.3962152866248225E-4</v>
      </c>
      <c r="AQ60" s="6">
        <f ca="1"/>
        <v>5.3073803584489472</v>
      </c>
      <c r="AR60" s="6">
        <f ca="1"/>
        <v>-205.76458514591712</v>
      </c>
      <c r="AS60" s="6">
        <f ca="1"/>
        <v>217.85846203256727</v>
      </c>
      <c r="AU60" s="60">
        <f ca="1"/>
        <v>170.96272218965851</v>
      </c>
      <c r="AV60" s="61" t="str">
        <f ca="1"/>
        <v>c</v>
      </c>
      <c r="AW60" s="61">
        <f ca="1"/>
        <v>0.31744486787913057</v>
      </c>
      <c r="AX60" s="62">
        <f ca="1"/>
        <v>0.52580006969601778</v>
      </c>
      <c r="AY60" s="62">
        <f ca="1"/>
        <v>9.3962152866248225E-4</v>
      </c>
      <c r="AZ60" s="62">
        <f ca="1"/>
        <v>5.3073803584489472</v>
      </c>
      <c r="BA60" s="60">
        <f ca="1"/>
        <v>-205.76458514591712</v>
      </c>
      <c r="BB60" s="60">
        <f ca="1"/>
        <v>217.85846203256727</v>
      </c>
    </row>
    <row r="61" spans="1:54" x14ac:dyDescent="0.3">
      <c r="A61" t="s">
        <v>469</v>
      </c>
      <c r="B61" t="s">
        <v>470</v>
      </c>
      <c r="C61" t="s">
        <v>29</v>
      </c>
      <c r="D61" t="s">
        <v>84</v>
      </c>
      <c r="E61" t="s">
        <v>84</v>
      </c>
      <c r="F61" t="s">
        <v>157</v>
      </c>
      <c r="G61" t="s">
        <v>1492</v>
      </c>
      <c r="H61" t="s">
        <v>912</v>
      </c>
      <c r="J61" t="s">
        <v>98</v>
      </c>
      <c r="K61" t="s">
        <v>98</v>
      </c>
      <c r="L61" t="s">
        <v>307</v>
      </c>
      <c r="M61" t="s">
        <v>84</v>
      </c>
      <c r="N61" t="s">
        <v>56</v>
      </c>
      <c r="O61" t="s">
        <v>36</v>
      </c>
      <c r="Q61" t="s">
        <v>84</v>
      </c>
      <c r="V61" t="s">
        <v>49</v>
      </c>
      <c r="X61" t="s">
        <v>84</v>
      </c>
      <c r="Z61" t="s">
        <v>84</v>
      </c>
      <c r="AA61" t="s">
        <v>84</v>
      </c>
      <c r="AB61" t="s">
        <v>36</v>
      </c>
      <c r="AC61" t="s">
        <v>1340</v>
      </c>
      <c r="AD61" t="s">
        <v>36</v>
      </c>
      <c r="AE61" t="s">
        <v>1340</v>
      </c>
      <c r="AF61" t="s">
        <v>86</v>
      </c>
      <c r="AG61" t="s">
        <v>269</v>
      </c>
      <c r="AH61" t="s">
        <v>183</v>
      </c>
      <c r="AI61" s="4">
        <f ca="1">data[[#This Row],[Expiry Date]]-TODAY()</f>
        <v>42</v>
      </c>
      <c r="AJ61" s="4">
        <f ca="1">data[[#This Row],[Maturity ( Days)]]/365</f>
        <v>0.11506849315068493</v>
      </c>
      <c r="AK61" s="4" t="str">
        <f>IF(data[[#This Row],[Option Type]]="put","p","c")</f>
        <v>p</v>
      </c>
      <c r="AL61" s="4">
        <f>(data[[#This Row],[Bid]]*data[[#This Row],[Bidsize]]+data[[#This Row],[Ask]]*data[[#This Row],[Asksize]])/(data[[#This Row],[Bidsize]]+data[[#This Row],[Asksize]])</f>
        <v>262.54999999999995</v>
      </c>
      <c r="AM61" s="4">
        <f>VALUE(data[[#This Row],[Strike]])</f>
        <v>4175</v>
      </c>
      <c r="AN61" s="5">
        <f ca="1">impliedVol(data[[#This Row],[OptType]],Details!$B$4,VALUE(data[[#This Row],[Strike]]),VALUE(data[[#This Row],[Cnt Price]]),Details!$B$6,data[[#This Row],[T]],Details!$B$7)</f>
        <v>0.19315026851989986</v>
      </c>
      <c r="AO61" s="7">
        <f t="array" aca="1" ref="AO61:AS61" ca="1">bsGreeks(data[[#This Row],[OptType]],Details!$B$4,VALUE(data[[#This Row],[Strike]]),Details!$B$6,data[[#This Row],[T]],AN61,Details!$B$7)</f>
        <v>-0.80849599000504324</v>
      </c>
      <c r="AP61" s="7">
        <f ca="1"/>
        <v>1.0577450092855557E-3</v>
      </c>
      <c r="AQ61" s="6">
        <f ca="1"/>
        <v>3.635258051161665</v>
      </c>
      <c r="AR61" s="6">
        <f ca="1"/>
        <v>-74.153923443460798</v>
      </c>
      <c r="AS61" s="6">
        <f ca="1"/>
        <v>-395.83481566371705</v>
      </c>
      <c r="AU61" s="60">
        <f ca="1"/>
        <v>266.49974692424712</v>
      </c>
      <c r="AV61" s="61" t="str">
        <f ca="1"/>
        <v>p</v>
      </c>
      <c r="AW61" s="61">
        <f ca="1"/>
        <v>0.19315026851989986</v>
      </c>
      <c r="AX61" s="62">
        <f ca="1"/>
        <v>-0.80849599000504324</v>
      </c>
      <c r="AY61" s="62">
        <f ca="1"/>
        <v>1.0577450092855557E-3</v>
      </c>
      <c r="AZ61" s="62">
        <f ca="1"/>
        <v>3.635258051161665</v>
      </c>
      <c r="BA61" s="60">
        <f ca="1"/>
        <v>-74.153923443460798</v>
      </c>
      <c r="BB61" s="60">
        <f ca="1"/>
        <v>-395.83481566371705</v>
      </c>
    </row>
    <row r="62" spans="1:54" x14ac:dyDescent="0.3">
      <c r="A62" t="s">
        <v>475</v>
      </c>
      <c r="B62" t="s">
        <v>476</v>
      </c>
      <c r="C62" t="s">
        <v>29</v>
      </c>
      <c r="D62" t="s">
        <v>84</v>
      </c>
      <c r="E62" t="s">
        <v>84</v>
      </c>
      <c r="F62" t="s">
        <v>213</v>
      </c>
      <c r="G62" t="s">
        <v>1496</v>
      </c>
      <c r="H62" t="s">
        <v>1322</v>
      </c>
      <c r="J62" t="s">
        <v>101</v>
      </c>
      <c r="K62" t="s">
        <v>101</v>
      </c>
      <c r="L62" t="s">
        <v>307</v>
      </c>
      <c r="M62" t="s">
        <v>84</v>
      </c>
      <c r="N62" t="s">
        <v>56</v>
      </c>
      <c r="O62" t="s">
        <v>36</v>
      </c>
      <c r="Q62" t="s">
        <v>84</v>
      </c>
      <c r="V62" t="s">
        <v>49</v>
      </c>
      <c r="X62" t="s">
        <v>84</v>
      </c>
      <c r="Z62" t="s">
        <v>84</v>
      </c>
      <c r="AA62" t="s">
        <v>84</v>
      </c>
      <c r="AB62" t="s">
        <v>36</v>
      </c>
      <c r="AC62" t="s">
        <v>1340</v>
      </c>
      <c r="AD62" t="s">
        <v>36</v>
      </c>
      <c r="AE62" t="s">
        <v>1340</v>
      </c>
      <c r="AF62" t="s">
        <v>86</v>
      </c>
      <c r="AG62" t="s">
        <v>269</v>
      </c>
      <c r="AH62" t="s">
        <v>183</v>
      </c>
      <c r="AI62" s="4">
        <f ca="1">data[[#This Row],[Expiry Date]]-TODAY()</f>
        <v>42</v>
      </c>
      <c r="AJ62" s="4">
        <f ca="1">data[[#This Row],[Maturity ( Days)]]/365</f>
        <v>0.11506849315068493</v>
      </c>
      <c r="AK62" s="4" t="str">
        <f>IF(data[[#This Row],[Option Type]]="put","p","c")</f>
        <v>p</v>
      </c>
      <c r="AL62" s="4">
        <f>(data[[#This Row],[Bid]]*data[[#This Row],[Bidsize]]+data[[#This Row],[Ask]]*data[[#This Row],[Asksize]])/(data[[#This Row],[Bidsize]]+data[[#This Row],[Asksize]])</f>
        <v>293.89999999999998</v>
      </c>
      <c r="AM62" s="4">
        <f>VALUE(data[[#This Row],[Strike]])</f>
        <v>4220</v>
      </c>
      <c r="AN62" s="5">
        <f ca="1">impliedVol(data[[#This Row],[OptType]],Details!$B$4,VALUE(data[[#This Row],[Strike]]),VALUE(data[[#This Row],[Cnt Price]]),Details!$B$6,data[[#This Row],[T]],Details!$B$7)</f>
        <v>0.17136623406271123</v>
      </c>
      <c r="AO62" s="7">
        <f t="array" aca="1" ref="AO62:AS62" ca="1">bsGreeks(data[[#This Row],[OptType]],Details!$B$4,VALUE(data[[#This Row],[Strike]]),Details!$B$6,data[[#This Row],[T]],AN62,Details!$B$7)</f>
        <v>-0.88011218793055357</v>
      </c>
      <c r="AP62" s="7">
        <f ca="1"/>
        <v>8.7403124193673784E-4</v>
      </c>
      <c r="AQ62" s="6">
        <f ca="1"/>
        <v>2.6650855418917958</v>
      </c>
      <c r="AR62" s="6">
        <f ca="1"/>
        <v>-44.076235079477186</v>
      </c>
      <c r="AS62" s="6">
        <f ca="1"/>
        <v>-431.82930503550006</v>
      </c>
      <c r="AU62" s="60">
        <f ca="1"/>
        <v>298.21176471974104</v>
      </c>
      <c r="AV62" s="61" t="str">
        <f ca="1"/>
        <v>p</v>
      </c>
      <c r="AW62" s="61">
        <f ca="1"/>
        <v>0.17136623406271123</v>
      </c>
      <c r="AX62" s="62">
        <f ca="1"/>
        <v>-0.88011218793055357</v>
      </c>
      <c r="AY62" s="62">
        <f ca="1"/>
        <v>8.7403124193673784E-4</v>
      </c>
      <c r="AZ62" s="62">
        <f ca="1"/>
        <v>2.6650855418917958</v>
      </c>
      <c r="BA62" s="60">
        <f ca="1"/>
        <v>-44.076235079477186</v>
      </c>
      <c r="BB62" s="60">
        <f ca="1"/>
        <v>-431.82930503550006</v>
      </c>
    </row>
    <row r="63" spans="1:54" x14ac:dyDescent="0.3">
      <c r="A63" t="s">
        <v>481</v>
      </c>
      <c r="B63" t="s">
        <v>482</v>
      </c>
      <c r="C63" t="s">
        <v>29</v>
      </c>
      <c r="D63" t="s">
        <v>84</v>
      </c>
      <c r="E63" t="s">
        <v>84</v>
      </c>
      <c r="F63" t="s">
        <v>201</v>
      </c>
      <c r="G63" t="s">
        <v>1497</v>
      </c>
      <c r="H63" t="s">
        <v>1498</v>
      </c>
      <c r="J63" t="s">
        <v>101</v>
      </c>
      <c r="K63" t="s">
        <v>101</v>
      </c>
      <c r="L63" t="s">
        <v>307</v>
      </c>
      <c r="M63" t="s">
        <v>84</v>
      </c>
      <c r="N63" t="s">
        <v>56</v>
      </c>
      <c r="O63" t="s">
        <v>36</v>
      </c>
      <c r="Q63" t="s">
        <v>84</v>
      </c>
      <c r="V63" t="s">
        <v>49</v>
      </c>
      <c r="X63" t="s">
        <v>84</v>
      </c>
      <c r="Z63" t="s">
        <v>84</v>
      </c>
      <c r="AA63" t="s">
        <v>84</v>
      </c>
      <c r="AB63" t="s">
        <v>36</v>
      </c>
      <c r="AC63" t="s">
        <v>1340</v>
      </c>
      <c r="AD63" t="s">
        <v>36</v>
      </c>
      <c r="AE63" t="s">
        <v>1340</v>
      </c>
      <c r="AF63" t="s">
        <v>86</v>
      </c>
      <c r="AG63" t="s">
        <v>269</v>
      </c>
      <c r="AH63" t="s">
        <v>183</v>
      </c>
      <c r="AI63" s="4">
        <f ca="1">data[[#This Row],[Expiry Date]]-TODAY()</f>
        <v>42</v>
      </c>
      <c r="AJ63" s="4">
        <f ca="1">data[[#This Row],[Maturity ( Days)]]/365</f>
        <v>0.11506849315068493</v>
      </c>
      <c r="AK63" s="4" t="str">
        <f>IF(data[[#This Row],[Option Type]]="put","p","c")</f>
        <v>p</v>
      </c>
      <c r="AL63" s="4">
        <f>(data[[#This Row],[Bid]]*data[[#This Row],[Bidsize]]+data[[#This Row],[Ask]]*data[[#This Row],[Asksize]])/(data[[#This Row],[Bidsize]]+data[[#This Row],[Asksize]])</f>
        <v>301.2</v>
      </c>
      <c r="AM63" s="4">
        <f>VALUE(data[[#This Row],[Strike]])</f>
        <v>4230</v>
      </c>
      <c r="AN63" s="5">
        <f ca="1">impliedVol(data[[#This Row],[OptType]],Details!$B$4,VALUE(data[[#This Row],[Strike]]),VALUE(data[[#This Row],[Cnt Price]]),Details!$B$6,data[[#This Row],[T]],Details!$B$7)</f>
        <v>0.16505819160219365</v>
      </c>
      <c r="AO63" s="7">
        <f t="array" aca="1" ref="AO63:AS63" ca="1">bsGreeks(data[[#This Row],[OptType]],Details!$B$4,VALUE(data[[#This Row],[Strike]]),Details!$B$6,data[[#This Row],[T]],AN63,Details!$B$7)</f>
        <v>-0.89705125517373652</v>
      </c>
      <c r="AP63" s="7">
        <f ca="1"/>
        <v>8.1367184989541497E-4</v>
      </c>
      <c r="AQ63" s="6">
        <f ca="1"/>
        <v>2.3897106424188008</v>
      </c>
      <c r="AR63" s="6">
        <f ca="1"/>
        <v>-36.46118834017814</v>
      </c>
      <c r="AS63" s="6">
        <f ca="1"/>
        <v>-440.32970278264895</v>
      </c>
      <c r="AU63" s="60">
        <f ca="1"/>
        <v>305.59743246246308</v>
      </c>
      <c r="AV63" s="61" t="str">
        <f ca="1"/>
        <v>p</v>
      </c>
      <c r="AW63" s="61">
        <f ca="1"/>
        <v>0.16505819160219365</v>
      </c>
      <c r="AX63" s="62">
        <f ca="1"/>
        <v>-0.89705125517373652</v>
      </c>
      <c r="AY63" s="62">
        <f ca="1"/>
        <v>8.1367184989541497E-4</v>
      </c>
      <c r="AZ63" s="62">
        <f ca="1"/>
        <v>2.3897106424188008</v>
      </c>
      <c r="BA63" s="60">
        <f ca="1"/>
        <v>-36.46118834017814</v>
      </c>
      <c r="BB63" s="60">
        <f ca="1"/>
        <v>-440.32970278264895</v>
      </c>
    </row>
    <row r="64" spans="1:54" x14ac:dyDescent="0.3">
      <c r="A64" t="s">
        <v>488</v>
      </c>
      <c r="B64" t="s">
        <v>489</v>
      </c>
      <c r="C64" t="s">
        <v>29</v>
      </c>
      <c r="D64" t="s">
        <v>84</v>
      </c>
      <c r="E64" t="s">
        <v>84</v>
      </c>
      <c r="F64" t="s">
        <v>204</v>
      </c>
      <c r="G64" t="s">
        <v>1499</v>
      </c>
      <c r="H64" t="s">
        <v>1500</v>
      </c>
      <c r="J64" t="s">
        <v>123</v>
      </c>
      <c r="K64" t="s">
        <v>123</v>
      </c>
      <c r="L64" t="s">
        <v>307</v>
      </c>
      <c r="M64" t="s">
        <v>84</v>
      </c>
      <c r="N64" t="s">
        <v>56</v>
      </c>
      <c r="O64" t="s">
        <v>36</v>
      </c>
      <c r="Q64" t="s">
        <v>84</v>
      </c>
      <c r="V64" t="s">
        <v>49</v>
      </c>
      <c r="X64" t="s">
        <v>84</v>
      </c>
      <c r="Z64" t="s">
        <v>84</v>
      </c>
      <c r="AA64" t="s">
        <v>84</v>
      </c>
      <c r="AB64" t="s">
        <v>36</v>
      </c>
      <c r="AC64" t="s">
        <v>1340</v>
      </c>
      <c r="AD64" t="s">
        <v>36</v>
      </c>
      <c r="AE64" t="s">
        <v>1340</v>
      </c>
      <c r="AF64" t="s">
        <v>86</v>
      </c>
      <c r="AG64" t="s">
        <v>269</v>
      </c>
      <c r="AH64" t="s">
        <v>183</v>
      </c>
      <c r="AI64" s="4">
        <f ca="1">data[[#This Row],[Expiry Date]]-TODAY()</f>
        <v>42</v>
      </c>
      <c r="AJ64" s="4">
        <f ca="1">data[[#This Row],[Maturity ( Days)]]/365</f>
        <v>0.11506849315068493</v>
      </c>
      <c r="AK64" s="4" t="str">
        <f>IF(data[[#This Row],[Option Type]]="put","p","c")</f>
        <v>p</v>
      </c>
      <c r="AL64" s="4">
        <f>(data[[#This Row],[Bid]]*data[[#This Row],[Bidsize]]+data[[#This Row],[Ask]]*data[[#This Row],[Asksize]])/(data[[#This Row],[Bidsize]]+data[[#This Row],[Asksize]])</f>
        <v>331.55</v>
      </c>
      <c r="AM64" s="4">
        <f>VALUE(data[[#This Row],[Strike]])</f>
        <v>4270</v>
      </c>
      <c r="AN64" s="5">
        <f ca="1">impliedVol(data[[#This Row],[OptType]],Details!$B$4,VALUE(data[[#This Row],[Strike]]),VALUE(data[[#This Row],[Cnt Price]]),Details!$B$6,data[[#This Row],[T]],Details!$B$7)</f>
        <v>0.11947178845246213</v>
      </c>
      <c r="AO64" s="7">
        <f t="array" aca="1" ref="AO64:AS64" ca="1">bsGreeks(data[[#This Row],[OptType]],Details!$B$4,VALUE(data[[#This Row],[Strike]]),Details!$B$6,data[[#This Row],[T]],AN64,Details!$B$7)</f>
        <v>-0.97715419016121319</v>
      </c>
      <c r="AP64" s="7">
        <f ca="1"/>
        <v>3.3979128168251671E-4</v>
      </c>
      <c r="AQ64" s="6">
        <f ca="1"/>
        <v>0.72233147686882271</v>
      </c>
      <c r="AR64" s="6">
        <f ca="1"/>
        <v>1.1692606027131383</v>
      </c>
      <c r="AS64" s="6">
        <f ca="1"/>
        <v>-480.04741104526846</v>
      </c>
      <c r="AU64" s="60">
        <f ca="1"/>
        <v>336.34969340659609</v>
      </c>
      <c r="AV64" s="61" t="str">
        <f ca="1"/>
        <v>p</v>
      </c>
      <c r="AW64" s="61">
        <f ca="1"/>
        <v>0.11947178845246213</v>
      </c>
      <c r="AX64" s="62">
        <f ca="1"/>
        <v>-0.97715419016121319</v>
      </c>
      <c r="AY64" s="62">
        <f ca="1"/>
        <v>3.3979128168251671E-4</v>
      </c>
      <c r="AZ64" s="62">
        <f ca="1"/>
        <v>0.72233147686882271</v>
      </c>
      <c r="BA64" s="60">
        <f ca="1"/>
        <v>1.1692606027131383</v>
      </c>
      <c r="BB64" s="60">
        <f ca="1"/>
        <v>-480.04741104526846</v>
      </c>
    </row>
    <row r="65" spans="1:54" x14ac:dyDescent="0.3">
      <c r="A65" t="s">
        <v>492</v>
      </c>
      <c r="B65" t="s">
        <v>493</v>
      </c>
      <c r="C65" t="s">
        <v>29</v>
      </c>
      <c r="D65" t="s">
        <v>84</v>
      </c>
      <c r="E65" t="s">
        <v>84</v>
      </c>
      <c r="F65" t="s">
        <v>205</v>
      </c>
      <c r="G65" t="s">
        <v>1501</v>
      </c>
      <c r="H65" t="s">
        <v>908</v>
      </c>
      <c r="J65" t="s">
        <v>123</v>
      </c>
      <c r="K65" t="s">
        <v>123</v>
      </c>
      <c r="L65" t="s">
        <v>307</v>
      </c>
      <c r="M65" t="s">
        <v>84</v>
      </c>
      <c r="N65" t="s">
        <v>56</v>
      </c>
      <c r="O65" t="s">
        <v>36</v>
      </c>
      <c r="Q65" t="s">
        <v>84</v>
      </c>
      <c r="V65" t="s">
        <v>49</v>
      </c>
      <c r="X65" t="s">
        <v>84</v>
      </c>
      <c r="Z65" t="s">
        <v>84</v>
      </c>
      <c r="AA65" t="s">
        <v>84</v>
      </c>
      <c r="AB65" t="s">
        <v>36</v>
      </c>
      <c r="AC65" t="s">
        <v>1340</v>
      </c>
      <c r="AD65" t="s">
        <v>36</v>
      </c>
      <c r="AE65" t="s">
        <v>1340</v>
      </c>
      <c r="AF65" t="s">
        <v>86</v>
      </c>
      <c r="AG65" t="s">
        <v>269</v>
      </c>
      <c r="AH65" t="s">
        <v>183</v>
      </c>
      <c r="AI65" s="4">
        <f ca="1">data[[#This Row],[Expiry Date]]-TODAY()</f>
        <v>42</v>
      </c>
      <c r="AJ65" s="4">
        <f ca="1">data[[#This Row],[Maturity ( Days)]]/365</f>
        <v>0.11506849315068493</v>
      </c>
      <c r="AK65" s="4" t="str">
        <f>IF(data[[#This Row],[Option Type]]="put","p","c")</f>
        <v>p</v>
      </c>
      <c r="AL65" s="4">
        <f>(data[[#This Row],[Bid]]*data[[#This Row],[Bidsize]]+data[[#This Row],[Ask]]*data[[#This Row],[Asksize]])/(data[[#This Row],[Bidsize]]+data[[#This Row],[Asksize]])</f>
        <v>339.35</v>
      </c>
      <c r="AM65" s="4">
        <f>VALUE(data[[#This Row],[Strike]])</f>
        <v>4280</v>
      </c>
      <c r="AN65" s="5">
        <f ca="1">impliedVol(data[[#This Row],[OptType]],Details!$B$4,VALUE(data[[#This Row],[Strike]]),VALUE(data[[#This Row],[Cnt Price]]),Details!$B$6,data[[#This Row],[T]],Details!$B$7)</f>
        <v>3022652421.018888</v>
      </c>
      <c r="AO65" s="7">
        <f t="array" aca="1" ref="AO65:AS65" ca="1">bsGreeks(data[[#This Row],[OptType]],Details!$B$4,VALUE(data[[#This Row],[Strike]]),Details!$B$6,data[[#This Row],[T]],AN65,Details!$B$7)</f>
        <v>0</v>
      </c>
      <c r="AP65" s="7">
        <f ca="1"/>
        <v>0</v>
      </c>
      <c r="AQ65" s="6">
        <f ca="1"/>
        <v>0</v>
      </c>
      <c r="AR65" s="6">
        <f ca="1"/>
        <v>11.712542194325671</v>
      </c>
      <c r="AS65" s="6">
        <f ca="1"/>
        <v>-491.36104498683676</v>
      </c>
      <c r="AU65" s="60">
        <f ca="1"/>
        <v>4275.077900928869</v>
      </c>
      <c r="AV65" s="61" t="str">
        <f ca="1"/>
        <v>p</v>
      </c>
      <c r="AW65" s="61">
        <f ca="1"/>
        <v>3022652421.018888</v>
      </c>
      <c r="AX65" s="62">
        <f ca="1"/>
        <v>0</v>
      </c>
      <c r="AY65" s="62">
        <f ca="1"/>
        <v>0</v>
      </c>
      <c r="AZ65" s="62">
        <f ca="1"/>
        <v>0</v>
      </c>
      <c r="BA65" s="60">
        <f ca="1"/>
        <v>11.712542194325671</v>
      </c>
      <c r="BB65" s="60">
        <f ca="1"/>
        <v>-491.36104498683676</v>
      </c>
    </row>
    <row r="66" spans="1:54" x14ac:dyDescent="0.3">
      <c r="A66" t="s">
        <v>501</v>
      </c>
      <c r="B66" t="s">
        <v>502</v>
      </c>
      <c r="C66" t="s">
        <v>29</v>
      </c>
      <c r="D66" t="s">
        <v>84</v>
      </c>
      <c r="E66" t="s">
        <v>84</v>
      </c>
      <c r="F66" t="s">
        <v>159</v>
      </c>
      <c r="G66" t="s">
        <v>1502</v>
      </c>
      <c r="H66" t="s">
        <v>1140</v>
      </c>
      <c r="J66" t="s">
        <v>123</v>
      </c>
      <c r="K66" t="s">
        <v>123</v>
      </c>
      <c r="L66" t="s">
        <v>307</v>
      </c>
      <c r="M66" t="s">
        <v>84</v>
      </c>
      <c r="N66" t="s">
        <v>56</v>
      </c>
      <c r="O66" t="s">
        <v>36</v>
      </c>
      <c r="Q66" t="s">
        <v>84</v>
      </c>
      <c r="V66" t="s">
        <v>49</v>
      </c>
      <c r="X66" t="s">
        <v>84</v>
      </c>
      <c r="Z66" t="s">
        <v>84</v>
      </c>
      <c r="AA66" t="s">
        <v>84</v>
      </c>
      <c r="AB66" t="s">
        <v>36</v>
      </c>
      <c r="AC66" t="s">
        <v>1340</v>
      </c>
      <c r="AD66" t="s">
        <v>36</v>
      </c>
      <c r="AE66" t="s">
        <v>1340</v>
      </c>
      <c r="AF66" t="s">
        <v>86</v>
      </c>
      <c r="AG66" t="s">
        <v>269</v>
      </c>
      <c r="AH66" t="s">
        <v>183</v>
      </c>
      <c r="AI66" s="4">
        <f ca="1">data[[#This Row],[Expiry Date]]-TODAY()</f>
        <v>42</v>
      </c>
      <c r="AJ66" s="4">
        <f ca="1">data[[#This Row],[Maturity ( Days)]]/365</f>
        <v>0.11506849315068493</v>
      </c>
      <c r="AK66" s="4" t="str">
        <f>IF(data[[#This Row],[Option Type]]="put","p","c")</f>
        <v>p</v>
      </c>
      <c r="AL66" s="4">
        <f>(data[[#This Row],[Bid]]*data[[#This Row],[Bidsize]]+data[[#This Row],[Ask]]*data[[#This Row],[Asksize]])/(data[[#This Row],[Bidsize]]+data[[#This Row],[Asksize]])</f>
        <v>375.9</v>
      </c>
      <c r="AM66" s="4">
        <f>VALUE(data[[#This Row],[Strike]])</f>
        <v>4325</v>
      </c>
      <c r="AN66" s="5">
        <f ca="1">impliedVol(data[[#This Row],[OptType]],Details!$B$4,VALUE(data[[#This Row],[Strike]]),VALUE(data[[#This Row],[Cnt Price]]),Details!$B$6,data[[#This Row],[T]],Details!$B$7)</f>
        <v>6.4127379605828061</v>
      </c>
      <c r="AO66" s="7">
        <f t="array" aca="1" ref="AO66:AS66" ca="1">bsGreeks(data[[#This Row],[OptType]],Details!$B$4,VALUE(data[[#This Row],[Strike]]),Details!$B$6,data[[#This Row],[T]],AN66,Details!$B$7)</f>
        <v>-0.14820392479001998</v>
      </c>
      <c r="AP66" s="7">
        <f ca="1"/>
        <v>2.702306684184511E-5</v>
      </c>
      <c r="AQ66" s="6">
        <f ca="1"/>
        <v>3.0834511559963715</v>
      </c>
      <c r="AR66" s="6">
        <f ca="1"/>
        <v>-2343.663018016754</v>
      </c>
      <c r="AS66" s="6">
        <f ca="1"/>
        <v>-432.47670075209078</v>
      </c>
      <c r="AU66" s="60">
        <f ca="1"/>
        <v>3180.3024462672756</v>
      </c>
      <c r="AV66" s="61" t="str">
        <f ca="1"/>
        <v>p</v>
      </c>
      <c r="AW66" s="61">
        <f ca="1"/>
        <v>6.4127379605828061</v>
      </c>
      <c r="AX66" s="62">
        <f ca="1"/>
        <v>-0.14820392479001998</v>
      </c>
      <c r="AY66" s="62">
        <f ca="1"/>
        <v>2.702306684184511E-5</v>
      </c>
      <c r="AZ66" s="62">
        <f ca="1"/>
        <v>3.0834511559963715</v>
      </c>
      <c r="BA66" s="60">
        <f ca="1"/>
        <v>-2343.663018016754</v>
      </c>
      <c r="BB66" s="60">
        <f ca="1"/>
        <v>-432.47670075209078</v>
      </c>
    </row>
    <row r="67" spans="1:54" x14ac:dyDescent="0.3">
      <c r="A67" t="s">
        <v>503</v>
      </c>
      <c r="B67" t="s">
        <v>504</v>
      </c>
      <c r="C67" t="s">
        <v>29</v>
      </c>
      <c r="D67" t="s">
        <v>84</v>
      </c>
      <c r="E67" t="s">
        <v>84</v>
      </c>
      <c r="F67" t="s">
        <v>124</v>
      </c>
      <c r="G67" t="s">
        <v>1503</v>
      </c>
      <c r="H67" t="s">
        <v>1504</v>
      </c>
      <c r="J67" t="s">
        <v>109</v>
      </c>
      <c r="K67" t="s">
        <v>109</v>
      </c>
      <c r="L67" t="s">
        <v>307</v>
      </c>
      <c r="M67" t="s">
        <v>84</v>
      </c>
      <c r="N67" t="s">
        <v>56</v>
      </c>
      <c r="O67" t="s">
        <v>36</v>
      </c>
      <c r="Q67" t="s">
        <v>84</v>
      </c>
      <c r="V67" t="s">
        <v>49</v>
      </c>
      <c r="X67" t="s">
        <v>84</v>
      </c>
      <c r="Z67" t="s">
        <v>84</v>
      </c>
      <c r="AA67" t="s">
        <v>84</v>
      </c>
      <c r="AB67" t="s">
        <v>36</v>
      </c>
      <c r="AC67" t="s">
        <v>1340</v>
      </c>
      <c r="AD67" t="s">
        <v>36</v>
      </c>
      <c r="AE67" t="s">
        <v>1340</v>
      </c>
      <c r="AF67" t="s">
        <v>86</v>
      </c>
      <c r="AG67" t="s">
        <v>269</v>
      </c>
      <c r="AH67" t="s">
        <v>183</v>
      </c>
      <c r="AI67" s="4">
        <f ca="1">data[[#This Row],[Expiry Date]]-TODAY()</f>
        <v>42</v>
      </c>
      <c r="AJ67" s="4">
        <f ca="1">data[[#This Row],[Maturity ( Days)]]/365</f>
        <v>0.11506849315068493</v>
      </c>
      <c r="AK67" s="4" t="str">
        <f>IF(data[[#This Row],[Option Type]]="put","p","c")</f>
        <v>p</v>
      </c>
      <c r="AL67" s="4">
        <f>(data[[#This Row],[Bid]]*data[[#This Row],[Bidsize]]+data[[#This Row],[Ask]]*data[[#This Row],[Asksize]])/(data[[#This Row],[Bidsize]]+data[[#This Row],[Asksize]])</f>
        <v>486.65000000000003</v>
      </c>
      <c r="AM67" s="4">
        <f>VALUE(data[[#This Row],[Strike]])</f>
        <v>4450</v>
      </c>
      <c r="AN6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67" s="7" t="str">
        <f t="array" aca="1" ref="AO67:AS67" ca="1">bsGreeks(data[[#This Row],[OptType]],Details!$B$4,VALUE(data[[#This Row],[Strike]]),Details!$B$6,data[[#This Row],[T]],AN67,Details!$B$7)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67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67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67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67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67" s="60">
        <f ca="1"/>
        <v>0</v>
      </c>
      <c r="AV67" s="61" t="str">
        <f ca="1"/>
        <v>p</v>
      </c>
      <c r="AW67" s="61" t="str">
        <f ca="1"/>
        <v>Calculation Error : Vega is Zero</v>
      </c>
      <c r="AX67" s="62">
        <f ca="1"/>
        <v>0</v>
      </c>
      <c r="AY67" s="62">
        <f ca="1"/>
        <v>0</v>
      </c>
      <c r="AZ67" s="62">
        <f ca="1"/>
        <v>0</v>
      </c>
      <c r="BA67" s="60">
        <f ca="1"/>
        <v>0</v>
      </c>
      <c r="BB67" s="60">
        <f ca="1"/>
        <v>0</v>
      </c>
    </row>
    <row r="68" spans="1:54" x14ac:dyDescent="0.3">
      <c r="A68" t="s">
        <v>505</v>
      </c>
      <c r="B68" t="s">
        <v>506</v>
      </c>
      <c r="C68" t="s">
        <v>29</v>
      </c>
      <c r="D68" t="s">
        <v>84</v>
      </c>
      <c r="E68" t="s">
        <v>84</v>
      </c>
      <c r="F68" t="s">
        <v>126</v>
      </c>
      <c r="G68" t="s">
        <v>1416</v>
      </c>
      <c r="H68" t="s">
        <v>1505</v>
      </c>
      <c r="J68" t="s">
        <v>109</v>
      </c>
      <c r="K68" t="s">
        <v>109</v>
      </c>
      <c r="L68" t="s">
        <v>307</v>
      </c>
      <c r="M68" t="s">
        <v>84</v>
      </c>
      <c r="N68" t="s">
        <v>56</v>
      </c>
      <c r="O68" t="s">
        <v>36</v>
      </c>
      <c r="Q68" t="s">
        <v>84</v>
      </c>
      <c r="V68" t="s">
        <v>49</v>
      </c>
      <c r="X68" t="s">
        <v>84</v>
      </c>
      <c r="Z68" t="s">
        <v>84</v>
      </c>
      <c r="AA68" t="s">
        <v>84</v>
      </c>
      <c r="AB68" t="s">
        <v>36</v>
      </c>
      <c r="AC68" t="s">
        <v>1340</v>
      </c>
      <c r="AD68" t="s">
        <v>36</v>
      </c>
      <c r="AE68" t="s">
        <v>1340</v>
      </c>
      <c r="AF68" t="s">
        <v>86</v>
      </c>
      <c r="AG68" t="s">
        <v>269</v>
      </c>
      <c r="AH68" t="s">
        <v>183</v>
      </c>
      <c r="AI68" s="4">
        <f ca="1">data[[#This Row],[Expiry Date]]-TODAY()</f>
        <v>42</v>
      </c>
      <c r="AJ68" s="4">
        <f ca="1">data[[#This Row],[Maturity ( Days)]]/365</f>
        <v>0.11506849315068493</v>
      </c>
      <c r="AK68" s="4" t="str">
        <f>IF(data[[#This Row],[Option Type]]="put","p","c")</f>
        <v>p</v>
      </c>
      <c r="AL68" s="4">
        <f>(data[[#This Row],[Bid]]*data[[#This Row],[Bidsize]]+data[[#This Row],[Ask]]*data[[#This Row],[Asksize]])/(data[[#This Row],[Bidsize]]+data[[#This Row],[Asksize]])</f>
        <v>533.75</v>
      </c>
      <c r="AM68" s="4">
        <f>VALUE(data[[#This Row],[Strike]])</f>
        <v>4500</v>
      </c>
      <c r="AN68" s="5">
        <f ca="1">impliedVol(data[[#This Row],[OptType]],Details!$B$4,VALUE(data[[#This Row],[Strike]]),VALUE(data[[#This Row],[Cnt Price]]),Details!$B$6,data[[#This Row],[T]],Details!$B$7)</f>
        <v>1.6998074104641115E+98</v>
      </c>
      <c r="AO68" s="7">
        <f t="array" aca="1" ref="AO68:AS68" ca="1">bsGreeks(data[[#This Row],[OptType]],Details!$B$4,VALUE(data[[#This Row],[Strike]]),Details!$B$6,data[[#This Row],[T]],AN68,Details!$B$7)</f>
        <v>0</v>
      </c>
      <c r="AP68" s="7">
        <f ca="1"/>
        <v>0</v>
      </c>
      <c r="AQ68" s="6">
        <f ca="1"/>
        <v>0</v>
      </c>
      <c r="AR68" s="6">
        <f ca="1"/>
        <v>12.314588755716242</v>
      </c>
      <c r="AS68" s="6">
        <f ca="1"/>
        <v>-516.6179211310199</v>
      </c>
      <c r="AU68" s="60">
        <f ca="1"/>
        <v>4494.8248958364293</v>
      </c>
      <c r="AV68" s="61" t="str">
        <f ca="1"/>
        <v>p</v>
      </c>
      <c r="AW68" s="61">
        <f ca="1"/>
        <v>1.6998074104641115E+98</v>
      </c>
      <c r="AX68" s="62">
        <f ca="1"/>
        <v>0</v>
      </c>
      <c r="AY68" s="62">
        <f ca="1"/>
        <v>0</v>
      </c>
      <c r="AZ68" s="62">
        <f ca="1"/>
        <v>0</v>
      </c>
      <c r="BA68" s="60">
        <f ca="1"/>
        <v>12.314588755716242</v>
      </c>
      <c r="BB68" s="60">
        <f ca="1"/>
        <v>-516.6179211310199</v>
      </c>
    </row>
    <row r="69" spans="1:54" x14ac:dyDescent="0.3">
      <c r="A69" t="s">
        <v>507</v>
      </c>
      <c r="B69" t="s">
        <v>508</v>
      </c>
      <c r="C69" t="s">
        <v>29</v>
      </c>
      <c r="D69" t="s">
        <v>84</v>
      </c>
      <c r="E69" t="s">
        <v>84</v>
      </c>
      <c r="F69" t="s">
        <v>143</v>
      </c>
      <c r="G69" t="s">
        <v>1393</v>
      </c>
      <c r="H69" t="s">
        <v>1506</v>
      </c>
      <c r="J69" t="s">
        <v>109</v>
      </c>
      <c r="K69" t="s">
        <v>109</v>
      </c>
      <c r="L69" t="s">
        <v>307</v>
      </c>
      <c r="M69" t="s">
        <v>84</v>
      </c>
      <c r="N69" t="s">
        <v>56</v>
      </c>
      <c r="O69" t="s">
        <v>36</v>
      </c>
      <c r="Q69" t="s">
        <v>84</v>
      </c>
      <c r="V69" t="s">
        <v>49</v>
      </c>
      <c r="X69" t="s">
        <v>84</v>
      </c>
      <c r="Z69" t="s">
        <v>84</v>
      </c>
      <c r="AA69" t="s">
        <v>84</v>
      </c>
      <c r="AB69" t="s">
        <v>36</v>
      </c>
      <c r="AC69" t="s">
        <v>1340</v>
      </c>
      <c r="AD69" t="s">
        <v>36</v>
      </c>
      <c r="AE69" t="s">
        <v>1340</v>
      </c>
      <c r="AF69" t="s">
        <v>86</v>
      </c>
      <c r="AG69" t="s">
        <v>269</v>
      </c>
      <c r="AH69" t="s">
        <v>183</v>
      </c>
      <c r="AI69" s="4">
        <f ca="1">data[[#This Row],[Expiry Date]]-TODAY()</f>
        <v>42</v>
      </c>
      <c r="AJ69" s="4">
        <f ca="1">data[[#This Row],[Maturity ( Days)]]/365</f>
        <v>0.11506849315068493</v>
      </c>
      <c r="AK69" s="4" t="str">
        <f>IF(data[[#This Row],[Option Type]]="put","p","c")</f>
        <v>p</v>
      </c>
      <c r="AL69" s="4">
        <f>(data[[#This Row],[Bid]]*data[[#This Row],[Bidsize]]+data[[#This Row],[Ask]]*data[[#This Row],[Asksize]])/(data[[#This Row],[Bidsize]]+data[[#This Row],[Asksize]])</f>
        <v>630.5</v>
      </c>
      <c r="AM69" s="4">
        <f>VALUE(data[[#This Row],[Strike]])</f>
        <v>4600</v>
      </c>
      <c r="AN69" s="5">
        <f ca="1">impliedVol(data[[#This Row],[OptType]],Details!$B$4,VALUE(data[[#This Row],[Strike]]),VALUE(data[[#This Row],[Cnt Price]]),Details!$B$6,data[[#This Row],[T]],Details!$B$7)</f>
        <v>887.76492891102794</v>
      </c>
      <c r="AO69" s="7">
        <f t="array" aca="1" ref="AO69:AS69" ca="1">bsGreeks(data[[#This Row],[OptType]],Details!$B$4,VALUE(data[[#This Row],[Strike]]),Details!$B$6,data[[#This Row],[T]],AN69,Details!$B$7)</f>
        <v>0</v>
      </c>
      <c r="AP69" s="7">
        <f ca="1"/>
        <v>0</v>
      </c>
      <c r="AQ69" s="6">
        <f ca="1"/>
        <v>0</v>
      </c>
      <c r="AR69" s="6">
        <f ca="1"/>
        <v>12.588246283621046</v>
      </c>
      <c r="AS69" s="6">
        <f ca="1"/>
        <v>-528.09831937837589</v>
      </c>
      <c r="AU69" s="60">
        <f ca="1"/>
        <v>4594.7098935216836</v>
      </c>
      <c r="AV69" s="61" t="str">
        <f ca="1"/>
        <v>p</v>
      </c>
      <c r="AW69" s="61">
        <f ca="1"/>
        <v>887.76492891102794</v>
      </c>
      <c r="AX69" s="62">
        <f ca="1"/>
        <v>0</v>
      </c>
      <c r="AY69" s="62">
        <f ca="1"/>
        <v>0</v>
      </c>
      <c r="AZ69" s="62">
        <f ca="1"/>
        <v>0</v>
      </c>
      <c r="BA69" s="60">
        <f ca="1"/>
        <v>12.588246283621046</v>
      </c>
      <c r="BB69" s="60">
        <f ca="1"/>
        <v>-528.09831937837589</v>
      </c>
    </row>
    <row r="70" spans="1:54" x14ac:dyDescent="0.3">
      <c r="A70" t="s">
        <v>1143</v>
      </c>
      <c r="B70" t="s">
        <v>1144</v>
      </c>
      <c r="C70" t="s">
        <v>29</v>
      </c>
      <c r="D70" t="s">
        <v>84</v>
      </c>
      <c r="E70" t="s">
        <v>84</v>
      </c>
      <c r="F70" t="s">
        <v>1145</v>
      </c>
      <c r="G70" t="s">
        <v>1507</v>
      </c>
      <c r="H70" t="s">
        <v>1508</v>
      </c>
      <c r="J70" t="s">
        <v>109</v>
      </c>
      <c r="K70" t="s">
        <v>109</v>
      </c>
      <c r="L70" t="s">
        <v>307</v>
      </c>
      <c r="M70" t="s">
        <v>84</v>
      </c>
      <c r="N70" t="s">
        <v>56</v>
      </c>
      <c r="O70" t="s">
        <v>36</v>
      </c>
      <c r="Q70" t="s">
        <v>84</v>
      </c>
      <c r="V70" t="s">
        <v>49</v>
      </c>
      <c r="X70" t="s">
        <v>84</v>
      </c>
      <c r="Z70" t="s">
        <v>84</v>
      </c>
      <c r="AA70" t="s">
        <v>84</v>
      </c>
      <c r="AB70" t="s">
        <v>36</v>
      </c>
      <c r="AC70" t="s">
        <v>1340</v>
      </c>
      <c r="AD70" t="s">
        <v>36</v>
      </c>
      <c r="AE70" t="s">
        <v>1340</v>
      </c>
      <c r="AF70" t="s">
        <v>86</v>
      </c>
      <c r="AG70" t="s">
        <v>269</v>
      </c>
      <c r="AH70" t="s">
        <v>183</v>
      </c>
      <c r="AI70" s="4">
        <f ca="1">data[[#This Row],[Expiry Date]]-TODAY()</f>
        <v>42</v>
      </c>
      <c r="AJ70" s="4">
        <f ca="1">data[[#This Row],[Maturity ( Days)]]/365</f>
        <v>0.11506849315068493</v>
      </c>
      <c r="AK70" s="4" t="str">
        <f>IF(data[[#This Row],[Option Type]]="put","p","c")</f>
        <v>p</v>
      </c>
      <c r="AL70" s="4">
        <f>(data[[#This Row],[Bid]]*data[[#This Row],[Bidsize]]+data[[#This Row],[Ask]]*data[[#This Row],[Asksize]])/(data[[#This Row],[Bidsize]]+data[[#This Row],[Asksize]])</f>
        <v>679.6</v>
      </c>
      <c r="AM70" s="4">
        <f>VALUE(data[[#This Row],[Strike]])</f>
        <v>4650</v>
      </c>
      <c r="AN70" s="5">
        <f ca="1">impliedVol(data[[#This Row],[OptType]],Details!$B$4,VALUE(data[[#This Row],[Strike]]),VALUE(data[[#This Row],[Cnt Price]]),Details!$B$6,data[[#This Row],[T]],Details!$B$7)</f>
        <v>25.03440972303186</v>
      </c>
      <c r="AO70" s="7">
        <f t="array" aca="1" ref="AO70:AS70" ca="1">bsGreeks(data[[#This Row],[OptType]],Details!$B$4,VALUE(data[[#This Row],[Strike]]),Details!$B$6,data[[#This Row],[T]],AN70,Details!$B$7)</f>
        <v>-1.1873904586567896E-5</v>
      </c>
      <c r="AP70" s="7">
        <f ca="1"/>
        <v>1.5784909002579204E-9</v>
      </c>
      <c r="AQ70" s="6">
        <f ca="1"/>
        <v>7.0313445897943379E-4</v>
      </c>
      <c r="AR70" s="6">
        <f ca="1"/>
        <v>10.629405875111269</v>
      </c>
      <c r="AS70" s="6">
        <f ca="1"/>
        <v>-533.83320006437816</v>
      </c>
      <c r="AU70" s="60">
        <f ca="1"/>
        <v>4644.5594539983922</v>
      </c>
      <c r="AV70" s="61" t="str">
        <f ca="1"/>
        <v>p</v>
      </c>
      <c r="AW70" s="61">
        <f ca="1"/>
        <v>25.03440972303186</v>
      </c>
      <c r="AX70" s="62">
        <f ca="1"/>
        <v>-1.1873904586567896E-5</v>
      </c>
      <c r="AY70" s="62">
        <f ca="1"/>
        <v>1.5784909002579204E-9</v>
      </c>
      <c r="AZ70" s="62">
        <f ca="1"/>
        <v>7.0313445897943379E-4</v>
      </c>
      <c r="BA70" s="60">
        <f ca="1"/>
        <v>10.629405875111269</v>
      </c>
      <c r="BB70" s="60">
        <f ca="1"/>
        <v>-533.83320006437816</v>
      </c>
    </row>
    <row r="71" spans="1:54" x14ac:dyDescent="0.3">
      <c r="A71" t="s">
        <v>1153</v>
      </c>
      <c r="B71" t="s">
        <v>1154</v>
      </c>
      <c r="C71" t="s">
        <v>29</v>
      </c>
      <c r="D71" t="s">
        <v>84</v>
      </c>
      <c r="E71" t="s">
        <v>84</v>
      </c>
      <c r="F71" t="s">
        <v>1150</v>
      </c>
      <c r="G71" t="s">
        <v>1509</v>
      </c>
      <c r="H71" t="s">
        <v>1510</v>
      </c>
      <c r="J71" t="s">
        <v>109</v>
      </c>
      <c r="K71" t="s">
        <v>109</v>
      </c>
      <c r="L71" t="s">
        <v>307</v>
      </c>
      <c r="M71" t="s">
        <v>84</v>
      </c>
      <c r="N71" t="s">
        <v>56</v>
      </c>
      <c r="O71" t="s">
        <v>36</v>
      </c>
      <c r="Q71" t="s">
        <v>84</v>
      </c>
      <c r="V71" t="s">
        <v>49</v>
      </c>
      <c r="X71" t="s">
        <v>84</v>
      </c>
      <c r="Z71" t="s">
        <v>84</v>
      </c>
      <c r="AA71" t="s">
        <v>84</v>
      </c>
      <c r="AB71" t="s">
        <v>36</v>
      </c>
      <c r="AC71" t="s">
        <v>1340</v>
      </c>
      <c r="AD71" t="s">
        <v>36</v>
      </c>
      <c r="AE71" t="s">
        <v>1340</v>
      </c>
      <c r="AF71" t="s">
        <v>86</v>
      </c>
      <c r="AG71" t="s">
        <v>269</v>
      </c>
      <c r="AH71" t="s">
        <v>183</v>
      </c>
      <c r="AI71" s="4">
        <f ca="1">data[[#This Row],[Expiry Date]]-TODAY()</f>
        <v>42</v>
      </c>
      <c r="AJ71" s="4">
        <f ca="1">data[[#This Row],[Maturity ( Days)]]/365</f>
        <v>0.11506849315068493</v>
      </c>
      <c r="AK71" s="4" t="str">
        <f>IF(data[[#This Row],[Option Type]]="put","p","c")</f>
        <v>p</v>
      </c>
      <c r="AL71" s="4">
        <f>(data[[#This Row],[Bid]]*data[[#This Row],[Bidsize]]+data[[#This Row],[Ask]]*data[[#This Row],[Asksize]])/(data[[#This Row],[Bidsize]]+data[[#This Row],[Asksize]])</f>
        <v>729</v>
      </c>
      <c r="AM71" s="4">
        <f>VALUE(data[[#This Row],[Strike]])</f>
        <v>4700</v>
      </c>
      <c r="AN71" s="5">
        <f ca="1">impliedVol(data[[#This Row],[OptType]],Details!$B$4,VALUE(data[[#This Row],[Strike]]),VALUE(data[[#This Row],[Cnt Price]]),Details!$B$6,data[[#This Row],[T]],Details!$B$7)</f>
        <v>5.9053999608798025</v>
      </c>
      <c r="AO71" s="7">
        <f t="array" aca="1" ref="AO71:AS71" ca="1">bsGreeks(data[[#This Row],[OptType]],Details!$B$4,VALUE(data[[#This Row],[Strike]]),Details!$B$6,data[[#This Row],[T]],AN71,Details!$B$7)</f>
        <v>-0.18065439787461124</v>
      </c>
      <c r="AP71" s="7">
        <f ca="1"/>
        <v>3.3367536501458074E-5</v>
      </c>
      <c r="AQ71" s="6">
        <f ca="1"/>
        <v>3.5061654421710413</v>
      </c>
      <c r="AR71" s="6">
        <f ca="1"/>
        <v>-2453.8279985191716</v>
      </c>
      <c r="AS71" s="6">
        <f ca="1"/>
        <v>-465.2347406428334</v>
      </c>
      <c r="AU71" s="60">
        <f ca="1"/>
        <v>3337.7802256662872</v>
      </c>
      <c r="AV71" s="61" t="str">
        <f ca="1"/>
        <v>p</v>
      </c>
      <c r="AW71" s="61">
        <f ca="1"/>
        <v>5.9053999608798025</v>
      </c>
      <c r="AX71" s="62">
        <f ca="1"/>
        <v>-0.18065439787461124</v>
      </c>
      <c r="AY71" s="62">
        <f ca="1"/>
        <v>3.3367536501458074E-5</v>
      </c>
      <c r="AZ71" s="62">
        <f ca="1"/>
        <v>3.5061654421710413</v>
      </c>
      <c r="BA71" s="60">
        <f ca="1"/>
        <v>-2453.8279985191716</v>
      </c>
      <c r="BB71" s="60">
        <f ca="1"/>
        <v>-465.2347406428334</v>
      </c>
    </row>
    <row r="72" spans="1:54" x14ac:dyDescent="0.3">
      <c r="A72" t="s">
        <v>509</v>
      </c>
      <c r="B72" t="s">
        <v>510</v>
      </c>
      <c r="C72" t="s">
        <v>29</v>
      </c>
      <c r="D72" t="s">
        <v>84</v>
      </c>
      <c r="E72" t="s">
        <v>84</v>
      </c>
      <c r="F72" t="s">
        <v>147</v>
      </c>
      <c r="G72" t="s">
        <v>1511</v>
      </c>
      <c r="H72" t="s">
        <v>1512</v>
      </c>
      <c r="J72" t="s">
        <v>109</v>
      </c>
      <c r="K72" t="s">
        <v>109</v>
      </c>
      <c r="L72" t="s">
        <v>307</v>
      </c>
      <c r="M72" t="s">
        <v>84</v>
      </c>
      <c r="N72" t="s">
        <v>56</v>
      </c>
      <c r="O72" t="s">
        <v>36</v>
      </c>
      <c r="Q72" t="s">
        <v>84</v>
      </c>
      <c r="V72" t="s">
        <v>49</v>
      </c>
      <c r="X72" t="s">
        <v>84</v>
      </c>
      <c r="Z72" t="s">
        <v>84</v>
      </c>
      <c r="AA72" t="s">
        <v>84</v>
      </c>
      <c r="AB72" t="s">
        <v>36</v>
      </c>
      <c r="AC72" t="s">
        <v>1340</v>
      </c>
      <c r="AD72" t="s">
        <v>36</v>
      </c>
      <c r="AE72" t="s">
        <v>1340</v>
      </c>
      <c r="AF72" t="s">
        <v>86</v>
      </c>
      <c r="AG72" t="s">
        <v>269</v>
      </c>
      <c r="AH72" t="s">
        <v>183</v>
      </c>
      <c r="AI72" s="4">
        <f ca="1">data[[#This Row],[Expiry Date]]-TODAY()</f>
        <v>42</v>
      </c>
      <c r="AJ72" s="4">
        <f ca="1">data[[#This Row],[Maturity ( Days)]]/365</f>
        <v>0.11506849315068493</v>
      </c>
      <c r="AK72" s="4" t="str">
        <f>IF(data[[#This Row],[Option Type]]="put","p","c")</f>
        <v>p</v>
      </c>
      <c r="AL72" s="4">
        <f>(data[[#This Row],[Bid]]*data[[#This Row],[Bidsize]]+data[[#This Row],[Ask]]*data[[#This Row],[Asksize]])/(data[[#This Row],[Bidsize]]+data[[#This Row],[Asksize]])</f>
        <v>828.4</v>
      </c>
      <c r="AM72" s="4">
        <f>VALUE(data[[#This Row],[Strike]])</f>
        <v>4800</v>
      </c>
      <c r="AN72" s="5">
        <f ca="1">impliedVol(data[[#This Row],[OptType]],Details!$B$4,VALUE(data[[#This Row],[Strike]]),VALUE(data[[#This Row],[Cnt Price]]),Details!$B$6,data[[#This Row],[T]],Details!$B$7)</f>
        <v>1.887177497783096</v>
      </c>
      <c r="AO72" s="7">
        <f t="array" aca="1" ref="AO72:AS72" ca="1">bsGreeks(data[[#This Row],[OptType]],Details!$B$4,VALUE(data[[#This Row],[Strike]]),Details!$B$6,data[[#This Row],[T]],AN72,Details!$B$7)</f>
        <v>-0.49619907589740331</v>
      </c>
      <c r="AP72" s="7">
        <f ca="1"/>
        <v>1.5837924363063202E-4</v>
      </c>
      <c r="AQ72" s="6">
        <f ca="1"/>
        <v>5.3182648067725813</v>
      </c>
      <c r="AR72" s="6">
        <f ca="1"/>
        <v>-1185.1566364651158</v>
      </c>
      <c r="AS72" s="6">
        <f ca="1"/>
        <v>-405.50274696823175</v>
      </c>
      <c r="AU72" s="60">
        <f ca="1"/>
        <v>1577.9672648915457</v>
      </c>
      <c r="AV72" s="61" t="str">
        <f ca="1"/>
        <v>p</v>
      </c>
      <c r="AW72" s="61">
        <f ca="1"/>
        <v>1.887177497783096</v>
      </c>
      <c r="AX72" s="62">
        <f ca="1"/>
        <v>-0.49619907589740331</v>
      </c>
      <c r="AY72" s="62">
        <f ca="1"/>
        <v>1.5837924363063202E-4</v>
      </c>
      <c r="AZ72" s="62">
        <f ca="1"/>
        <v>5.3182648067725813</v>
      </c>
      <c r="BA72" s="60">
        <f ca="1"/>
        <v>-1185.1566364651158</v>
      </c>
      <c r="BB72" s="60">
        <f ca="1"/>
        <v>-405.50274696823175</v>
      </c>
    </row>
    <row r="73" spans="1:54" x14ac:dyDescent="0.3">
      <c r="A73" t="s">
        <v>511</v>
      </c>
      <c r="B73" t="s">
        <v>512</v>
      </c>
      <c r="C73" t="s">
        <v>29</v>
      </c>
      <c r="D73" t="s">
        <v>84</v>
      </c>
      <c r="E73" t="s">
        <v>84</v>
      </c>
      <c r="F73" t="s">
        <v>153</v>
      </c>
      <c r="G73" t="s">
        <v>1513</v>
      </c>
      <c r="H73" t="s">
        <v>1514</v>
      </c>
      <c r="J73" t="s">
        <v>109</v>
      </c>
      <c r="K73" t="s">
        <v>109</v>
      </c>
      <c r="L73" t="s">
        <v>307</v>
      </c>
      <c r="M73" t="s">
        <v>84</v>
      </c>
      <c r="N73" t="s">
        <v>56</v>
      </c>
      <c r="O73" t="s">
        <v>36</v>
      </c>
      <c r="Q73" t="s">
        <v>84</v>
      </c>
      <c r="V73" t="s">
        <v>49</v>
      </c>
      <c r="X73" t="s">
        <v>84</v>
      </c>
      <c r="Z73" t="s">
        <v>84</v>
      </c>
      <c r="AA73" t="s">
        <v>84</v>
      </c>
      <c r="AB73" t="s">
        <v>36</v>
      </c>
      <c r="AC73" t="s">
        <v>1340</v>
      </c>
      <c r="AD73" t="s">
        <v>36</v>
      </c>
      <c r="AE73" t="s">
        <v>1340</v>
      </c>
      <c r="AF73" t="s">
        <v>86</v>
      </c>
      <c r="AG73" t="s">
        <v>269</v>
      </c>
      <c r="AH73" t="s">
        <v>183</v>
      </c>
      <c r="AI73" s="4">
        <f ca="1">data[[#This Row],[Expiry Date]]-TODAY()</f>
        <v>42</v>
      </c>
      <c r="AJ73" s="4">
        <f ca="1">data[[#This Row],[Maturity ( Days)]]/365</f>
        <v>0.11506849315068493</v>
      </c>
      <c r="AK73" s="4" t="str">
        <f>IF(data[[#This Row],[Option Type]]="put","p","c")</f>
        <v>p</v>
      </c>
      <c r="AL73" s="4">
        <f>(data[[#This Row],[Bid]]*data[[#This Row],[Bidsize]]+data[[#This Row],[Ask]]*data[[#This Row],[Asksize]])/(data[[#This Row],[Bidsize]]+data[[#This Row],[Asksize]])</f>
        <v>1027.7</v>
      </c>
      <c r="AM73" s="4">
        <f>VALUE(data[[#This Row],[Strike]])</f>
        <v>5000</v>
      </c>
      <c r="AN73" s="5">
        <f ca="1">impliedVol(data[[#This Row],[OptType]],Details!$B$4,VALUE(data[[#This Row],[Strike]]),VALUE(data[[#This Row],[Cnt Price]]),Details!$B$6,data[[#This Row],[T]],Details!$B$7)</f>
        <v>1.6650796870269335</v>
      </c>
      <c r="AO73" s="7">
        <f t="array" aca="1" ref="AO73:AS73" ca="1">bsGreeks(data[[#This Row],[OptType]],Details!$B$4,VALUE(data[[#This Row],[Strike]]),Details!$B$6,data[[#This Row],[T]],AN73,Details!$B$7)</f>
        <v>-0.5563965598010302</v>
      </c>
      <c r="AP73" s="7">
        <f ca="1"/>
        <v>1.7771621136429785E-4</v>
      </c>
      <c r="AQ73" s="6">
        <f ca="1"/>
        <v>5.2652744404030898</v>
      </c>
      <c r="AR73" s="6">
        <f ca="1"/>
        <v>-1033.3020404333743</v>
      </c>
      <c r="AS73" s="6">
        <f ca="1"/>
        <v>-436.31953320165411</v>
      </c>
      <c r="AU73" s="60">
        <f ca="1"/>
        <v>1609.5072296125491</v>
      </c>
      <c r="AV73" s="61" t="str">
        <f ca="1"/>
        <v>p</v>
      </c>
      <c r="AW73" s="61">
        <f ca="1"/>
        <v>1.6650796870269335</v>
      </c>
      <c r="AX73" s="62">
        <f ca="1"/>
        <v>-0.5563965598010302</v>
      </c>
      <c r="AY73" s="62">
        <f ca="1"/>
        <v>1.7771621136429785E-4</v>
      </c>
      <c r="AZ73" s="62">
        <f ca="1"/>
        <v>5.2652744404030898</v>
      </c>
      <c r="BA73" s="60">
        <f ca="1"/>
        <v>-1033.3020404333743</v>
      </c>
      <c r="BB73" s="60">
        <f ca="1"/>
        <v>-436.31953320165411</v>
      </c>
    </row>
    <row r="74" spans="1:54" x14ac:dyDescent="0.3">
      <c r="A74" t="s">
        <v>513</v>
      </c>
      <c r="B74" t="s">
        <v>514</v>
      </c>
      <c r="C74" t="s">
        <v>29</v>
      </c>
      <c r="D74" t="s">
        <v>84</v>
      </c>
      <c r="E74" t="s">
        <v>84</v>
      </c>
      <c r="F74" t="s">
        <v>267</v>
      </c>
      <c r="G74" t="s">
        <v>1515</v>
      </c>
      <c r="H74" t="s">
        <v>1516</v>
      </c>
      <c r="J74" t="s">
        <v>109</v>
      </c>
      <c r="K74" t="s">
        <v>109</v>
      </c>
      <c r="L74" t="s">
        <v>307</v>
      </c>
      <c r="M74" t="s">
        <v>84</v>
      </c>
      <c r="N74" t="s">
        <v>56</v>
      </c>
      <c r="O74" t="s">
        <v>36</v>
      </c>
      <c r="Q74" t="s">
        <v>84</v>
      </c>
      <c r="V74" t="s">
        <v>49</v>
      </c>
      <c r="X74" t="s">
        <v>84</v>
      </c>
      <c r="Z74" t="s">
        <v>84</v>
      </c>
      <c r="AA74" t="s">
        <v>84</v>
      </c>
      <c r="AB74" t="s">
        <v>36</v>
      </c>
      <c r="AC74" t="s">
        <v>1340</v>
      </c>
      <c r="AD74" t="s">
        <v>36</v>
      </c>
      <c r="AE74" t="s">
        <v>1340</v>
      </c>
      <c r="AF74" t="s">
        <v>86</v>
      </c>
      <c r="AG74" t="s">
        <v>269</v>
      </c>
      <c r="AH74" t="s">
        <v>183</v>
      </c>
      <c r="AI74" s="4">
        <f ca="1">data[[#This Row],[Expiry Date]]-TODAY()</f>
        <v>42</v>
      </c>
      <c r="AJ74" s="4">
        <f ca="1">data[[#This Row],[Maturity ( Days)]]/365</f>
        <v>0.11506849315068493</v>
      </c>
      <c r="AK74" s="4" t="str">
        <f>IF(data[[#This Row],[Option Type]]="put","p","c")</f>
        <v>p</v>
      </c>
      <c r="AL74" s="4">
        <f>(data[[#This Row],[Bid]]*data[[#This Row],[Bidsize]]+data[[#This Row],[Ask]]*data[[#This Row],[Asksize]])/(data[[#This Row],[Bidsize]]+data[[#This Row],[Asksize]])</f>
        <v>1227.25</v>
      </c>
      <c r="AM74" s="4">
        <f>VALUE(data[[#This Row],[Strike]])</f>
        <v>5200</v>
      </c>
      <c r="AN74" s="5">
        <f ca="1">impliedVol(data[[#This Row],[OptType]],Details!$B$4,VALUE(data[[#This Row],[Strike]]),VALUE(data[[#This Row],[Cnt Price]]),Details!$B$6,data[[#This Row],[T]],Details!$B$7)</f>
        <v>3.1294550716161699E+127</v>
      </c>
      <c r="AO74" s="7">
        <f t="array" aca="1" ref="AO74:AS74" ca="1">bsGreeks(data[[#This Row],[OptType]],Details!$B$4,VALUE(data[[#This Row],[Strike]]),Details!$B$6,data[[#This Row],[T]],AN74,Details!$B$7)</f>
        <v>0</v>
      </c>
      <c r="AP74" s="7">
        <f ca="1"/>
        <v>0</v>
      </c>
      <c r="AQ74" s="6">
        <f ca="1"/>
        <v>0</v>
      </c>
      <c r="AR74" s="6">
        <f ca="1"/>
        <v>14.23019145104988</v>
      </c>
      <c r="AS74" s="6">
        <f ca="1"/>
        <v>-596.98070886251196</v>
      </c>
      <c r="AU74" s="60">
        <f ca="1"/>
        <v>5194.0198796332061</v>
      </c>
      <c r="AV74" s="61" t="str">
        <f ca="1"/>
        <v>p</v>
      </c>
      <c r="AW74" s="61">
        <f ca="1"/>
        <v>3.1294550716161699E+127</v>
      </c>
      <c r="AX74" s="62">
        <f ca="1"/>
        <v>0</v>
      </c>
      <c r="AY74" s="62">
        <f ca="1"/>
        <v>0</v>
      </c>
      <c r="AZ74" s="62">
        <f ca="1"/>
        <v>0</v>
      </c>
      <c r="BA74" s="60">
        <f ca="1"/>
        <v>14.23019145104988</v>
      </c>
      <c r="BB74" s="60">
        <f ca="1"/>
        <v>-596.98070886251196</v>
      </c>
    </row>
    <row r="75" spans="1:54" x14ac:dyDescent="0.3">
      <c r="A75" t="s">
        <v>310</v>
      </c>
      <c r="B75" t="s">
        <v>311</v>
      </c>
      <c r="C75" t="s">
        <v>57</v>
      </c>
      <c r="D75" t="s">
        <v>84</v>
      </c>
      <c r="E75" t="s">
        <v>84</v>
      </c>
      <c r="F75" t="s">
        <v>268</v>
      </c>
      <c r="G75" t="s">
        <v>84</v>
      </c>
      <c r="H75" t="s">
        <v>242</v>
      </c>
      <c r="J75" t="s">
        <v>84</v>
      </c>
      <c r="K75" t="s">
        <v>1226</v>
      </c>
      <c r="L75" t="s">
        <v>307</v>
      </c>
      <c r="M75" t="s">
        <v>84</v>
      </c>
      <c r="N75" t="s">
        <v>56</v>
      </c>
      <c r="O75" t="s">
        <v>36</v>
      </c>
      <c r="Q75" t="s">
        <v>84</v>
      </c>
      <c r="V75" t="s">
        <v>49</v>
      </c>
      <c r="X75" t="s">
        <v>84</v>
      </c>
      <c r="Z75" t="s">
        <v>84</v>
      </c>
      <c r="AA75" t="s">
        <v>84</v>
      </c>
      <c r="AB75" t="s">
        <v>36</v>
      </c>
      <c r="AC75" t="s">
        <v>180</v>
      </c>
      <c r="AD75" t="s">
        <v>36</v>
      </c>
      <c r="AE75" t="s">
        <v>1340</v>
      </c>
      <c r="AF75" t="s">
        <v>86</v>
      </c>
      <c r="AG75" t="s">
        <v>269</v>
      </c>
      <c r="AH75" t="s">
        <v>183</v>
      </c>
      <c r="AI75" s="4">
        <f ca="1">data[[#This Row],[Expiry Date]]-TODAY()</f>
        <v>42</v>
      </c>
      <c r="AJ75" s="4">
        <f ca="1">data[[#This Row],[Maturity ( Days)]]/365</f>
        <v>0.11506849315068493</v>
      </c>
      <c r="AK75" s="4" t="str">
        <f>IF(data[[#This Row],[Option Type]]="put","p","c")</f>
        <v>c</v>
      </c>
      <c r="AL75" s="4">
        <f>(data[[#This Row],[Bid]]*data[[#This Row],[Bidsize]]+data[[#This Row],[Ask]]*data[[#This Row],[Asksize]])/(data[[#This Row],[Bidsize]]+data[[#This Row],[Asksize]])</f>
        <v>0.15</v>
      </c>
      <c r="AM75" s="4">
        <f>VALUE(data[[#This Row],[Strike]])</f>
        <v>5400</v>
      </c>
      <c r="AN75" s="5">
        <f ca="1">impliedVol(data[[#This Row],[OptType]],Details!$B$4,VALUE(data[[#This Row],[Strike]]),VALUE(data[[#This Row],[Cnt Price]]),Details!$B$6,data[[#This Row],[T]],Details!$B$7)</f>
        <v>0.30453308518423378</v>
      </c>
      <c r="AO75" s="7">
        <f t="array" aca="1" ref="AO75:AS75" ca="1">bsGreeks(data[[#This Row],[OptType]],Details!$B$4,VALUE(data[[#This Row],[Strike]]),Details!$B$6,data[[#This Row],[T]],AN75,Details!$B$7)</f>
        <v>1.2933545793908446E-3</v>
      </c>
      <c r="AP75" s="7">
        <f ca="1"/>
        <v>1.0485390482454897E-5</v>
      </c>
      <c r="AQ75" s="6">
        <f ca="1"/>
        <v>5.6816965443353989E-2</v>
      </c>
      <c r="AR75" s="6">
        <f ca="1"/>
        <v>-2.0733696739117313</v>
      </c>
      <c r="AS75" s="6">
        <f ca="1"/>
        <v>0.56764386275449552</v>
      </c>
      <c r="AU75" s="60">
        <f ca="1"/>
        <v>0.14421178565771786</v>
      </c>
      <c r="AV75" s="61" t="str">
        <f ca="1"/>
        <v>c</v>
      </c>
      <c r="AW75" s="61">
        <f ca="1"/>
        <v>0.30453308518423378</v>
      </c>
      <c r="AX75" s="62">
        <f ca="1"/>
        <v>1.2933545793908446E-3</v>
      </c>
      <c r="AY75" s="62">
        <f ca="1"/>
        <v>1.0485390482454897E-5</v>
      </c>
      <c r="AZ75" s="62">
        <f ca="1"/>
        <v>5.6816965443353989E-2</v>
      </c>
      <c r="BA75" s="60">
        <f ca="1"/>
        <v>-2.0733696739117313</v>
      </c>
      <c r="BB75" s="60">
        <f ca="1"/>
        <v>0.56764386275449552</v>
      </c>
    </row>
    <row r="76" spans="1:54" x14ac:dyDescent="0.3">
      <c r="A76" t="s">
        <v>515</v>
      </c>
      <c r="B76" t="s">
        <v>516</v>
      </c>
      <c r="C76" t="s">
        <v>29</v>
      </c>
      <c r="D76" t="s">
        <v>84</v>
      </c>
      <c r="E76" t="s">
        <v>84</v>
      </c>
      <c r="F76" t="s">
        <v>268</v>
      </c>
      <c r="G76" t="s">
        <v>1517</v>
      </c>
      <c r="H76" t="s">
        <v>1518</v>
      </c>
      <c r="J76" t="s">
        <v>109</v>
      </c>
      <c r="K76" t="s">
        <v>109</v>
      </c>
      <c r="L76" t="s">
        <v>307</v>
      </c>
      <c r="M76" t="s">
        <v>84</v>
      </c>
      <c r="N76" t="s">
        <v>56</v>
      </c>
      <c r="O76" t="s">
        <v>36</v>
      </c>
      <c r="Q76" t="s">
        <v>84</v>
      </c>
      <c r="V76" t="s">
        <v>49</v>
      </c>
      <c r="X76" t="s">
        <v>84</v>
      </c>
      <c r="Z76" t="s">
        <v>84</v>
      </c>
      <c r="AA76" t="s">
        <v>84</v>
      </c>
      <c r="AB76" t="s">
        <v>36</v>
      </c>
      <c r="AC76" t="s">
        <v>1340</v>
      </c>
      <c r="AD76" t="s">
        <v>36</v>
      </c>
      <c r="AE76" t="s">
        <v>1340</v>
      </c>
      <c r="AF76" t="s">
        <v>86</v>
      </c>
      <c r="AG76" t="s">
        <v>269</v>
      </c>
      <c r="AH76" t="s">
        <v>183</v>
      </c>
      <c r="AI76" s="4">
        <f ca="1">data[[#This Row],[Expiry Date]]-TODAY()</f>
        <v>42</v>
      </c>
      <c r="AJ76" s="4">
        <f ca="1">data[[#This Row],[Maturity ( Days)]]/365</f>
        <v>0.11506849315068493</v>
      </c>
      <c r="AK76" s="4" t="str">
        <f>IF(data[[#This Row],[Option Type]]="put","p","c")</f>
        <v>p</v>
      </c>
      <c r="AL76" s="4">
        <f>(data[[#This Row],[Bid]]*data[[#This Row],[Bidsize]]+data[[#This Row],[Ask]]*data[[#This Row],[Asksize]])/(data[[#This Row],[Bidsize]]+data[[#This Row],[Asksize]])</f>
        <v>1426.95</v>
      </c>
      <c r="AM76" s="4">
        <f>VALUE(data[[#This Row],[Strike]])</f>
        <v>5400</v>
      </c>
      <c r="AN76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76" s="7" t="str">
        <f t="array" aca="1" ref="AO76:AS76" ca="1">bsGreeks(data[[#This Row],[OptType]],Details!$B$4,VALUE(data[[#This Row],[Strike]]),Details!$B$6,data[[#This Row],[T]],AN76,Details!$B$7)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76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76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76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76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76" s="60">
        <f ca="1"/>
        <v>0</v>
      </c>
      <c r="AV76" s="61" t="str">
        <f ca="1"/>
        <v>p</v>
      </c>
      <c r="AW76" s="61" t="str">
        <f ca="1"/>
        <v>Calculation Error : Vega is Zero</v>
      </c>
      <c r="AX76" s="62">
        <f ca="1"/>
        <v>0</v>
      </c>
      <c r="AY76" s="62">
        <f ca="1"/>
        <v>0</v>
      </c>
      <c r="AZ76" s="62">
        <f ca="1"/>
        <v>0</v>
      </c>
      <c r="BA76" s="60">
        <f ca="1"/>
        <v>0</v>
      </c>
      <c r="BB76" s="60">
        <f ca="1"/>
        <v>0</v>
      </c>
    </row>
    <row r="77" spans="1:54" x14ac:dyDescent="0.3">
      <c r="A77" t="s">
        <v>317</v>
      </c>
      <c r="B77" t="s">
        <v>318</v>
      </c>
      <c r="C77" t="s">
        <v>29</v>
      </c>
      <c r="D77" t="s">
        <v>85</v>
      </c>
      <c r="E77" t="s">
        <v>84</v>
      </c>
      <c r="F77" t="s">
        <v>149</v>
      </c>
      <c r="G77" t="s">
        <v>239</v>
      </c>
      <c r="H77" t="s">
        <v>924</v>
      </c>
      <c r="I77" t="s">
        <v>924</v>
      </c>
      <c r="J77" t="s">
        <v>1391</v>
      </c>
      <c r="K77" t="s">
        <v>1336</v>
      </c>
      <c r="L77" t="s">
        <v>307</v>
      </c>
      <c r="M77" t="s">
        <v>84</v>
      </c>
      <c r="N77" t="s">
        <v>56</v>
      </c>
      <c r="O77" t="s">
        <v>36</v>
      </c>
      <c r="P77" t="s">
        <v>84</v>
      </c>
      <c r="Q77" t="s">
        <v>84</v>
      </c>
      <c r="V77" t="s">
        <v>49</v>
      </c>
      <c r="W77" t="s">
        <v>84</v>
      </c>
      <c r="X77" t="s">
        <v>1156</v>
      </c>
      <c r="Y77" t="s">
        <v>924</v>
      </c>
      <c r="Z77" t="s">
        <v>84</v>
      </c>
      <c r="AA77" t="s">
        <v>84</v>
      </c>
      <c r="AB77" t="s">
        <v>36</v>
      </c>
      <c r="AC77" t="s">
        <v>1340</v>
      </c>
      <c r="AD77" t="s">
        <v>36</v>
      </c>
      <c r="AE77" t="s">
        <v>1340</v>
      </c>
      <c r="AF77" t="s">
        <v>86</v>
      </c>
      <c r="AG77" t="s">
        <v>269</v>
      </c>
      <c r="AH77" t="s">
        <v>183</v>
      </c>
      <c r="AI77" s="4">
        <f ca="1">data[[#This Row],[Expiry Date]]-TODAY()</f>
        <v>42</v>
      </c>
      <c r="AJ77" s="4">
        <f ca="1">data[[#This Row],[Maturity ( Days)]]/365</f>
        <v>0.11506849315068493</v>
      </c>
      <c r="AK77" s="4" t="str">
        <f>IF(data[[#This Row],[Option Type]]="put","p","c")</f>
        <v>p</v>
      </c>
      <c r="AL77" s="4">
        <f>(data[[#This Row],[Bid]]*data[[#This Row],[Bidsize]]+data[[#This Row],[Ask]]*data[[#This Row],[Asksize]])/(data[[#This Row],[Bidsize]]+data[[#This Row],[Asksize]])</f>
        <v>0.19868995633187772</v>
      </c>
      <c r="AM77" s="4">
        <f>VALUE(data[[#This Row],[Strike]])</f>
        <v>1400</v>
      </c>
      <c r="AN77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77" s="7" t="str">
        <f t="array" aca="1" ref="AO77:AS77" ca="1">bsGreeks(data[[#This Row],[OptType]],Details!$B$4,VALUE(data[[#This Row],[Strike]]),Details!$B$6,data[[#This Row],[T]],AN77,Details!$B$7)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77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77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77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77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77" s="60">
        <f ca="1"/>
        <v>0</v>
      </c>
      <c r="AV77" s="61" t="str">
        <f ca="1"/>
        <v>p</v>
      </c>
      <c r="AW77" s="61" t="str">
        <f ca="1"/>
        <v>Calculation Error : Vega is Zero</v>
      </c>
      <c r="AX77" s="62">
        <f ca="1"/>
        <v>0</v>
      </c>
      <c r="AY77" s="62">
        <f ca="1"/>
        <v>0</v>
      </c>
      <c r="AZ77" s="62">
        <f ca="1"/>
        <v>0</v>
      </c>
      <c r="BA77" s="60">
        <f ca="1"/>
        <v>0</v>
      </c>
      <c r="BB77" s="60">
        <f ca="1"/>
        <v>0</v>
      </c>
    </row>
    <row r="78" spans="1:54" x14ac:dyDescent="0.3">
      <c r="A78" t="s">
        <v>1174</v>
      </c>
      <c r="B78" t="s">
        <v>1175</v>
      </c>
      <c r="C78" t="s">
        <v>29</v>
      </c>
      <c r="D78" t="s">
        <v>85</v>
      </c>
      <c r="E78" t="s">
        <v>84</v>
      </c>
      <c r="F78" t="s">
        <v>1113</v>
      </c>
      <c r="G78" t="s">
        <v>1361</v>
      </c>
      <c r="H78" t="s">
        <v>1097</v>
      </c>
      <c r="I78" t="s">
        <v>1141</v>
      </c>
      <c r="J78" t="s">
        <v>105</v>
      </c>
      <c r="K78" t="s">
        <v>907</v>
      </c>
      <c r="L78" t="s">
        <v>307</v>
      </c>
      <c r="M78" t="s">
        <v>84</v>
      </c>
      <c r="N78" t="s">
        <v>56</v>
      </c>
      <c r="O78" t="s">
        <v>36</v>
      </c>
      <c r="P78" t="s">
        <v>84</v>
      </c>
      <c r="Q78" t="s">
        <v>84</v>
      </c>
      <c r="V78" t="s">
        <v>49</v>
      </c>
      <c r="W78" t="s">
        <v>84</v>
      </c>
      <c r="X78" t="s">
        <v>1105</v>
      </c>
      <c r="Y78" t="s">
        <v>1141</v>
      </c>
      <c r="Z78" t="s">
        <v>84</v>
      </c>
      <c r="AA78" t="s">
        <v>84</v>
      </c>
      <c r="AB78" t="s">
        <v>36</v>
      </c>
      <c r="AC78" t="s">
        <v>1340</v>
      </c>
      <c r="AD78" t="s">
        <v>36</v>
      </c>
      <c r="AE78" t="s">
        <v>1340</v>
      </c>
      <c r="AF78" t="s">
        <v>86</v>
      </c>
      <c r="AG78" t="s">
        <v>269</v>
      </c>
      <c r="AH78" t="s">
        <v>183</v>
      </c>
      <c r="AI78" s="4">
        <f ca="1">data[[#This Row],[Expiry Date]]-TODAY()</f>
        <v>42</v>
      </c>
      <c r="AJ78" s="4">
        <f ca="1">data[[#This Row],[Maturity ( Days)]]/365</f>
        <v>0.11506849315068493</v>
      </c>
      <c r="AK78" s="4" t="str">
        <f>IF(data[[#This Row],[Option Type]]="put","p","c")</f>
        <v>p</v>
      </c>
      <c r="AL78" s="4">
        <f>(data[[#This Row],[Bid]]*data[[#This Row],[Bidsize]]+data[[#This Row],[Ask]]*data[[#This Row],[Asksize]])/(data[[#This Row],[Bidsize]]+data[[#This Row],[Asksize]])</f>
        <v>41.033333333333339</v>
      </c>
      <c r="AM78" s="4">
        <f>VALUE(data[[#This Row],[Strike]])</f>
        <v>3575</v>
      </c>
      <c r="AN78" s="5">
        <f ca="1">impliedVol(data[[#This Row],[OptType]],Details!$B$4,VALUE(data[[#This Row],[Strike]]),VALUE(data[[#This Row],[Cnt Price]]),Details!$B$6,data[[#This Row],[T]],Details!$B$7)</f>
        <v>0.31932274475606193</v>
      </c>
      <c r="AO78" s="7">
        <f t="array" aca="1" ref="AO78:AS78" ca="1">bsGreeks(data[[#This Row],[OptType]],Details!$B$4,VALUE(data[[#This Row],[Strike]]),Details!$B$6,data[[#This Row],[T]],AN78,Details!$B$7)</f>
        <v>-0.17386645512957644</v>
      </c>
      <c r="AP78" s="7">
        <f ca="1"/>
        <v>6.0233667900332695E-4</v>
      </c>
      <c r="AQ78" s="6">
        <f ca="1"/>
        <v>3.4223790410327291</v>
      </c>
      <c r="AR78" s="6">
        <f ca="1"/>
        <v>-128.11364521899836</v>
      </c>
      <c r="AS78" s="6">
        <f ca="1"/>
        <v>-83.348282878950684</v>
      </c>
      <c r="AU78" s="60">
        <f ca="1"/>
        <v>41.861152451790076</v>
      </c>
      <c r="AV78" s="61" t="str">
        <f ca="1"/>
        <v>p</v>
      </c>
      <c r="AW78" s="61">
        <f ca="1"/>
        <v>0.31932274475606193</v>
      </c>
      <c r="AX78" s="62">
        <f ca="1"/>
        <v>-0.17386645512957644</v>
      </c>
      <c r="AY78" s="62">
        <f ca="1"/>
        <v>6.0233667900332695E-4</v>
      </c>
      <c r="AZ78" s="62">
        <f ca="1"/>
        <v>3.4223790410327291</v>
      </c>
      <c r="BA78" s="60">
        <f ca="1"/>
        <v>-128.11364521899836</v>
      </c>
      <c r="BB78" s="60">
        <f ca="1"/>
        <v>-83.348282878950684</v>
      </c>
    </row>
    <row r="79" spans="1:54" x14ac:dyDescent="0.3">
      <c r="A79" t="s">
        <v>1178</v>
      </c>
      <c r="B79" t="s">
        <v>1179</v>
      </c>
      <c r="C79" t="s">
        <v>29</v>
      </c>
      <c r="D79" t="s">
        <v>94</v>
      </c>
      <c r="E79" t="s">
        <v>84</v>
      </c>
      <c r="F79" t="s">
        <v>1116</v>
      </c>
      <c r="G79" t="s">
        <v>146</v>
      </c>
      <c r="H79" t="s">
        <v>1002</v>
      </c>
      <c r="I79" t="s">
        <v>1237</v>
      </c>
      <c r="J79" t="s">
        <v>105</v>
      </c>
      <c r="K79" t="s">
        <v>91</v>
      </c>
      <c r="L79" t="s">
        <v>307</v>
      </c>
      <c r="M79" t="s">
        <v>84</v>
      </c>
      <c r="N79" t="s">
        <v>56</v>
      </c>
      <c r="O79" t="s">
        <v>36</v>
      </c>
      <c r="P79" t="s">
        <v>84</v>
      </c>
      <c r="Q79" t="s">
        <v>84</v>
      </c>
      <c r="V79" t="s">
        <v>49</v>
      </c>
      <c r="W79" t="s">
        <v>84</v>
      </c>
      <c r="X79" t="s">
        <v>1105</v>
      </c>
      <c r="Y79" t="s">
        <v>1237</v>
      </c>
      <c r="Z79" t="s">
        <v>84</v>
      </c>
      <c r="AA79" t="s">
        <v>84</v>
      </c>
      <c r="AB79" t="s">
        <v>36</v>
      </c>
      <c r="AC79" t="s">
        <v>1340</v>
      </c>
      <c r="AD79" t="s">
        <v>36</v>
      </c>
      <c r="AE79" t="s">
        <v>1340</v>
      </c>
      <c r="AF79" t="s">
        <v>86</v>
      </c>
      <c r="AG79" t="s">
        <v>269</v>
      </c>
      <c r="AH79" t="s">
        <v>183</v>
      </c>
      <c r="AI79" s="4">
        <f ca="1">data[[#This Row],[Expiry Date]]-TODAY()</f>
        <v>42</v>
      </c>
      <c r="AJ79" s="4">
        <f ca="1">data[[#This Row],[Maturity ( Days)]]/365</f>
        <v>0.11506849315068493</v>
      </c>
      <c r="AK79" s="4" t="str">
        <f>IF(data[[#This Row],[Option Type]]="put","p","c")</f>
        <v>p</v>
      </c>
      <c r="AL79" s="4">
        <f>(data[[#This Row],[Bid]]*data[[#This Row],[Bidsize]]+data[[#This Row],[Ask]]*data[[#This Row],[Asksize]])/(data[[#This Row],[Bidsize]]+data[[#This Row],[Asksize]])</f>
        <v>49.577777777777776</v>
      </c>
      <c r="AM79" s="4">
        <f>VALUE(data[[#This Row],[Strike]])</f>
        <v>3630</v>
      </c>
      <c r="AN79" s="5">
        <f ca="1">impliedVol(data[[#This Row],[OptType]],Details!$B$4,VALUE(data[[#This Row],[Strike]]),VALUE(data[[#This Row],[Cnt Price]]),Details!$B$6,data[[#This Row],[T]],Details!$B$7)</f>
        <v>0.30995196310223061</v>
      </c>
      <c r="AO79" s="7">
        <f t="array" aca="1" ref="AO79:AS79" ca="1">bsGreeks(data[[#This Row],[OptType]],Details!$B$4,VALUE(data[[#This Row],[Strike]]),Details!$B$6,data[[#This Row],[T]],AN79,Details!$B$7)</f>
        <v>-0.20640794549023911</v>
      </c>
      <c r="AP79" s="7">
        <f ca="1"/>
        <v>6.8960564820530186E-4</v>
      </c>
      <c r="AQ79" s="6">
        <f ca="1"/>
        <v>3.8032436170996915</v>
      </c>
      <c r="AR79" s="6">
        <f ca="1"/>
        <v>-137.97506014588842</v>
      </c>
      <c r="AS79" s="6">
        <f ca="1"/>
        <v>-99.047562117443078</v>
      </c>
      <c r="AU79" s="60">
        <f ca="1"/>
        <v>50.56178759657314</v>
      </c>
      <c r="AV79" s="61" t="str">
        <f ca="1"/>
        <v>p</v>
      </c>
      <c r="AW79" s="61">
        <f ca="1"/>
        <v>0.30995196310223061</v>
      </c>
      <c r="AX79" s="62">
        <f ca="1"/>
        <v>-0.20640794549023911</v>
      </c>
      <c r="AY79" s="62">
        <f ca="1"/>
        <v>6.8960564820530186E-4</v>
      </c>
      <c r="AZ79" s="62">
        <f ca="1"/>
        <v>3.8032436170996915</v>
      </c>
      <c r="BA79" s="60">
        <f ca="1"/>
        <v>-137.97506014588842</v>
      </c>
      <c r="BB79" s="60">
        <f ca="1"/>
        <v>-99.047562117443078</v>
      </c>
    </row>
    <row r="80" spans="1:54" x14ac:dyDescent="0.3">
      <c r="A80" t="s">
        <v>1181</v>
      </c>
      <c r="B80" t="s">
        <v>1182</v>
      </c>
      <c r="C80" t="s">
        <v>29</v>
      </c>
      <c r="D80" t="s">
        <v>1098</v>
      </c>
      <c r="E80" t="s">
        <v>84</v>
      </c>
      <c r="F80" t="s">
        <v>1119</v>
      </c>
      <c r="G80" t="s">
        <v>1359</v>
      </c>
      <c r="H80" t="s">
        <v>1519</v>
      </c>
      <c r="I80" t="s">
        <v>1239</v>
      </c>
      <c r="J80" t="s">
        <v>105</v>
      </c>
      <c r="K80" t="s">
        <v>91</v>
      </c>
      <c r="L80" t="s">
        <v>307</v>
      </c>
      <c r="M80" t="s">
        <v>84</v>
      </c>
      <c r="N80" t="s">
        <v>56</v>
      </c>
      <c r="O80" t="s">
        <v>36</v>
      </c>
      <c r="P80" t="s">
        <v>84</v>
      </c>
      <c r="Q80" t="s">
        <v>84</v>
      </c>
      <c r="V80" t="s">
        <v>49</v>
      </c>
      <c r="W80" t="s">
        <v>84</v>
      </c>
      <c r="X80" t="s">
        <v>1105</v>
      </c>
      <c r="Y80" t="s">
        <v>1239</v>
      </c>
      <c r="Z80" t="s">
        <v>84</v>
      </c>
      <c r="AA80" t="s">
        <v>84</v>
      </c>
      <c r="AB80" t="s">
        <v>36</v>
      </c>
      <c r="AC80" t="s">
        <v>1340</v>
      </c>
      <c r="AD80" t="s">
        <v>36</v>
      </c>
      <c r="AE80" t="s">
        <v>1340</v>
      </c>
      <c r="AF80" t="s">
        <v>86</v>
      </c>
      <c r="AG80" t="s">
        <v>269</v>
      </c>
      <c r="AH80" t="s">
        <v>183</v>
      </c>
      <c r="AI80" s="4">
        <f ca="1">data[[#This Row],[Expiry Date]]-TODAY()</f>
        <v>42</v>
      </c>
      <c r="AJ80" s="4">
        <f ca="1">data[[#This Row],[Maturity ( Days)]]/365</f>
        <v>0.11506849315068493</v>
      </c>
      <c r="AK80" s="4" t="str">
        <f>IF(data[[#This Row],[Option Type]]="put","p","c")</f>
        <v>p</v>
      </c>
      <c r="AL80" s="4">
        <f>(data[[#This Row],[Bid]]*data[[#This Row],[Bidsize]]+data[[#This Row],[Ask]]*data[[#This Row],[Asksize]])/(data[[#This Row],[Bidsize]]+data[[#This Row],[Asksize]])</f>
        <v>51.305555555555557</v>
      </c>
      <c r="AM80" s="4">
        <f>VALUE(data[[#This Row],[Strike]])</f>
        <v>3640</v>
      </c>
      <c r="AN80" s="5">
        <f ca="1">impliedVol(data[[#This Row],[OptType]],Details!$B$4,VALUE(data[[#This Row],[Strike]]),VALUE(data[[#This Row],[Cnt Price]]),Details!$B$6,data[[#This Row],[T]],Details!$B$7)</f>
        <v>0.30826081730860599</v>
      </c>
      <c r="AO80" s="7">
        <f t="array" aca="1" ref="AO80:AS80" ca="1">bsGreeks(data[[#This Row],[OptType]],Details!$B$4,VALUE(data[[#This Row],[Strike]]),Details!$B$6,data[[#This Row],[T]],AN80,Details!$B$7)</f>
        <v>-0.21285411507404794</v>
      </c>
      <c r="AP80" s="7">
        <f ca="1"/>
        <v>7.0604394998380771E-4</v>
      </c>
      <c r="AQ80" s="6">
        <f ca="1"/>
        <v>3.8726567499794897</v>
      </c>
      <c r="AR80" s="6">
        <f ca="1"/>
        <v>-139.68244178014058</v>
      </c>
      <c r="AS80" s="6">
        <f ca="1"/>
        <v>-102.16149640071137</v>
      </c>
      <c r="AU80" s="60">
        <f ca="1"/>
        <v>52.320554451580847</v>
      </c>
      <c r="AV80" s="61" t="str">
        <f ca="1"/>
        <v>p</v>
      </c>
      <c r="AW80" s="61">
        <f ca="1"/>
        <v>0.30826081730860599</v>
      </c>
      <c r="AX80" s="62">
        <f ca="1"/>
        <v>-0.21285411507404794</v>
      </c>
      <c r="AY80" s="62">
        <f ca="1"/>
        <v>7.0604394998380771E-4</v>
      </c>
      <c r="AZ80" s="62">
        <f ca="1"/>
        <v>3.8726567499794897</v>
      </c>
      <c r="BA80" s="60">
        <f ca="1"/>
        <v>-139.68244178014058</v>
      </c>
      <c r="BB80" s="60">
        <f ca="1"/>
        <v>-102.16149640071137</v>
      </c>
    </row>
    <row r="81" spans="1:54" x14ac:dyDescent="0.3">
      <c r="A81" t="s">
        <v>388</v>
      </c>
      <c r="B81" t="s">
        <v>389</v>
      </c>
      <c r="C81" t="s">
        <v>57</v>
      </c>
      <c r="D81" t="s">
        <v>117</v>
      </c>
      <c r="E81" t="s">
        <v>84</v>
      </c>
      <c r="F81" t="s">
        <v>262</v>
      </c>
      <c r="G81" t="s">
        <v>1520</v>
      </c>
      <c r="H81" t="s">
        <v>1341</v>
      </c>
      <c r="I81" t="s">
        <v>294</v>
      </c>
      <c r="J81" t="s">
        <v>98</v>
      </c>
      <c r="K81" t="s">
        <v>98</v>
      </c>
      <c r="L81" t="s">
        <v>307</v>
      </c>
      <c r="M81" t="s">
        <v>84</v>
      </c>
      <c r="N81" t="s">
        <v>56</v>
      </c>
      <c r="O81" t="s">
        <v>36</v>
      </c>
      <c r="P81" t="s">
        <v>84</v>
      </c>
      <c r="Q81" t="s">
        <v>84</v>
      </c>
      <c r="V81" t="s">
        <v>49</v>
      </c>
      <c r="W81" t="s">
        <v>84</v>
      </c>
      <c r="X81" t="s">
        <v>1105</v>
      </c>
      <c r="Y81" t="s">
        <v>294</v>
      </c>
      <c r="Z81" t="s">
        <v>84</v>
      </c>
      <c r="AA81" t="s">
        <v>84</v>
      </c>
      <c r="AB81" t="s">
        <v>36</v>
      </c>
      <c r="AC81" t="s">
        <v>1340</v>
      </c>
      <c r="AD81" t="s">
        <v>36</v>
      </c>
      <c r="AE81" t="s">
        <v>1340</v>
      </c>
      <c r="AF81" t="s">
        <v>86</v>
      </c>
      <c r="AG81" t="s">
        <v>269</v>
      </c>
      <c r="AH81" t="s">
        <v>183</v>
      </c>
      <c r="AI81" s="4">
        <f ca="1">data[[#This Row],[Expiry Date]]-TODAY()</f>
        <v>42</v>
      </c>
      <c r="AJ81" s="4">
        <f ca="1">data[[#This Row],[Maturity ( Days)]]/365</f>
        <v>0.11506849315068493</v>
      </c>
      <c r="AK81" s="4" t="str">
        <f>IF(data[[#This Row],[Option Type]]="put","p","c")</f>
        <v>c</v>
      </c>
      <c r="AL81" s="4">
        <f>(data[[#This Row],[Bid]]*data[[#This Row],[Bidsize]]+data[[#This Row],[Ask]]*data[[#This Row],[Asksize]])/(data[[#This Row],[Bidsize]]+data[[#This Row],[Asksize]])</f>
        <v>251.54999999999998</v>
      </c>
      <c r="AM81" s="4">
        <f>VALUE(data[[#This Row],[Strike]])</f>
        <v>3810</v>
      </c>
      <c r="AN81" s="5">
        <f ca="1">impliedVol(data[[#This Row],[OptType]],Details!$B$4,VALUE(data[[#This Row],[Strike]]),VALUE(data[[#This Row],[Cnt Price]]),Details!$B$6,data[[#This Row],[T]],Details!$B$7)</f>
        <v>0.34399291499182838</v>
      </c>
      <c r="AO81" s="7">
        <f t="array" aca="1" ref="AO81:AS81" ca="1">bsGreeks(data[[#This Row],[OptType]],Details!$B$4,VALUE(data[[#This Row],[Strike]]),Details!$B$6,data[[#This Row],[T]],AN81,Details!$B$7)</f>
        <v>0.63086014940645008</v>
      </c>
      <c r="AP81" s="7">
        <f ca="1"/>
        <v>8.2174666634982215E-4</v>
      </c>
      <c r="AQ81" s="6">
        <f ca="1"/>
        <v>5.0297499213609358</v>
      </c>
      <c r="AR81" s="6">
        <f ca="1"/>
        <v>-212.08655200820849</v>
      </c>
      <c r="AS81" s="6">
        <f ca="1"/>
        <v>256.34835273626595</v>
      </c>
      <c r="AU81" s="60">
        <f ca="1"/>
        <v>248.97664108282288</v>
      </c>
      <c r="AV81" s="61" t="str">
        <f ca="1"/>
        <v>c</v>
      </c>
      <c r="AW81" s="61">
        <f ca="1"/>
        <v>0.34399291499182838</v>
      </c>
      <c r="AX81" s="62">
        <f ca="1"/>
        <v>0.63086014940645008</v>
      </c>
      <c r="AY81" s="62">
        <f ca="1"/>
        <v>8.2174666634982215E-4</v>
      </c>
      <c r="AZ81" s="62">
        <f ca="1"/>
        <v>5.0297499213609358</v>
      </c>
      <c r="BA81" s="60">
        <f ca="1"/>
        <v>-212.08655200820849</v>
      </c>
      <c r="BB81" s="60">
        <f ca="1"/>
        <v>256.34835273626595</v>
      </c>
    </row>
    <row r="82" spans="1:54" x14ac:dyDescent="0.3">
      <c r="A82" t="s">
        <v>392</v>
      </c>
      <c r="B82" t="s">
        <v>393</v>
      </c>
      <c r="C82" t="s">
        <v>57</v>
      </c>
      <c r="D82" t="s">
        <v>117</v>
      </c>
      <c r="E82" t="s">
        <v>84</v>
      </c>
      <c r="F82" t="s">
        <v>263</v>
      </c>
      <c r="G82" t="s">
        <v>1521</v>
      </c>
      <c r="H82" t="s">
        <v>1408</v>
      </c>
      <c r="I82" t="s">
        <v>1240</v>
      </c>
      <c r="J82" t="s">
        <v>117</v>
      </c>
      <c r="K82" t="s">
        <v>117</v>
      </c>
      <c r="L82" t="s">
        <v>307</v>
      </c>
      <c r="M82" t="s">
        <v>84</v>
      </c>
      <c r="N82" t="s">
        <v>56</v>
      </c>
      <c r="O82" t="s">
        <v>36</v>
      </c>
      <c r="P82" t="s">
        <v>84</v>
      </c>
      <c r="Q82" t="s">
        <v>84</v>
      </c>
      <c r="V82" t="s">
        <v>49</v>
      </c>
      <c r="W82" t="s">
        <v>84</v>
      </c>
      <c r="X82" t="s">
        <v>1105</v>
      </c>
      <c r="Y82" t="s">
        <v>1240</v>
      </c>
      <c r="Z82" t="s">
        <v>84</v>
      </c>
      <c r="AA82" t="s">
        <v>84</v>
      </c>
      <c r="AB82" t="s">
        <v>36</v>
      </c>
      <c r="AC82" t="s">
        <v>1340</v>
      </c>
      <c r="AD82" t="s">
        <v>36</v>
      </c>
      <c r="AE82" t="s">
        <v>1340</v>
      </c>
      <c r="AF82" t="s">
        <v>86</v>
      </c>
      <c r="AG82" t="s">
        <v>269</v>
      </c>
      <c r="AH82" t="s">
        <v>183</v>
      </c>
      <c r="AI82" s="4">
        <f ca="1">data[[#This Row],[Expiry Date]]-TODAY()</f>
        <v>42</v>
      </c>
      <c r="AJ82" s="4">
        <f ca="1">data[[#This Row],[Maturity ( Days)]]/365</f>
        <v>0.11506849315068493</v>
      </c>
      <c r="AK82" s="4" t="str">
        <f>IF(data[[#This Row],[Option Type]]="put","p","c")</f>
        <v>c</v>
      </c>
      <c r="AL82" s="4">
        <f>(data[[#This Row],[Bid]]*data[[#This Row],[Bidsize]]+data[[#This Row],[Ask]]*data[[#This Row],[Asksize]])/(data[[#This Row],[Bidsize]]+data[[#This Row],[Asksize]])</f>
        <v>244.54999999999998</v>
      </c>
      <c r="AM82" s="4">
        <f>VALUE(data[[#This Row],[Strike]])</f>
        <v>3820</v>
      </c>
      <c r="AN82" s="5">
        <f ca="1">impliedVol(data[[#This Row],[OptType]],Details!$B$4,VALUE(data[[#This Row],[Strike]]),VALUE(data[[#This Row],[Cnt Price]]),Details!$B$6,data[[#This Row],[T]],Details!$B$7)</f>
        <v>0.34169930274486937</v>
      </c>
      <c r="AO82" s="7">
        <f t="array" aca="1" ref="AO82:AS82" ca="1">bsGreeks(data[[#This Row],[OptType]],Details!$B$4,VALUE(data[[#This Row],[Strike]]),Details!$B$6,data[[#This Row],[T]],AN82,Details!$B$7)</f>
        <v>0.62285214636229336</v>
      </c>
      <c r="AP82" s="7">
        <f ca="1"/>
        <v>8.329436602285648E-4</v>
      </c>
      <c r="AQ82" s="6">
        <f ca="1"/>
        <v>5.0642911240947646</v>
      </c>
      <c r="AR82" s="6">
        <f ca="1"/>
        <v>-212.05114364220262</v>
      </c>
      <c r="AS82" s="6">
        <f ca="1"/>
        <v>253.5323991476447</v>
      </c>
      <c r="AU82" s="60">
        <f ca="1"/>
        <v>242.00470183792186</v>
      </c>
      <c r="AV82" s="61" t="str">
        <f ca="1"/>
        <v>c</v>
      </c>
      <c r="AW82" s="61">
        <f ca="1"/>
        <v>0.34169930274486937</v>
      </c>
      <c r="AX82" s="62">
        <f ca="1"/>
        <v>0.62285214636229336</v>
      </c>
      <c r="AY82" s="62">
        <f ca="1"/>
        <v>8.329436602285648E-4</v>
      </c>
      <c r="AZ82" s="62">
        <f ca="1"/>
        <v>5.0642911240947646</v>
      </c>
      <c r="BA82" s="60">
        <f ca="1"/>
        <v>-212.05114364220262</v>
      </c>
      <c r="BB82" s="60">
        <f ca="1"/>
        <v>253.5323991476447</v>
      </c>
    </row>
    <row r="83" spans="1:54" x14ac:dyDescent="0.3">
      <c r="A83" t="s">
        <v>406</v>
      </c>
      <c r="B83" t="s">
        <v>407</v>
      </c>
      <c r="C83" t="s">
        <v>57</v>
      </c>
      <c r="D83" t="s">
        <v>85</v>
      </c>
      <c r="E83" t="s">
        <v>84</v>
      </c>
      <c r="F83" t="s">
        <v>256</v>
      </c>
      <c r="G83" t="s">
        <v>949</v>
      </c>
      <c r="H83" t="s">
        <v>1522</v>
      </c>
      <c r="I83" t="s">
        <v>1241</v>
      </c>
      <c r="J83" t="s">
        <v>100</v>
      </c>
      <c r="K83" t="s">
        <v>100</v>
      </c>
      <c r="L83" t="s">
        <v>307</v>
      </c>
      <c r="M83" t="s">
        <v>84</v>
      </c>
      <c r="N83" t="s">
        <v>56</v>
      </c>
      <c r="O83" t="s">
        <v>36</v>
      </c>
      <c r="P83" t="s">
        <v>84</v>
      </c>
      <c r="Q83" t="s">
        <v>84</v>
      </c>
      <c r="V83" t="s">
        <v>49</v>
      </c>
      <c r="W83" t="s">
        <v>84</v>
      </c>
      <c r="X83" t="s">
        <v>1105</v>
      </c>
      <c r="Y83" t="s">
        <v>1241</v>
      </c>
      <c r="Z83" t="s">
        <v>84</v>
      </c>
      <c r="AA83" t="s">
        <v>84</v>
      </c>
      <c r="AB83" t="s">
        <v>36</v>
      </c>
      <c r="AC83" t="s">
        <v>1340</v>
      </c>
      <c r="AD83" t="s">
        <v>36</v>
      </c>
      <c r="AE83" t="s">
        <v>1340</v>
      </c>
      <c r="AF83" t="s">
        <v>86</v>
      </c>
      <c r="AG83" t="s">
        <v>269</v>
      </c>
      <c r="AH83" t="s">
        <v>183</v>
      </c>
      <c r="AI83" s="4">
        <f ca="1">data[[#This Row],[Expiry Date]]-TODAY()</f>
        <v>42</v>
      </c>
      <c r="AJ83" s="4">
        <f ca="1">data[[#This Row],[Maturity ( Days)]]/365</f>
        <v>0.11506849315068493</v>
      </c>
      <c r="AK83" s="4" t="str">
        <f>IF(data[[#This Row],[Option Type]]="put","p","c")</f>
        <v>c</v>
      </c>
      <c r="AL83" s="4">
        <f>(data[[#This Row],[Bid]]*data[[#This Row],[Bidsize]]+data[[#This Row],[Ask]]*data[[#This Row],[Asksize]])/(data[[#This Row],[Bidsize]]+data[[#This Row],[Asksize]])</f>
        <v>210.85</v>
      </c>
      <c r="AM83" s="4">
        <f>VALUE(data[[#This Row],[Strike]])</f>
        <v>3870</v>
      </c>
      <c r="AN83" s="5">
        <f ca="1">impliedVol(data[[#This Row],[OptType]],Details!$B$4,VALUE(data[[#This Row],[Strike]]),VALUE(data[[#This Row],[Cnt Price]]),Details!$B$6,data[[#This Row],[T]],Details!$B$7)</f>
        <v>0.33060379199267875</v>
      </c>
      <c r="AO83" s="7">
        <f t="array" aca="1" ref="AO83:AS83" ca="1">bsGreeks(data[[#This Row],[OptType]],Details!$B$4,VALUE(data[[#This Row],[Strike]]),Details!$B$6,data[[#This Row],[T]],AN83,Details!$B$7)</f>
        <v>0.58070647812424137</v>
      </c>
      <c r="AP83" s="7">
        <f ca="1"/>
        <v>8.8554891089049573E-4</v>
      </c>
      <c r="AQ83" s="6">
        <f ca="1"/>
        <v>5.20929950580914</v>
      </c>
      <c r="AR83" s="6">
        <f ca="1"/>
        <v>-210.70704947482668</v>
      </c>
      <c r="AS83" s="6">
        <f ca="1"/>
        <v>238.35080217798799</v>
      </c>
      <c r="AU83" s="60">
        <f ca="1"/>
        <v>208.45606435650916</v>
      </c>
      <c r="AV83" s="61" t="str">
        <f ca="1"/>
        <v>c</v>
      </c>
      <c r="AW83" s="61">
        <f ca="1"/>
        <v>0.33060379199267875</v>
      </c>
      <c r="AX83" s="62">
        <f ca="1"/>
        <v>0.58070647812424137</v>
      </c>
      <c r="AY83" s="62">
        <f ca="1"/>
        <v>8.8554891089049573E-4</v>
      </c>
      <c r="AZ83" s="62">
        <f ca="1"/>
        <v>5.20929950580914</v>
      </c>
      <c r="BA83" s="60">
        <f ca="1"/>
        <v>-210.70704947482668</v>
      </c>
      <c r="BB83" s="60">
        <f ca="1"/>
        <v>238.35080217798799</v>
      </c>
    </row>
    <row r="84" spans="1:54" x14ac:dyDescent="0.3">
      <c r="A84" t="s">
        <v>408</v>
      </c>
      <c r="B84" t="s">
        <v>409</v>
      </c>
      <c r="C84" t="s">
        <v>29</v>
      </c>
      <c r="D84" t="s">
        <v>85</v>
      </c>
      <c r="E84" t="s">
        <v>84</v>
      </c>
      <c r="F84" t="s">
        <v>256</v>
      </c>
      <c r="G84" t="s">
        <v>970</v>
      </c>
      <c r="H84" t="s">
        <v>854</v>
      </c>
      <c r="I84" t="s">
        <v>1242</v>
      </c>
      <c r="J84" t="s">
        <v>83</v>
      </c>
      <c r="K84" t="s">
        <v>83</v>
      </c>
      <c r="L84" t="s">
        <v>307</v>
      </c>
      <c r="M84" t="s">
        <v>84</v>
      </c>
      <c r="N84" t="s">
        <v>56</v>
      </c>
      <c r="O84" t="s">
        <v>36</v>
      </c>
      <c r="P84" t="s">
        <v>84</v>
      </c>
      <c r="Q84" t="s">
        <v>84</v>
      </c>
      <c r="V84" t="s">
        <v>49</v>
      </c>
      <c r="W84" t="s">
        <v>84</v>
      </c>
      <c r="X84" t="s">
        <v>1105</v>
      </c>
      <c r="Y84" t="s">
        <v>1242</v>
      </c>
      <c r="Z84" t="s">
        <v>84</v>
      </c>
      <c r="AA84" t="s">
        <v>84</v>
      </c>
      <c r="AB84" t="s">
        <v>36</v>
      </c>
      <c r="AC84" t="s">
        <v>1340</v>
      </c>
      <c r="AD84" t="s">
        <v>36</v>
      </c>
      <c r="AE84" t="s">
        <v>1340</v>
      </c>
      <c r="AF84" t="s">
        <v>86</v>
      </c>
      <c r="AG84" t="s">
        <v>269</v>
      </c>
      <c r="AH84" t="s">
        <v>183</v>
      </c>
      <c r="AI84" s="4">
        <f ca="1">data[[#This Row],[Expiry Date]]-TODAY()</f>
        <v>42</v>
      </c>
      <c r="AJ84" s="4">
        <f ca="1">data[[#This Row],[Maturity ( Days)]]/365</f>
        <v>0.11506849315068493</v>
      </c>
      <c r="AK84" s="4" t="str">
        <f>IF(data[[#This Row],[Option Type]]="put","p","c")</f>
        <v>p</v>
      </c>
      <c r="AL84" s="4">
        <f>(data[[#This Row],[Bid]]*data[[#This Row],[Bidsize]]+data[[#This Row],[Ask]]*data[[#This Row],[Asksize]])/(data[[#This Row],[Bidsize]]+data[[#This Row],[Asksize]])</f>
        <v>110</v>
      </c>
      <c r="AM84" s="4">
        <f>VALUE(data[[#This Row],[Strike]])</f>
        <v>3870</v>
      </c>
      <c r="AN84" s="5">
        <f ca="1">impliedVol(data[[#This Row],[OptType]],Details!$B$4,VALUE(data[[#This Row],[Strike]]),VALUE(data[[#This Row],[Cnt Price]]),Details!$B$6,data[[#This Row],[T]],Details!$B$7)</f>
        <v>0.26912804631117249</v>
      </c>
      <c r="AO84" s="7">
        <f t="array" aca="1" ref="AO84:AS84" ca="1">bsGreeks(data[[#This Row],[OptType]],Details!$B$4,VALUE(data[[#This Row],[Strike]]),Details!$B$6,data[[#This Row],[T]],AN84,Details!$B$7)</f>
        <v>-0.41021330423460811</v>
      </c>
      <c r="AP84" s="7">
        <f ca="1"/>
        <v>1.082387455620373E-3</v>
      </c>
      <c r="AQ84" s="6">
        <f ca="1"/>
        <v>5.1832320563223933</v>
      </c>
      <c r="AR84" s="6">
        <f ca="1"/>
        <v>-161.34216823271746</v>
      </c>
      <c r="AS84" s="6">
        <f ca="1"/>
        <v>-198.16636041446463</v>
      </c>
      <c r="AU84" s="60">
        <f ca="1"/>
        <v>111.97173840568712</v>
      </c>
      <c r="AV84" s="61" t="str">
        <f ca="1"/>
        <v>p</v>
      </c>
      <c r="AW84" s="61">
        <f ca="1"/>
        <v>0.26912804631117249</v>
      </c>
      <c r="AX84" s="62">
        <f ca="1"/>
        <v>-0.41021330423460811</v>
      </c>
      <c r="AY84" s="62">
        <f ca="1"/>
        <v>1.082387455620373E-3</v>
      </c>
      <c r="AZ84" s="62">
        <f ca="1"/>
        <v>5.1832320563223933</v>
      </c>
      <c r="BA84" s="60">
        <f ca="1"/>
        <v>-161.34216823271746</v>
      </c>
      <c r="BB84" s="60">
        <f ca="1"/>
        <v>-198.16636041446463</v>
      </c>
    </row>
    <row r="85" spans="1:54" x14ac:dyDescent="0.3">
      <c r="A85" t="s">
        <v>418</v>
      </c>
      <c r="B85" t="s">
        <v>419</v>
      </c>
      <c r="C85" t="s">
        <v>57</v>
      </c>
      <c r="D85" t="s">
        <v>85</v>
      </c>
      <c r="E85" t="s">
        <v>84</v>
      </c>
      <c r="F85" t="s">
        <v>112</v>
      </c>
      <c r="G85" t="s">
        <v>1053</v>
      </c>
      <c r="H85" t="s">
        <v>1089</v>
      </c>
      <c r="I85" t="s">
        <v>980</v>
      </c>
      <c r="J85" t="s">
        <v>100</v>
      </c>
      <c r="K85" t="s">
        <v>100</v>
      </c>
      <c r="L85" t="s">
        <v>307</v>
      </c>
      <c r="M85" t="s">
        <v>84</v>
      </c>
      <c r="N85" t="s">
        <v>56</v>
      </c>
      <c r="O85" t="s">
        <v>36</v>
      </c>
      <c r="P85" t="s">
        <v>84</v>
      </c>
      <c r="Q85" t="s">
        <v>84</v>
      </c>
      <c r="V85" t="s">
        <v>49</v>
      </c>
      <c r="W85" t="s">
        <v>84</v>
      </c>
      <c r="X85" t="s">
        <v>1105</v>
      </c>
      <c r="Y85" t="s">
        <v>980</v>
      </c>
      <c r="Z85" t="s">
        <v>84</v>
      </c>
      <c r="AA85" t="s">
        <v>84</v>
      </c>
      <c r="AB85" t="s">
        <v>36</v>
      </c>
      <c r="AC85" t="s">
        <v>1340</v>
      </c>
      <c r="AD85" t="s">
        <v>36</v>
      </c>
      <c r="AE85" t="s">
        <v>1340</v>
      </c>
      <c r="AF85" t="s">
        <v>86</v>
      </c>
      <c r="AG85" t="s">
        <v>269</v>
      </c>
      <c r="AH85" t="s">
        <v>183</v>
      </c>
      <c r="AI85" s="4">
        <f ca="1">data[[#This Row],[Expiry Date]]-TODAY()</f>
        <v>42</v>
      </c>
      <c r="AJ85" s="4">
        <f ca="1">data[[#This Row],[Maturity ( Days)]]/365</f>
        <v>0.11506849315068493</v>
      </c>
      <c r="AK85" s="4" t="str">
        <f>IF(data[[#This Row],[Option Type]]="put","p","c")</f>
        <v>c</v>
      </c>
      <c r="AL85" s="4">
        <f>(data[[#This Row],[Bid]]*data[[#This Row],[Bidsize]]+data[[#This Row],[Ask]]*data[[#This Row],[Asksize]])/(data[[#This Row],[Bidsize]]+data[[#This Row],[Asksize]])</f>
        <v>191.65</v>
      </c>
      <c r="AM85" s="4">
        <f>VALUE(data[[#This Row],[Strike]])</f>
        <v>3900</v>
      </c>
      <c r="AN85" s="5">
        <f ca="1">impliedVol(data[[#This Row],[OptType]],Details!$B$4,VALUE(data[[#This Row],[Strike]]),VALUE(data[[#This Row],[Cnt Price]]),Details!$B$6,data[[#This Row],[T]],Details!$B$7)</f>
        <v>0.32408389832353218</v>
      </c>
      <c r="AO85" s="7">
        <f t="array" aca="1" ref="AO85:AS85" ca="1">bsGreeks(data[[#This Row],[OptType]],Details!$B$4,VALUE(data[[#This Row],[Strike]]),Details!$B$6,data[[#This Row],[T]],AN85,Details!$B$7)</f>
        <v>0.55382187115109471</v>
      </c>
      <c r="AP85" s="7">
        <f ca="1"/>
        <v>9.1389601793960616E-4</v>
      </c>
      <c r="AQ85" s="6">
        <f ca="1"/>
        <v>5.270031159977373</v>
      </c>
      <c r="AR85" s="6">
        <f ca="1"/>
        <v>-208.76967504170221</v>
      </c>
      <c r="AS85" s="6">
        <f ca="1"/>
        <v>228.40216848921338</v>
      </c>
      <c r="AU85" s="60">
        <f ca="1"/>
        <v>189.35531598111265</v>
      </c>
      <c r="AV85" s="61" t="str">
        <f ca="1"/>
        <v>c</v>
      </c>
      <c r="AW85" s="61">
        <f ca="1"/>
        <v>0.32408389832353218</v>
      </c>
      <c r="AX85" s="62">
        <f ca="1"/>
        <v>0.55382187115109471</v>
      </c>
      <c r="AY85" s="62">
        <f ca="1"/>
        <v>9.1389601793960616E-4</v>
      </c>
      <c r="AZ85" s="62">
        <f ca="1"/>
        <v>5.270031159977373</v>
      </c>
      <c r="BA85" s="60">
        <f ca="1"/>
        <v>-208.76967504170221</v>
      </c>
      <c r="BB85" s="60">
        <f ca="1"/>
        <v>228.40216848921338</v>
      </c>
    </row>
    <row r="86" spans="1:54" x14ac:dyDescent="0.3">
      <c r="A86" t="s">
        <v>420</v>
      </c>
      <c r="B86" t="s">
        <v>421</v>
      </c>
      <c r="C86" t="s">
        <v>57</v>
      </c>
      <c r="D86" t="s">
        <v>109</v>
      </c>
      <c r="E86" t="s">
        <v>84</v>
      </c>
      <c r="F86" t="s">
        <v>185</v>
      </c>
      <c r="G86" t="s">
        <v>1325</v>
      </c>
      <c r="H86" t="s">
        <v>1523</v>
      </c>
      <c r="I86" t="s">
        <v>276</v>
      </c>
      <c r="J86" t="s">
        <v>100</v>
      </c>
      <c r="K86" t="s">
        <v>100</v>
      </c>
      <c r="L86" t="s">
        <v>307</v>
      </c>
      <c r="M86" t="s">
        <v>84</v>
      </c>
      <c r="N86" t="s">
        <v>56</v>
      </c>
      <c r="O86" t="s">
        <v>36</v>
      </c>
      <c r="P86" t="s">
        <v>84</v>
      </c>
      <c r="Q86" t="s">
        <v>84</v>
      </c>
      <c r="V86" t="s">
        <v>49</v>
      </c>
      <c r="W86" t="s">
        <v>84</v>
      </c>
      <c r="X86" t="s">
        <v>1243</v>
      </c>
      <c r="Y86" t="s">
        <v>276</v>
      </c>
      <c r="Z86" t="s">
        <v>84</v>
      </c>
      <c r="AA86" t="s">
        <v>84</v>
      </c>
      <c r="AB86" t="s">
        <v>36</v>
      </c>
      <c r="AC86" t="s">
        <v>1340</v>
      </c>
      <c r="AD86" t="s">
        <v>36</v>
      </c>
      <c r="AE86" t="s">
        <v>1340</v>
      </c>
      <c r="AF86" t="s">
        <v>86</v>
      </c>
      <c r="AG86" t="s">
        <v>269</v>
      </c>
      <c r="AH86" t="s">
        <v>183</v>
      </c>
      <c r="AI86" s="4">
        <f ca="1">data[[#This Row],[Expiry Date]]-TODAY()</f>
        <v>42</v>
      </c>
      <c r="AJ86" s="4">
        <f ca="1">data[[#This Row],[Maturity ( Days)]]/365</f>
        <v>0.11506849315068493</v>
      </c>
      <c r="AK86" s="4" t="str">
        <f>IF(data[[#This Row],[Option Type]]="put","p","c")</f>
        <v>c</v>
      </c>
      <c r="AL86" s="4">
        <f>(data[[#This Row],[Bid]]*data[[#This Row],[Bidsize]]+data[[#This Row],[Ask]]*data[[#This Row],[Asksize]])/(data[[#This Row],[Bidsize]]+data[[#This Row],[Asksize]])</f>
        <v>185.45</v>
      </c>
      <c r="AM86" s="4">
        <f>VALUE(data[[#This Row],[Strike]])</f>
        <v>3910</v>
      </c>
      <c r="AN86" s="5">
        <f ca="1">impliedVol(data[[#This Row],[OptType]],Details!$B$4,VALUE(data[[#This Row],[Strike]]),VALUE(data[[#This Row],[Cnt Price]]),Details!$B$6,data[[#This Row],[T]],Details!$B$7)</f>
        <v>0.32197132473462448</v>
      </c>
      <c r="AO86" s="7">
        <f t="array" aca="1" ref="AO86:AS86" ca="1">bsGreeks(data[[#This Row],[OptType]],Details!$B$4,VALUE(data[[#This Row],[Strike]]),Details!$B$6,data[[#This Row],[T]],AN86,Details!$B$7)</f>
        <v>0.54460630724740255</v>
      </c>
      <c r="AP86" s="7">
        <f ca="1"/>
        <v>9.2254471698133408E-4</v>
      </c>
      <c r="AQ86" s="6">
        <f ca="1"/>
        <v>5.2852260207552124</v>
      </c>
      <c r="AR86" s="6">
        <f ca="1"/>
        <v>-207.94436129273865</v>
      </c>
      <c r="AS86" s="6">
        <f ca="1"/>
        <v>224.94806384398262</v>
      </c>
      <c r="AU86" s="60">
        <f ca="1"/>
        <v>183.18978770028934</v>
      </c>
      <c r="AV86" s="61" t="str">
        <f ca="1"/>
        <v>c</v>
      </c>
      <c r="AW86" s="61">
        <f ca="1"/>
        <v>0.32197132473462448</v>
      </c>
      <c r="AX86" s="62">
        <f ca="1"/>
        <v>0.54460630724740255</v>
      </c>
      <c r="AY86" s="62">
        <f ca="1"/>
        <v>9.2254471698133408E-4</v>
      </c>
      <c r="AZ86" s="62">
        <f ca="1"/>
        <v>5.2852260207552124</v>
      </c>
      <c r="BA86" s="60">
        <f ca="1"/>
        <v>-207.94436129273865</v>
      </c>
      <c r="BB86" s="60">
        <f ca="1"/>
        <v>224.94806384398262</v>
      </c>
    </row>
    <row r="87" spans="1:54" x14ac:dyDescent="0.3">
      <c r="A87" t="s">
        <v>453</v>
      </c>
      <c r="B87" t="s">
        <v>454</v>
      </c>
      <c r="C87" t="s">
        <v>29</v>
      </c>
      <c r="D87" t="s">
        <v>117</v>
      </c>
      <c r="E87" t="s">
        <v>84</v>
      </c>
      <c r="F87" t="s">
        <v>195</v>
      </c>
      <c r="G87" t="s">
        <v>1524</v>
      </c>
      <c r="H87" t="s">
        <v>1525</v>
      </c>
      <c r="I87" t="s">
        <v>741</v>
      </c>
      <c r="J87" t="s">
        <v>100</v>
      </c>
      <c r="K87" t="s">
        <v>100</v>
      </c>
      <c r="L87" t="s">
        <v>307</v>
      </c>
      <c r="M87" t="s">
        <v>84</v>
      </c>
      <c r="N87" t="s">
        <v>56</v>
      </c>
      <c r="O87" t="s">
        <v>36</v>
      </c>
      <c r="P87" t="s">
        <v>84</v>
      </c>
      <c r="Q87" t="s">
        <v>84</v>
      </c>
      <c r="V87" t="s">
        <v>49</v>
      </c>
      <c r="W87" t="s">
        <v>84</v>
      </c>
      <c r="X87" t="s">
        <v>1158</v>
      </c>
      <c r="Y87" t="s">
        <v>741</v>
      </c>
      <c r="Z87" t="s">
        <v>84</v>
      </c>
      <c r="AA87" t="s">
        <v>84</v>
      </c>
      <c r="AB87" t="s">
        <v>36</v>
      </c>
      <c r="AC87" t="s">
        <v>1340</v>
      </c>
      <c r="AD87" t="s">
        <v>36</v>
      </c>
      <c r="AE87" t="s">
        <v>1340</v>
      </c>
      <c r="AF87" t="s">
        <v>86</v>
      </c>
      <c r="AG87" t="s">
        <v>269</v>
      </c>
      <c r="AH87" t="s">
        <v>183</v>
      </c>
      <c r="AI87" s="4">
        <f ca="1">data[[#This Row],[Expiry Date]]-TODAY()</f>
        <v>42</v>
      </c>
      <c r="AJ87" s="4">
        <f ca="1">data[[#This Row],[Maturity ( Days)]]/365</f>
        <v>0.11506849315068493</v>
      </c>
      <c r="AK87" s="4" t="str">
        <f>IF(data[[#This Row],[Option Type]]="put","p","c")</f>
        <v>p</v>
      </c>
      <c r="AL87" s="4">
        <f>(data[[#This Row],[Bid]]*data[[#This Row],[Bidsize]]+data[[#This Row],[Ask]]*data[[#This Row],[Asksize]])/(data[[#This Row],[Bidsize]]+data[[#This Row],[Asksize]])</f>
        <v>193.25</v>
      </c>
      <c r="AM87" s="4">
        <f>VALUE(data[[#This Row],[Strike]])</f>
        <v>4060</v>
      </c>
      <c r="AN87" s="5">
        <f ca="1">impliedVol(data[[#This Row],[OptType]],Details!$B$4,VALUE(data[[#This Row],[Strike]]),VALUE(data[[#This Row],[Cnt Price]]),Details!$B$6,data[[#This Row],[T]],Details!$B$7)</f>
        <v>0.22918091577991823</v>
      </c>
      <c r="AO87" s="7">
        <f t="array" aca="1" ref="AO87:AS87" ca="1">bsGreeks(data[[#This Row],[OptType]],Details!$B$4,VALUE(data[[#This Row],[Strike]]),Details!$B$6,data[[#This Row],[T]],AN87,Details!$B$7)</f>
        <v>-0.64232278744428628</v>
      </c>
      <c r="AP87" s="7">
        <f ca="1"/>
        <v>1.2203219270851375E-3</v>
      </c>
      <c r="AQ87" s="6">
        <f ca="1"/>
        <v>4.9763602132785039</v>
      </c>
      <c r="AR87" s="6">
        <f ca="1"/>
        <v>-128.31813742235235</v>
      </c>
      <c r="AS87" s="6">
        <f ca="1"/>
        <v>-312.71214265361118</v>
      </c>
      <c r="AU87" s="60">
        <f ca="1"/>
        <v>196.36641100753877</v>
      </c>
      <c r="AV87" s="61" t="str">
        <f ca="1"/>
        <v>p</v>
      </c>
      <c r="AW87" s="61">
        <f ca="1"/>
        <v>0.22918091577991823</v>
      </c>
      <c r="AX87" s="62">
        <f ca="1"/>
        <v>-0.64232278744428628</v>
      </c>
      <c r="AY87" s="62">
        <f ca="1"/>
        <v>1.2203219270851375E-3</v>
      </c>
      <c r="AZ87" s="62">
        <f ca="1"/>
        <v>4.9763602132785039</v>
      </c>
      <c r="BA87" s="60">
        <f ca="1"/>
        <v>-128.31813742235235</v>
      </c>
      <c r="BB87" s="60">
        <f ca="1"/>
        <v>-312.71214265361118</v>
      </c>
    </row>
    <row r="88" spans="1:54" x14ac:dyDescent="0.3">
      <c r="A88" t="s">
        <v>473</v>
      </c>
      <c r="B88" t="s">
        <v>474</v>
      </c>
      <c r="C88" t="s">
        <v>29</v>
      </c>
      <c r="D88" t="s">
        <v>101</v>
      </c>
      <c r="E88" t="s">
        <v>84</v>
      </c>
      <c r="F88" t="s">
        <v>212</v>
      </c>
      <c r="G88" t="s">
        <v>905</v>
      </c>
      <c r="H88" t="s">
        <v>1526</v>
      </c>
      <c r="I88" t="s">
        <v>1219</v>
      </c>
      <c r="J88" t="s">
        <v>101</v>
      </c>
      <c r="K88" t="s">
        <v>101</v>
      </c>
      <c r="L88" t="s">
        <v>307</v>
      </c>
      <c r="M88" t="s">
        <v>84</v>
      </c>
      <c r="N88" t="s">
        <v>56</v>
      </c>
      <c r="O88" t="s">
        <v>36</v>
      </c>
      <c r="P88" t="s">
        <v>84</v>
      </c>
      <c r="Q88" t="s">
        <v>84</v>
      </c>
      <c r="V88" t="s">
        <v>49</v>
      </c>
      <c r="W88" t="s">
        <v>84</v>
      </c>
      <c r="X88" t="s">
        <v>1158</v>
      </c>
      <c r="Y88" t="s">
        <v>1219</v>
      </c>
      <c r="Z88" t="s">
        <v>84</v>
      </c>
      <c r="AA88" t="s">
        <v>84</v>
      </c>
      <c r="AB88" t="s">
        <v>36</v>
      </c>
      <c r="AC88" t="s">
        <v>1340</v>
      </c>
      <c r="AD88" t="s">
        <v>36</v>
      </c>
      <c r="AE88" t="s">
        <v>1340</v>
      </c>
      <c r="AF88" t="s">
        <v>86</v>
      </c>
      <c r="AG88" t="s">
        <v>269</v>
      </c>
      <c r="AH88" t="s">
        <v>183</v>
      </c>
      <c r="AI88" s="4">
        <f ca="1">data[[#This Row],[Expiry Date]]-TODAY()</f>
        <v>42</v>
      </c>
      <c r="AJ88" s="4">
        <f ca="1">data[[#This Row],[Maturity ( Days)]]/365</f>
        <v>0.11506849315068493</v>
      </c>
      <c r="AK88" s="4" t="str">
        <f>IF(data[[#This Row],[Option Type]]="put","p","c")</f>
        <v>p</v>
      </c>
      <c r="AL88" s="4">
        <f>(data[[#This Row],[Bid]]*data[[#This Row],[Bidsize]]+data[[#This Row],[Ask]]*data[[#This Row],[Asksize]])/(data[[#This Row],[Bidsize]]+data[[#This Row],[Asksize]])</f>
        <v>286.75</v>
      </c>
      <c r="AM88" s="4">
        <f>VALUE(data[[#This Row],[Strike]])</f>
        <v>4210</v>
      </c>
      <c r="AN88" s="5">
        <f ca="1">impliedVol(data[[#This Row],[OptType]],Details!$B$4,VALUE(data[[#This Row],[Strike]]),VALUE(data[[#This Row],[Cnt Price]]),Details!$B$6,data[[#This Row],[T]],Details!$B$7)</f>
        <v>0.17707658557771191</v>
      </c>
      <c r="AO88" s="7">
        <f t="array" aca="1" ref="AO88:AS88" ca="1">bsGreeks(data[[#This Row],[OptType]],Details!$B$4,VALUE(data[[#This Row],[Strike]]),Details!$B$6,data[[#This Row],[T]],AN88,Details!$B$7)</f>
        <v>-0.86351226519058433</v>
      </c>
      <c r="AP88" s="7">
        <f ca="1"/>
        <v>9.2558532130617344E-4</v>
      </c>
      <c r="AQ88" s="6">
        <f ca="1"/>
        <v>2.9163291690340971</v>
      </c>
      <c r="AR88" s="6">
        <f ca="1"/>
        <v>-51.382878919099909</v>
      </c>
      <c r="AS88" s="6">
        <f ca="1"/>
        <v>-423.49954873446842</v>
      </c>
      <c r="AU88" s="60">
        <f ca="1"/>
        <v>290.9778947690329</v>
      </c>
      <c r="AV88" s="61" t="str">
        <f ca="1"/>
        <v>p</v>
      </c>
      <c r="AW88" s="61">
        <f ca="1"/>
        <v>0.17707658557771191</v>
      </c>
      <c r="AX88" s="62">
        <f ca="1"/>
        <v>-0.86351226519058433</v>
      </c>
      <c r="AY88" s="62">
        <f ca="1"/>
        <v>9.2558532130617344E-4</v>
      </c>
      <c r="AZ88" s="62">
        <f ca="1"/>
        <v>2.9163291690340971</v>
      </c>
      <c r="BA88" s="60">
        <f ca="1"/>
        <v>-51.382878919099909</v>
      </c>
      <c r="BB88" s="60">
        <f ca="1"/>
        <v>-423.49954873446842</v>
      </c>
    </row>
    <row r="89" spans="1:54" x14ac:dyDescent="0.3">
      <c r="A89" t="s">
        <v>490</v>
      </c>
      <c r="B89" t="s">
        <v>491</v>
      </c>
      <c r="C89" t="s">
        <v>29</v>
      </c>
      <c r="D89" t="s">
        <v>85</v>
      </c>
      <c r="E89" t="s">
        <v>84</v>
      </c>
      <c r="F89" t="s">
        <v>141</v>
      </c>
      <c r="G89" t="s">
        <v>1414</v>
      </c>
      <c r="H89" t="s">
        <v>1099</v>
      </c>
      <c r="I89" t="s">
        <v>1222</v>
      </c>
      <c r="J89" t="s">
        <v>123</v>
      </c>
      <c r="K89" t="s">
        <v>123</v>
      </c>
      <c r="L89" t="s">
        <v>307</v>
      </c>
      <c r="M89" t="s">
        <v>84</v>
      </c>
      <c r="N89" t="s">
        <v>56</v>
      </c>
      <c r="O89" t="s">
        <v>36</v>
      </c>
      <c r="P89" t="s">
        <v>84</v>
      </c>
      <c r="Q89" t="s">
        <v>84</v>
      </c>
      <c r="V89" t="s">
        <v>49</v>
      </c>
      <c r="W89" t="s">
        <v>84</v>
      </c>
      <c r="X89" t="s">
        <v>1158</v>
      </c>
      <c r="Y89" t="s">
        <v>1222</v>
      </c>
      <c r="Z89" t="s">
        <v>84</v>
      </c>
      <c r="AA89" t="s">
        <v>84</v>
      </c>
      <c r="AB89" t="s">
        <v>36</v>
      </c>
      <c r="AC89" t="s">
        <v>1340</v>
      </c>
      <c r="AD89" t="s">
        <v>36</v>
      </c>
      <c r="AE89" t="s">
        <v>1340</v>
      </c>
      <c r="AF89" t="s">
        <v>86</v>
      </c>
      <c r="AG89" t="s">
        <v>269</v>
      </c>
      <c r="AH89" t="s">
        <v>183</v>
      </c>
      <c r="AI89" s="4">
        <f ca="1">data[[#This Row],[Expiry Date]]-TODAY()</f>
        <v>42</v>
      </c>
      <c r="AJ89" s="4">
        <f ca="1">data[[#This Row],[Maturity ( Days)]]/365</f>
        <v>0.11506849315068493</v>
      </c>
      <c r="AK89" s="4" t="str">
        <f>IF(data[[#This Row],[Option Type]]="put","p","c")</f>
        <v>p</v>
      </c>
      <c r="AL89" s="4">
        <f>(data[[#This Row],[Bid]]*data[[#This Row],[Bidsize]]+data[[#This Row],[Ask]]*data[[#This Row],[Asksize]])/(data[[#This Row],[Bidsize]]+data[[#This Row],[Asksize]])</f>
        <v>335.45</v>
      </c>
      <c r="AM89" s="4">
        <f>VALUE(data[[#This Row],[Strike]])</f>
        <v>4275</v>
      </c>
      <c r="AN89" s="5">
        <f ca="1">impliedVol(data[[#This Row],[OptType]],Details!$B$4,VALUE(data[[#This Row],[Strike]]),VALUE(data[[#This Row],[Cnt Price]]),Details!$B$6,data[[#This Row],[T]],Details!$B$7)</f>
        <v>9.9760811591370444E-2</v>
      </c>
      <c r="AO89" s="7">
        <f t="array" aca="1" ref="AO89:AS89" ca="1">bsGreeks(data[[#This Row],[OptType]],Details!$B$4,VALUE(data[[#This Row],[Strike]]),Details!$B$6,data[[#This Row],[T]],AN89,Details!$B$7)</f>
        <v>-0.9925535919444618</v>
      </c>
      <c r="AP89" s="7">
        <f ca="1"/>
        <v>1.5455472108665295E-4</v>
      </c>
      <c r="AQ89" s="6">
        <f ca="1"/>
        <v>0.27434761759713544</v>
      </c>
      <c r="AR89" s="6">
        <f ca="1"/>
        <v>8.3613327782866893</v>
      </c>
      <c r="AS89" s="6">
        <f ca="1"/>
        <v>-487.46044540594255</v>
      </c>
      <c r="AU89" s="60">
        <f ca="1"/>
        <v>340.32578406721223</v>
      </c>
      <c r="AV89" s="61" t="str">
        <f ca="1"/>
        <v>p</v>
      </c>
      <c r="AW89" s="61">
        <f ca="1"/>
        <v>9.9760811591370444E-2</v>
      </c>
      <c r="AX89" s="62">
        <f ca="1"/>
        <v>-0.9925535919444618</v>
      </c>
      <c r="AY89" s="62">
        <f ca="1"/>
        <v>1.5455472108665295E-4</v>
      </c>
      <c r="AZ89" s="62">
        <f ca="1"/>
        <v>0.27434761759713544</v>
      </c>
      <c r="BA89" s="60">
        <f ca="1"/>
        <v>8.3613327782866893</v>
      </c>
      <c r="BB89" s="60">
        <f ca="1"/>
        <v>-487.46044540594255</v>
      </c>
    </row>
    <row r="90" spans="1:54" x14ac:dyDescent="0.3">
      <c r="A90" t="s">
        <v>1146</v>
      </c>
      <c r="B90" t="s">
        <v>1147</v>
      </c>
      <c r="C90" t="s">
        <v>57</v>
      </c>
      <c r="D90" t="s">
        <v>85</v>
      </c>
      <c r="E90" t="s">
        <v>84</v>
      </c>
      <c r="F90" t="s">
        <v>1145</v>
      </c>
      <c r="G90" t="s">
        <v>1342</v>
      </c>
      <c r="H90" t="s">
        <v>954</v>
      </c>
      <c r="I90" t="s">
        <v>1245</v>
      </c>
      <c r="J90" t="s">
        <v>244</v>
      </c>
      <c r="K90" t="s">
        <v>306</v>
      </c>
      <c r="L90" t="s">
        <v>307</v>
      </c>
      <c r="M90" t="s">
        <v>84</v>
      </c>
      <c r="N90" t="s">
        <v>56</v>
      </c>
      <c r="O90" t="s">
        <v>36</v>
      </c>
      <c r="P90" t="s">
        <v>84</v>
      </c>
      <c r="Q90" t="s">
        <v>84</v>
      </c>
      <c r="V90" t="s">
        <v>49</v>
      </c>
      <c r="W90" t="s">
        <v>84</v>
      </c>
      <c r="X90" t="s">
        <v>1105</v>
      </c>
      <c r="Y90" t="s">
        <v>1245</v>
      </c>
      <c r="Z90" t="s">
        <v>84</v>
      </c>
      <c r="AA90" t="s">
        <v>84</v>
      </c>
      <c r="AB90" t="s">
        <v>36</v>
      </c>
      <c r="AC90" t="s">
        <v>1340</v>
      </c>
      <c r="AD90" t="s">
        <v>36</v>
      </c>
      <c r="AE90" t="s">
        <v>1340</v>
      </c>
      <c r="AF90" t="s">
        <v>86</v>
      </c>
      <c r="AG90" t="s">
        <v>269</v>
      </c>
      <c r="AH90" t="s">
        <v>183</v>
      </c>
      <c r="AI90" s="4">
        <f ca="1">data[[#This Row],[Expiry Date]]-TODAY()</f>
        <v>42</v>
      </c>
      <c r="AJ90" s="4">
        <f ca="1">data[[#This Row],[Maturity ( Days)]]/365</f>
        <v>0.11506849315068493</v>
      </c>
      <c r="AK90" s="4" t="str">
        <f>IF(data[[#This Row],[Option Type]]="put","p","c")</f>
        <v>c</v>
      </c>
      <c r="AL90" s="4">
        <f>(data[[#This Row],[Bid]]*data[[#This Row],[Bidsize]]+data[[#This Row],[Ask]]*data[[#This Row],[Asksize]])/(data[[#This Row],[Bidsize]]+data[[#This Row],[Asksize]])</f>
        <v>1.8090443686006825</v>
      </c>
      <c r="AM90" s="4">
        <f>VALUE(data[[#This Row],[Strike]])</f>
        <v>4650</v>
      </c>
      <c r="AN90" s="5">
        <f ca="1">impliedVol(data[[#This Row],[OptType]],Details!$B$4,VALUE(data[[#This Row],[Strike]]),VALUE(data[[#This Row],[Cnt Price]]),Details!$B$6,data[[#This Row],[T]],Details!$B$7)</f>
        <v>0.22670085899133613</v>
      </c>
      <c r="AO90" s="7">
        <f t="array" aca="1" ref="AO90:AS90" ca="1">bsGreeks(data[[#This Row],[OptType]],Details!$B$4,VALUE(data[[#This Row],[Strike]]),Details!$B$6,data[[#This Row],[T]],AN90,Details!$B$7)</f>
        <v>1.6424916696560043E-2</v>
      </c>
      <c r="AP90" s="7">
        <f ca="1"/>
        <v>1.3529396312050865E-4</v>
      </c>
      <c r="AQ90" s="6">
        <f ca="1"/>
        <v>0.54574595838407258</v>
      </c>
      <c r="AR90" s="6">
        <f ca="1"/>
        <v>-14.900797876899102</v>
      </c>
      <c r="AS90" s="6">
        <f ca="1"/>
        <v>7.2198105373503134</v>
      </c>
      <c r="AU90" s="60">
        <f ca="1"/>
        <v>1.7354053762780097</v>
      </c>
      <c r="AV90" s="61" t="str">
        <f ca="1"/>
        <v>c</v>
      </c>
      <c r="AW90" s="61">
        <f ca="1"/>
        <v>0.22670085899133613</v>
      </c>
      <c r="AX90" s="62">
        <f ca="1"/>
        <v>1.6424916696560043E-2</v>
      </c>
      <c r="AY90" s="62">
        <f ca="1"/>
        <v>1.3529396312050865E-4</v>
      </c>
      <c r="AZ90" s="62">
        <f ca="1"/>
        <v>0.54574595838407258</v>
      </c>
      <c r="BA90" s="60">
        <f ca="1"/>
        <v>-14.900797876899102</v>
      </c>
      <c r="BB90" s="60">
        <f ca="1"/>
        <v>7.2198105373503134</v>
      </c>
    </row>
    <row r="91" spans="1:54" x14ac:dyDescent="0.3">
      <c r="A91" t="s">
        <v>1148</v>
      </c>
      <c r="B91" t="s">
        <v>1149</v>
      </c>
      <c r="C91" t="s">
        <v>57</v>
      </c>
      <c r="D91" t="s">
        <v>85</v>
      </c>
      <c r="E91" t="s">
        <v>84</v>
      </c>
      <c r="F91" t="s">
        <v>1150</v>
      </c>
      <c r="G91" t="s">
        <v>821</v>
      </c>
      <c r="H91" t="s">
        <v>1160</v>
      </c>
      <c r="I91" t="s">
        <v>867</v>
      </c>
      <c r="J91" t="s">
        <v>1062</v>
      </c>
      <c r="K91" t="s">
        <v>989</v>
      </c>
      <c r="L91" t="s">
        <v>307</v>
      </c>
      <c r="M91" t="s">
        <v>84</v>
      </c>
      <c r="N91" t="s">
        <v>56</v>
      </c>
      <c r="O91" t="s">
        <v>36</v>
      </c>
      <c r="P91" t="s">
        <v>84</v>
      </c>
      <c r="Q91" t="s">
        <v>84</v>
      </c>
      <c r="V91" t="s">
        <v>49</v>
      </c>
      <c r="W91" t="s">
        <v>84</v>
      </c>
      <c r="X91" t="s">
        <v>1105</v>
      </c>
      <c r="Y91" t="s">
        <v>867</v>
      </c>
      <c r="Z91" t="s">
        <v>84</v>
      </c>
      <c r="AA91" t="s">
        <v>84</v>
      </c>
      <c r="AB91" t="s">
        <v>36</v>
      </c>
      <c r="AC91" t="s">
        <v>1340</v>
      </c>
      <c r="AD91" t="s">
        <v>36</v>
      </c>
      <c r="AE91" t="s">
        <v>1340</v>
      </c>
      <c r="AF91" t="s">
        <v>86</v>
      </c>
      <c r="AG91" t="s">
        <v>269</v>
      </c>
      <c r="AH91" t="s">
        <v>183</v>
      </c>
      <c r="AI91" s="4">
        <f ca="1">data[[#This Row],[Expiry Date]]-TODAY()</f>
        <v>42</v>
      </c>
      <c r="AJ91" s="4">
        <f ca="1">data[[#This Row],[Maturity ( Days)]]/365</f>
        <v>0.11506849315068493</v>
      </c>
      <c r="AK91" s="4" t="str">
        <f>IF(data[[#This Row],[Option Type]]="put","p","c")</f>
        <v>c</v>
      </c>
      <c r="AL91" s="4">
        <f>(data[[#This Row],[Bid]]*data[[#This Row],[Bidsize]]+data[[#This Row],[Ask]]*data[[#This Row],[Asksize]])/(data[[#This Row],[Bidsize]]+data[[#This Row],[Asksize]])</f>
        <v>1.1385245901639345</v>
      </c>
      <c r="AM91" s="4">
        <f>VALUE(data[[#This Row],[Strike]])</f>
        <v>4700</v>
      </c>
      <c r="AN91" s="5">
        <f ca="1">impliedVol(data[[#This Row],[OptType]],Details!$B$4,VALUE(data[[#This Row],[Strike]]),VALUE(data[[#This Row],[Cnt Price]]),Details!$B$6,data[[#This Row],[T]],Details!$B$7)</f>
        <v>0.22467919147053586</v>
      </c>
      <c r="AO91" s="7">
        <f t="array" aca="1" ref="AO91:AS91" ca="1">bsGreeks(data[[#This Row],[OptType]],Details!$B$4,VALUE(data[[#This Row],[Strike]]),Details!$B$6,data[[#This Row],[T]],AN91,Details!$B$7)</f>
        <v>1.089140084405681E-2</v>
      </c>
      <c r="AP91" s="7">
        <f ca="1"/>
        <v>9.574385056115663E-5</v>
      </c>
      <c r="AQ91" s="6">
        <f ca="1"/>
        <v>0.38276541139150938</v>
      </c>
      <c r="AR91" s="6">
        <f ca="1"/>
        <v>-10.352312910850051</v>
      </c>
      <c r="AS91" s="6">
        <f ca="1"/>
        <v>4.7945063424802088</v>
      </c>
      <c r="AU91" s="60">
        <f ca="1"/>
        <v>1.0895607559601004</v>
      </c>
      <c r="AV91" s="61" t="str">
        <f ca="1"/>
        <v>c</v>
      </c>
      <c r="AW91" s="61">
        <f ca="1"/>
        <v>0.22467919147053586</v>
      </c>
      <c r="AX91" s="62">
        <f ca="1"/>
        <v>1.089140084405681E-2</v>
      </c>
      <c r="AY91" s="62">
        <f ca="1"/>
        <v>9.574385056115663E-5</v>
      </c>
      <c r="AZ91" s="62">
        <f ca="1"/>
        <v>0.38276541139150938</v>
      </c>
      <c r="BA91" s="60">
        <f ca="1"/>
        <v>-10.352312910850051</v>
      </c>
      <c r="BB91" s="60">
        <f ca="1"/>
        <v>4.7945063424802088</v>
      </c>
    </row>
    <row r="92" spans="1:54" x14ac:dyDescent="0.3">
      <c r="A92" t="s">
        <v>552</v>
      </c>
      <c r="B92" t="s">
        <v>553</v>
      </c>
      <c r="C92" t="s">
        <v>29</v>
      </c>
      <c r="D92" t="s">
        <v>1155</v>
      </c>
      <c r="E92" t="s">
        <v>84</v>
      </c>
      <c r="F92" t="s">
        <v>266</v>
      </c>
      <c r="G92" t="s">
        <v>1337</v>
      </c>
      <c r="H92" t="s">
        <v>237</v>
      </c>
      <c r="I92" t="s">
        <v>1247</v>
      </c>
      <c r="J92" t="s">
        <v>95</v>
      </c>
      <c r="K92" t="s">
        <v>894</v>
      </c>
      <c r="L92" t="s">
        <v>307</v>
      </c>
      <c r="M92" t="s">
        <v>1172</v>
      </c>
      <c r="N92" t="s">
        <v>56</v>
      </c>
      <c r="O92" t="s">
        <v>36</v>
      </c>
      <c r="P92" t="s">
        <v>1064</v>
      </c>
      <c r="Q92" t="s">
        <v>84</v>
      </c>
      <c r="V92" t="s">
        <v>49</v>
      </c>
      <c r="W92" t="s">
        <v>1248</v>
      </c>
      <c r="X92" t="s">
        <v>1243</v>
      </c>
      <c r="Y92" t="s">
        <v>1249</v>
      </c>
      <c r="Z92" t="s">
        <v>84</v>
      </c>
      <c r="AA92" t="s">
        <v>84</v>
      </c>
      <c r="AB92" t="s">
        <v>36</v>
      </c>
      <c r="AC92" t="s">
        <v>1340</v>
      </c>
      <c r="AD92" t="s">
        <v>36</v>
      </c>
      <c r="AE92" t="s">
        <v>1340</v>
      </c>
      <c r="AF92" t="s">
        <v>86</v>
      </c>
      <c r="AG92" t="s">
        <v>269</v>
      </c>
      <c r="AH92" t="s">
        <v>183</v>
      </c>
      <c r="AI92" s="4">
        <f ca="1">data[[#This Row],[Expiry Date]]-TODAY()</f>
        <v>42</v>
      </c>
      <c r="AJ92" s="4">
        <f ca="1">data[[#This Row],[Maturity ( Days)]]/365</f>
        <v>0.11506849315068493</v>
      </c>
      <c r="AK92" s="4" t="str">
        <f>IF(data[[#This Row],[Option Type]]="put","p","c")</f>
        <v>p</v>
      </c>
      <c r="AL92" s="4">
        <f>(data[[#This Row],[Bid]]*data[[#This Row],[Bidsize]]+data[[#This Row],[Ask]]*data[[#This Row],[Asksize]])/(data[[#This Row],[Bidsize]]+data[[#This Row],[Asksize]])</f>
        <v>26.893617021276597</v>
      </c>
      <c r="AM92" s="4">
        <f>VALUE(data[[#This Row],[Strike]])</f>
        <v>3450</v>
      </c>
      <c r="AN92" s="5">
        <f ca="1">impliedVol(data[[#This Row],[OptType]],Details!$B$4,VALUE(data[[#This Row],[Strike]]),VALUE(data[[#This Row],[Cnt Price]]),Details!$B$6,data[[#This Row],[T]],Details!$B$7)</f>
        <v>0.34216108564101794</v>
      </c>
      <c r="AO92" s="7">
        <f t="array" aca="1" ref="AO92:AS92" ca="1">bsGreeks(data[[#This Row],[OptType]],Details!$B$4,VALUE(data[[#This Row],[Strike]]),Details!$B$6,data[[#This Row],[T]],AN92,Details!$B$7)</f>
        <v>-0.11693473451488368</v>
      </c>
      <c r="AP92" s="7">
        <f ca="1"/>
        <v>4.3009575873790635E-4</v>
      </c>
      <c r="AQ92" s="6">
        <f ca="1"/>
        <v>2.6185129071242206</v>
      </c>
      <c r="AR92" s="6">
        <f ca="1"/>
        <v>-105.32681759099336</v>
      </c>
      <c r="AS92" s="6">
        <f ca="1"/>
        <v>-55.975309494319191</v>
      </c>
      <c r="AU92" s="60">
        <f ca="1"/>
        <v>27.449308260893304</v>
      </c>
      <c r="AV92" s="61" t="str">
        <f ca="1"/>
        <v>p</v>
      </c>
      <c r="AW92" s="61">
        <f ca="1"/>
        <v>0.34216108564101794</v>
      </c>
      <c r="AX92" s="62">
        <f ca="1"/>
        <v>-0.11693473451488368</v>
      </c>
      <c r="AY92" s="62">
        <f ca="1"/>
        <v>4.3009575873790635E-4</v>
      </c>
      <c r="AZ92" s="62">
        <f ca="1"/>
        <v>2.6185129071242206</v>
      </c>
      <c r="BA92" s="60">
        <f ca="1"/>
        <v>-105.32681759099336</v>
      </c>
      <c r="BB92" s="60">
        <f ca="1"/>
        <v>-55.975309494319191</v>
      </c>
    </row>
    <row r="93" spans="1:54" x14ac:dyDescent="0.3">
      <c r="A93" t="s">
        <v>558</v>
      </c>
      <c r="B93" t="s">
        <v>559</v>
      </c>
      <c r="C93" t="s">
        <v>29</v>
      </c>
      <c r="D93" t="s">
        <v>1155</v>
      </c>
      <c r="E93" t="s">
        <v>84</v>
      </c>
      <c r="F93" t="s">
        <v>103</v>
      </c>
      <c r="G93" t="s">
        <v>1324</v>
      </c>
      <c r="H93" t="s">
        <v>1347</v>
      </c>
      <c r="I93" t="s">
        <v>1177</v>
      </c>
      <c r="J93" t="s">
        <v>105</v>
      </c>
      <c r="K93" t="s">
        <v>1030</v>
      </c>
      <c r="L93" t="s">
        <v>307</v>
      </c>
      <c r="M93" t="s">
        <v>951</v>
      </c>
      <c r="N93" t="s">
        <v>56</v>
      </c>
      <c r="O93" t="s">
        <v>36</v>
      </c>
      <c r="P93" t="s">
        <v>1250</v>
      </c>
      <c r="Q93" t="s">
        <v>84</v>
      </c>
      <c r="V93" t="s">
        <v>49</v>
      </c>
      <c r="W93" t="s">
        <v>925</v>
      </c>
      <c r="X93" t="s">
        <v>1243</v>
      </c>
      <c r="Y93" t="s">
        <v>1251</v>
      </c>
      <c r="Z93" t="s">
        <v>84</v>
      </c>
      <c r="AA93" t="s">
        <v>84</v>
      </c>
      <c r="AB93" t="s">
        <v>36</v>
      </c>
      <c r="AC93" t="s">
        <v>1340</v>
      </c>
      <c r="AD93" t="s">
        <v>36</v>
      </c>
      <c r="AE93" t="s">
        <v>1340</v>
      </c>
      <c r="AF93" t="s">
        <v>86</v>
      </c>
      <c r="AG93" t="s">
        <v>269</v>
      </c>
      <c r="AH93" t="s">
        <v>183</v>
      </c>
      <c r="AI93" s="4">
        <f ca="1">data[[#This Row],[Expiry Date]]-TODAY()</f>
        <v>42</v>
      </c>
      <c r="AJ93" s="4">
        <f ca="1">data[[#This Row],[Maturity ( Days)]]/365</f>
        <v>0.11506849315068493</v>
      </c>
      <c r="AK93" s="4" t="str">
        <f>IF(data[[#This Row],[Option Type]]="put","p","c")</f>
        <v>p</v>
      </c>
      <c r="AL93" s="4">
        <f>(data[[#This Row],[Bid]]*data[[#This Row],[Bidsize]]+data[[#This Row],[Ask]]*data[[#This Row],[Asksize]])/(data[[#This Row],[Bidsize]]+data[[#This Row],[Asksize]])</f>
        <v>44.727956989247311</v>
      </c>
      <c r="AM93" s="4">
        <f>VALUE(data[[#This Row],[Strike]])</f>
        <v>3600</v>
      </c>
      <c r="AN93" s="5">
        <f ca="1">impliedVol(data[[#This Row],[OptType]],Details!$B$4,VALUE(data[[#This Row],[Strike]]),VALUE(data[[#This Row],[Cnt Price]]),Details!$B$6,data[[#This Row],[T]],Details!$B$7)</f>
        <v>0.31505973405137738</v>
      </c>
      <c r="AO93" s="7">
        <f t="array" aca="1" ref="AO93:AS93" ca="1">bsGreeks(data[[#This Row],[OptType]],Details!$B$4,VALUE(data[[#This Row],[Strike]]),Details!$B$6,data[[#This Row],[T]],AN93,Details!$B$7)</f>
        <v>-0.18806736726869477</v>
      </c>
      <c r="AP93" s="7">
        <f ca="1"/>
        <v>6.4127907792922451E-4</v>
      </c>
      <c r="AQ93" s="6">
        <f ca="1"/>
        <v>3.5950001841276626</v>
      </c>
      <c r="AR93" s="6">
        <f ca="1"/>
        <v>-132.68808895219743</v>
      </c>
      <c r="AS93" s="6">
        <f ca="1"/>
        <v>-90.195427382396403</v>
      </c>
      <c r="AU93" s="60">
        <f ca="1"/>
        <v>45.623888806707782</v>
      </c>
      <c r="AV93" s="61" t="str">
        <f ca="1"/>
        <v>p</v>
      </c>
      <c r="AW93" s="61">
        <f ca="1"/>
        <v>0.31505973405137738</v>
      </c>
      <c r="AX93" s="62">
        <f ca="1"/>
        <v>-0.18806736726869477</v>
      </c>
      <c r="AY93" s="62">
        <f ca="1"/>
        <v>6.4127907792922451E-4</v>
      </c>
      <c r="AZ93" s="62">
        <f ca="1"/>
        <v>3.5950001841276626</v>
      </c>
      <c r="BA93" s="60">
        <f ca="1"/>
        <v>-132.68808895219743</v>
      </c>
      <c r="BB93" s="60">
        <f ca="1"/>
        <v>-90.195427382396403</v>
      </c>
    </row>
    <row r="94" spans="1:54" x14ac:dyDescent="0.3">
      <c r="A94" t="s">
        <v>712</v>
      </c>
      <c r="B94" t="s">
        <v>713</v>
      </c>
      <c r="C94" t="s">
        <v>57</v>
      </c>
      <c r="D94" t="s">
        <v>1155</v>
      </c>
      <c r="E94" t="s">
        <v>84</v>
      </c>
      <c r="F94" t="s">
        <v>158</v>
      </c>
      <c r="G94" t="s">
        <v>1376</v>
      </c>
      <c r="H94" t="s">
        <v>1101</v>
      </c>
      <c r="I94" t="s">
        <v>1223</v>
      </c>
      <c r="J94" t="s">
        <v>1033</v>
      </c>
      <c r="K94" t="s">
        <v>1266</v>
      </c>
      <c r="L94" t="s">
        <v>307</v>
      </c>
      <c r="M94" t="s">
        <v>1034</v>
      </c>
      <c r="N94" t="s">
        <v>56</v>
      </c>
      <c r="O94" t="s">
        <v>36</v>
      </c>
      <c r="P94" t="s">
        <v>936</v>
      </c>
      <c r="Q94" t="s">
        <v>84</v>
      </c>
      <c r="V94" t="s">
        <v>49</v>
      </c>
      <c r="W94" t="s">
        <v>929</v>
      </c>
      <c r="X94" t="s">
        <v>1243</v>
      </c>
      <c r="Y94" t="s">
        <v>1252</v>
      </c>
      <c r="Z94" t="s">
        <v>84</v>
      </c>
      <c r="AA94" t="s">
        <v>84</v>
      </c>
      <c r="AB94" t="s">
        <v>36</v>
      </c>
      <c r="AC94" t="s">
        <v>1340</v>
      </c>
      <c r="AD94" t="s">
        <v>36</v>
      </c>
      <c r="AE94" t="s">
        <v>1340</v>
      </c>
      <c r="AF94" t="s">
        <v>86</v>
      </c>
      <c r="AG94" t="s">
        <v>269</v>
      </c>
      <c r="AH94" t="s">
        <v>183</v>
      </c>
      <c r="AI94" s="4">
        <f ca="1">data[[#This Row],[Expiry Date]]-TODAY()</f>
        <v>42</v>
      </c>
      <c r="AJ94" s="4">
        <f ca="1">data[[#This Row],[Maturity ( Days)]]/365</f>
        <v>0.11506849315068493</v>
      </c>
      <c r="AK94" s="4" t="str">
        <f>IF(data[[#This Row],[Option Type]]="put","p","c")</f>
        <v>c</v>
      </c>
      <c r="AL94" s="4">
        <f>(data[[#This Row],[Bid]]*data[[#This Row],[Bidsize]]+data[[#This Row],[Ask]]*data[[#This Row],[Asksize]])/(data[[#This Row],[Bidsize]]+data[[#This Row],[Asksize]])</f>
        <v>27.154639175257731</v>
      </c>
      <c r="AM94" s="4">
        <f>VALUE(data[[#This Row],[Strike]])</f>
        <v>4300</v>
      </c>
      <c r="AN94" s="5">
        <f ca="1">impliedVol(data[[#This Row],[OptType]],Details!$B$4,VALUE(data[[#This Row],[Strike]]),VALUE(data[[#This Row],[Cnt Price]]),Details!$B$6,data[[#This Row],[T]],Details!$B$7)</f>
        <v>0.24990025105608252</v>
      </c>
      <c r="AO94" s="7">
        <f t="array" aca="1" ref="AO94:AS94" ca="1">bsGreeks(data[[#This Row],[OptType]],Details!$B$4,VALUE(data[[#This Row],[Strike]]),Details!$B$6,data[[#This Row],[T]],AN94,Details!$B$7)</f>
        <v>0.15739972033573324</v>
      </c>
      <c r="AP94" s="7">
        <f ca="1"/>
        <v>7.2169148106507905E-4</v>
      </c>
      <c r="AQ94" s="6">
        <f ca="1"/>
        <v>3.2090554033568854</v>
      </c>
      <c r="AR94" s="6">
        <f ca="1"/>
        <v>-97.091760551785086</v>
      </c>
      <c r="AS94" s="6">
        <f ca="1"/>
        <v>68.05683137231911</v>
      </c>
      <c r="AU94" s="60">
        <f ca="1"/>
        <v>26.466260232860691</v>
      </c>
      <c r="AV94" s="61" t="str">
        <f ca="1"/>
        <v>c</v>
      </c>
      <c r="AW94" s="61">
        <f ca="1"/>
        <v>0.24990025105608252</v>
      </c>
      <c r="AX94" s="62">
        <f ca="1"/>
        <v>0.15739972033573324</v>
      </c>
      <c r="AY94" s="62">
        <f ca="1"/>
        <v>7.2169148106507905E-4</v>
      </c>
      <c r="AZ94" s="62">
        <f ca="1"/>
        <v>3.2090554033568854</v>
      </c>
      <c r="BA94" s="60">
        <f ca="1"/>
        <v>-97.091760551785086</v>
      </c>
      <c r="BB94" s="60">
        <f ca="1"/>
        <v>68.05683137231911</v>
      </c>
    </row>
    <row r="95" spans="1:54" x14ac:dyDescent="0.3">
      <c r="A95" t="s">
        <v>718</v>
      </c>
      <c r="B95" t="s">
        <v>719</v>
      </c>
      <c r="C95" t="s">
        <v>57</v>
      </c>
      <c r="D95" t="s">
        <v>1155</v>
      </c>
      <c r="E95" t="s">
        <v>84</v>
      </c>
      <c r="F95" t="s">
        <v>166</v>
      </c>
      <c r="G95" t="s">
        <v>1253</v>
      </c>
      <c r="H95" t="s">
        <v>1036</v>
      </c>
      <c r="I95" t="s">
        <v>1254</v>
      </c>
      <c r="J95" t="s">
        <v>258</v>
      </c>
      <c r="K95" t="s">
        <v>982</v>
      </c>
      <c r="L95" t="s">
        <v>307</v>
      </c>
      <c r="M95" t="s">
        <v>241</v>
      </c>
      <c r="N95" t="s">
        <v>56</v>
      </c>
      <c r="O95" t="s">
        <v>36</v>
      </c>
      <c r="P95" t="s">
        <v>1255</v>
      </c>
      <c r="Q95" t="s">
        <v>84</v>
      </c>
      <c r="V95" t="s">
        <v>49</v>
      </c>
      <c r="W95" t="s">
        <v>1256</v>
      </c>
      <c r="X95" t="s">
        <v>1243</v>
      </c>
      <c r="Y95" t="s">
        <v>1257</v>
      </c>
      <c r="Z95" t="s">
        <v>84</v>
      </c>
      <c r="AA95" t="s">
        <v>84</v>
      </c>
      <c r="AB95" t="s">
        <v>36</v>
      </c>
      <c r="AC95" t="s">
        <v>1340</v>
      </c>
      <c r="AD95" t="s">
        <v>36</v>
      </c>
      <c r="AE95" t="s">
        <v>1340</v>
      </c>
      <c r="AF95" t="s">
        <v>86</v>
      </c>
      <c r="AG95" t="s">
        <v>269</v>
      </c>
      <c r="AH95" t="s">
        <v>183</v>
      </c>
      <c r="AI95" s="4">
        <f ca="1">data[[#This Row],[Expiry Date]]-TODAY()</f>
        <v>42</v>
      </c>
      <c r="AJ95" s="4">
        <f ca="1">data[[#This Row],[Maturity ( Days)]]/365</f>
        <v>0.11506849315068493</v>
      </c>
      <c r="AK95" s="4" t="str">
        <f>IF(data[[#This Row],[Option Type]]="put","p","c")</f>
        <v>c</v>
      </c>
      <c r="AL95" s="4">
        <f>(data[[#This Row],[Bid]]*data[[#This Row],[Bidsize]]+data[[#This Row],[Ask]]*data[[#This Row],[Asksize]])/(data[[#This Row],[Bidsize]]+data[[#This Row],[Asksize]])</f>
        <v>19.034251968503941</v>
      </c>
      <c r="AM95" s="4">
        <f>VALUE(data[[#This Row],[Strike]])</f>
        <v>4350</v>
      </c>
      <c r="AN95" s="5">
        <f ca="1">impliedVol(data[[#This Row],[OptType]],Details!$B$4,VALUE(data[[#This Row],[Strike]]),VALUE(data[[#This Row],[Cnt Price]]),Details!$B$6,data[[#This Row],[T]],Details!$B$7)</f>
        <v>0.24332357478510039</v>
      </c>
      <c r="AO95" s="7">
        <f t="array" aca="1" ref="AO95:AS95" ca="1">bsGreeks(data[[#This Row],[OptType]],Details!$B$4,VALUE(data[[#This Row],[Strike]]),Details!$B$6,data[[#This Row],[T]],AN95,Details!$B$7)</f>
        <v>0.12005808888345887</v>
      </c>
      <c r="AP95" s="7">
        <f ca="1"/>
        <v>6.1617277475699034E-4</v>
      </c>
      <c r="AQ95" s="6">
        <f ca="1"/>
        <v>2.6677531258563847</v>
      </c>
      <c r="AR95" s="6">
        <f ca="1"/>
        <v>-78.519054486428573</v>
      </c>
      <c r="AS95" s="6">
        <f ca="1"/>
        <v>52.104162309889816</v>
      </c>
      <c r="AU95" s="60">
        <f ca="1"/>
        <v>18.506570464812341</v>
      </c>
      <c r="AV95" s="61" t="str">
        <f ca="1"/>
        <v>c</v>
      </c>
      <c r="AW95" s="61">
        <f ca="1"/>
        <v>0.24332357478510039</v>
      </c>
      <c r="AX95" s="62">
        <f ca="1"/>
        <v>0.12005808888345887</v>
      </c>
      <c r="AY95" s="62">
        <f ca="1"/>
        <v>6.1617277475699034E-4</v>
      </c>
      <c r="AZ95" s="62">
        <f ca="1"/>
        <v>2.6677531258563847</v>
      </c>
      <c r="BA95" s="60">
        <f ca="1"/>
        <v>-78.519054486428573</v>
      </c>
      <c r="BB95" s="60">
        <f ca="1"/>
        <v>52.104162309889816</v>
      </c>
    </row>
    <row r="96" spans="1:54" x14ac:dyDescent="0.3">
      <c r="A96" t="s">
        <v>837</v>
      </c>
      <c r="B96" t="s">
        <v>838</v>
      </c>
      <c r="C96" t="s">
        <v>29</v>
      </c>
      <c r="D96" t="s">
        <v>117</v>
      </c>
      <c r="E96" t="s">
        <v>84</v>
      </c>
      <c r="F96" t="s">
        <v>787</v>
      </c>
      <c r="G96" t="s">
        <v>1527</v>
      </c>
      <c r="H96" t="s">
        <v>1528</v>
      </c>
      <c r="I96" t="s">
        <v>1274</v>
      </c>
      <c r="J96" t="s">
        <v>105</v>
      </c>
      <c r="K96" t="s">
        <v>1110</v>
      </c>
      <c r="L96" t="s">
        <v>307</v>
      </c>
      <c r="M96" t="s">
        <v>822</v>
      </c>
      <c r="N96" t="s">
        <v>56</v>
      </c>
      <c r="O96" t="s">
        <v>36</v>
      </c>
      <c r="P96" t="s">
        <v>84</v>
      </c>
      <c r="Q96" t="s">
        <v>105</v>
      </c>
      <c r="V96" t="s">
        <v>49</v>
      </c>
      <c r="W96" t="s">
        <v>84</v>
      </c>
      <c r="X96" t="s">
        <v>1105</v>
      </c>
      <c r="Y96" t="s">
        <v>1274</v>
      </c>
      <c r="Z96" t="s">
        <v>84</v>
      </c>
      <c r="AA96" t="s">
        <v>84</v>
      </c>
      <c r="AB96" t="s">
        <v>36</v>
      </c>
      <c r="AC96" t="s">
        <v>1340</v>
      </c>
      <c r="AD96" t="s">
        <v>36</v>
      </c>
      <c r="AE96" t="s">
        <v>1340</v>
      </c>
      <c r="AF96" t="s">
        <v>86</v>
      </c>
      <c r="AG96" t="s">
        <v>269</v>
      </c>
      <c r="AH96" t="s">
        <v>183</v>
      </c>
      <c r="AI96" s="4">
        <f ca="1">data[[#This Row],[Expiry Date]]-TODAY()</f>
        <v>42</v>
      </c>
      <c r="AJ96" s="4">
        <f ca="1">data[[#This Row],[Maturity ( Days)]]/365</f>
        <v>0.11506849315068493</v>
      </c>
      <c r="AK96" s="4" t="str">
        <f>IF(data[[#This Row],[Option Type]]="put","p","c")</f>
        <v>p</v>
      </c>
      <c r="AL96" s="4">
        <f>(data[[#This Row],[Bid]]*data[[#This Row],[Bidsize]]+data[[#This Row],[Ask]]*data[[#This Row],[Asksize]])/(data[[#This Row],[Bidsize]]+data[[#This Row],[Asksize]])</f>
        <v>60.961194029850745</v>
      </c>
      <c r="AM96" s="4">
        <f>VALUE(data[[#This Row],[Strike]])</f>
        <v>3690</v>
      </c>
      <c r="AN96" s="5">
        <f ca="1">impliedVol(data[[#This Row],[OptType]],Details!$B$4,VALUE(data[[#This Row],[Strike]]),VALUE(data[[#This Row],[Cnt Price]]),Details!$B$6,data[[#This Row],[T]],Details!$B$7)</f>
        <v>0.30014374763783841</v>
      </c>
      <c r="AO96" s="7">
        <f t="array" aca="1" ref="AO96:AS96" ca="1">bsGreeks(data[[#This Row],[OptType]],Details!$B$4,VALUE(data[[#This Row],[Strike]]),Details!$B$6,data[[#This Row],[T]],AN96,Details!$B$7)</f>
        <v>-0.24783719429004369</v>
      </c>
      <c r="AP96" s="7">
        <f ca="1"/>
        <v>7.8959582909767238E-4</v>
      </c>
      <c r="AQ96" s="6">
        <f ca="1"/>
        <v>4.2168979422887283</v>
      </c>
      <c r="AR96" s="6">
        <f ca="1"/>
        <v>-147.8368533988199</v>
      </c>
      <c r="AS96" s="6">
        <f ca="1"/>
        <v>-119.09279911012196</v>
      </c>
      <c r="AU96" s="60">
        <f ca="1"/>
        <v>62.144748033701035</v>
      </c>
      <c r="AV96" s="61" t="str">
        <f ca="1"/>
        <v>p</v>
      </c>
      <c r="AW96" s="61">
        <f ca="1"/>
        <v>0.30014374763783841</v>
      </c>
      <c r="AX96" s="62">
        <f ca="1"/>
        <v>-0.24783719429004369</v>
      </c>
      <c r="AY96" s="62">
        <f ca="1"/>
        <v>7.8959582909767238E-4</v>
      </c>
      <c r="AZ96" s="62">
        <f ca="1"/>
        <v>4.2168979422887283</v>
      </c>
      <c r="BA96" s="60">
        <f ca="1"/>
        <v>-147.8368533988199</v>
      </c>
      <c r="BB96" s="60">
        <f ca="1"/>
        <v>-119.09279911012196</v>
      </c>
    </row>
    <row r="97" spans="1:54" x14ac:dyDescent="0.3">
      <c r="A97" t="s">
        <v>566</v>
      </c>
      <c r="B97" t="s">
        <v>567</v>
      </c>
      <c r="C97" t="s">
        <v>29</v>
      </c>
      <c r="D97" t="s">
        <v>85</v>
      </c>
      <c r="E97" t="s">
        <v>84</v>
      </c>
      <c r="F97" t="s">
        <v>252</v>
      </c>
      <c r="G97" t="s">
        <v>1350</v>
      </c>
      <c r="H97" t="s">
        <v>966</v>
      </c>
      <c r="I97" t="s">
        <v>1281</v>
      </c>
      <c r="J97" t="s">
        <v>107</v>
      </c>
      <c r="K97" t="s">
        <v>121</v>
      </c>
      <c r="L97" t="s">
        <v>307</v>
      </c>
      <c r="M97" t="s">
        <v>1063</v>
      </c>
      <c r="N97" t="s">
        <v>56</v>
      </c>
      <c r="O97" t="s">
        <v>36</v>
      </c>
      <c r="P97" t="s">
        <v>84</v>
      </c>
      <c r="Q97" t="s">
        <v>109</v>
      </c>
      <c r="V97" t="s">
        <v>49</v>
      </c>
      <c r="W97" t="s">
        <v>84</v>
      </c>
      <c r="X97" t="s">
        <v>1105</v>
      </c>
      <c r="Y97" t="s">
        <v>1281</v>
      </c>
      <c r="Z97" t="s">
        <v>84</v>
      </c>
      <c r="AA97" t="s">
        <v>84</v>
      </c>
      <c r="AB97" t="s">
        <v>36</v>
      </c>
      <c r="AC97" t="s">
        <v>1340</v>
      </c>
      <c r="AD97" t="s">
        <v>36</v>
      </c>
      <c r="AE97" t="s">
        <v>1340</v>
      </c>
      <c r="AF97" t="s">
        <v>86</v>
      </c>
      <c r="AG97" t="s">
        <v>269</v>
      </c>
      <c r="AH97" t="s">
        <v>183</v>
      </c>
      <c r="AI97" s="4">
        <f ca="1">data[[#This Row],[Expiry Date]]-TODAY()</f>
        <v>42</v>
      </c>
      <c r="AJ97" s="4">
        <f ca="1">data[[#This Row],[Maturity ( Days)]]/365</f>
        <v>0.11506849315068493</v>
      </c>
      <c r="AK97" s="4" t="str">
        <f>IF(data[[#This Row],[Option Type]]="put","p","c")</f>
        <v>p</v>
      </c>
      <c r="AL97" s="4">
        <f>(data[[#This Row],[Bid]]*data[[#This Row],[Bidsize]]+data[[#This Row],[Ask]]*data[[#This Row],[Asksize]])/(data[[#This Row],[Bidsize]]+data[[#This Row],[Asksize]])</f>
        <v>80.882352941176464</v>
      </c>
      <c r="AM97" s="4">
        <f>VALUE(data[[#This Row],[Strike]])</f>
        <v>3775</v>
      </c>
      <c r="AN97" s="5">
        <f ca="1">impliedVol(data[[#This Row],[OptType]],Details!$B$4,VALUE(data[[#This Row],[Strike]]),VALUE(data[[#This Row],[Cnt Price]]),Details!$B$6,data[[#This Row],[T]],Details!$B$7)</f>
        <v>0.28555934360255864</v>
      </c>
      <c r="AO97" s="7">
        <f t="array" aca="1" ref="AO97:AS97" ca="1">bsGreeks(data[[#This Row],[OptType]],Details!$B$4,VALUE(data[[#This Row],[Strike]]),Details!$B$6,data[[#This Row],[T]],AN97,Details!$B$7)</f>
        <v>-0.31706253853903865</v>
      </c>
      <c r="AP97" s="7">
        <f ca="1"/>
        <v>9.3464934848856425E-4</v>
      </c>
      <c r="AQ97" s="6">
        <f ca="1"/>
        <v>4.7490203044125403</v>
      </c>
      <c r="AR97" s="6">
        <f ca="1"/>
        <v>-157.80402888718766</v>
      </c>
      <c r="AS97" s="6">
        <f ca="1"/>
        <v>-152.69059126616179</v>
      </c>
      <c r="AU97" s="60">
        <f ca="1"/>
        <v>82.400591190333671</v>
      </c>
      <c r="AV97" s="61" t="str">
        <f ca="1"/>
        <v>p</v>
      </c>
      <c r="AW97" s="61">
        <f ca="1"/>
        <v>0.28555934360255864</v>
      </c>
      <c r="AX97" s="62">
        <f ca="1"/>
        <v>-0.31706253853903865</v>
      </c>
      <c r="AY97" s="62">
        <f ca="1"/>
        <v>9.3464934848856425E-4</v>
      </c>
      <c r="AZ97" s="62">
        <f ca="1"/>
        <v>4.7490203044125403</v>
      </c>
      <c r="BA97" s="60">
        <f ca="1"/>
        <v>-157.80402888718766</v>
      </c>
      <c r="BB97" s="60">
        <f ca="1"/>
        <v>-152.69059126616179</v>
      </c>
    </row>
    <row r="98" spans="1:54" x14ac:dyDescent="0.3">
      <c r="A98" t="s">
        <v>850</v>
      </c>
      <c r="B98" t="s">
        <v>851</v>
      </c>
      <c r="C98" t="s">
        <v>29</v>
      </c>
      <c r="D98" t="s">
        <v>114</v>
      </c>
      <c r="E98" t="s">
        <v>84</v>
      </c>
      <c r="F98" t="s">
        <v>812</v>
      </c>
      <c r="G98" t="s">
        <v>933</v>
      </c>
      <c r="H98" t="s">
        <v>1137</v>
      </c>
      <c r="I98" t="s">
        <v>1189</v>
      </c>
      <c r="J98" t="s">
        <v>107</v>
      </c>
      <c r="K98" t="s">
        <v>121</v>
      </c>
      <c r="L98" t="s">
        <v>307</v>
      </c>
      <c r="M98" t="s">
        <v>865</v>
      </c>
      <c r="N98" t="s">
        <v>56</v>
      </c>
      <c r="O98" t="s">
        <v>36</v>
      </c>
      <c r="P98" t="s">
        <v>84</v>
      </c>
      <c r="Q98" t="s">
        <v>109</v>
      </c>
      <c r="V98" t="s">
        <v>49</v>
      </c>
      <c r="W98" t="s">
        <v>84</v>
      </c>
      <c r="X98" t="s">
        <v>1158</v>
      </c>
      <c r="Y98" t="s">
        <v>1189</v>
      </c>
      <c r="Z98" t="s">
        <v>84</v>
      </c>
      <c r="AA98" t="s">
        <v>84</v>
      </c>
      <c r="AB98" t="s">
        <v>36</v>
      </c>
      <c r="AC98" t="s">
        <v>1340</v>
      </c>
      <c r="AD98" t="s">
        <v>36</v>
      </c>
      <c r="AE98" t="s">
        <v>1340</v>
      </c>
      <c r="AF98" t="s">
        <v>86</v>
      </c>
      <c r="AG98" t="s">
        <v>269</v>
      </c>
      <c r="AH98" t="s">
        <v>183</v>
      </c>
      <c r="AI98" s="4">
        <f ca="1">data[[#This Row],[Expiry Date]]-TODAY()</f>
        <v>42</v>
      </c>
      <c r="AJ98" s="4">
        <f ca="1">data[[#This Row],[Maturity ( Days)]]/365</f>
        <v>0.11506849315068493</v>
      </c>
      <c r="AK98" s="4" t="str">
        <f>IF(data[[#This Row],[Option Type]]="put","p","c")</f>
        <v>p</v>
      </c>
      <c r="AL98" s="4">
        <f>(data[[#This Row],[Bid]]*data[[#This Row],[Bidsize]]+data[[#This Row],[Ask]]*data[[#This Row],[Asksize]])/(data[[#This Row],[Bidsize]]+data[[#This Row],[Asksize]])</f>
        <v>82.28235294117647</v>
      </c>
      <c r="AM98" s="4">
        <f>VALUE(data[[#This Row],[Strike]])</f>
        <v>3780</v>
      </c>
      <c r="AN98" s="5">
        <f ca="1">impliedVol(data[[#This Row],[OptType]],Details!$B$4,VALUE(data[[#This Row],[Strike]]),VALUE(data[[#This Row],[Cnt Price]]),Details!$B$6,data[[#This Row],[T]],Details!$B$7)</f>
        <v>0.28482654094246312</v>
      </c>
      <c r="AO98" s="7">
        <f t="array" aca="1" ref="AO98:AS98" ca="1">bsGreeks(data[[#This Row],[OptType]],Details!$B$4,VALUE(data[[#This Row],[Strike]]),Details!$B$6,data[[#This Row],[T]],AN98,Details!$B$7)</f>
        <v>-0.32160877386878306</v>
      </c>
      <c r="AP98" s="7">
        <f ca="1"/>
        <v>9.4266945591522803E-4</v>
      </c>
      <c r="AQ98" s="6">
        <f ca="1"/>
        <v>4.7774795298366062</v>
      </c>
      <c r="AR98" s="6">
        <f ca="1"/>
        <v>-158.30187804162205</v>
      </c>
      <c r="AS98" s="6">
        <f ca="1"/>
        <v>-154.90761433415202</v>
      </c>
      <c r="AU98" s="60">
        <f ca="1"/>
        <v>83.822691822766501</v>
      </c>
      <c r="AV98" s="61" t="str">
        <f ca="1"/>
        <v>p</v>
      </c>
      <c r="AW98" s="61">
        <f ca="1"/>
        <v>0.28482654094246312</v>
      </c>
      <c r="AX98" s="62">
        <f ca="1"/>
        <v>-0.32160877386878306</v>
      </c>
      <c r="AY98" s="62">
        <f ca="1"/>
        <v>9.4266945591522803E-4</v>
      </c>
      <c r="AZ98" s="62">
        <f ca="1"/>
        <v>4.7774795298366062</v>
      </c>
      <c r="BA98" s="60">
        <f ca="1"/>
        <v>-158.30187804162205</v>
      </c>
      <c r="BB98" s="60">
        <f ca="1"/>
        <v>-154.90761433415202</v>
      </c>
    </row>
    <row r="99" spans="1:54" x14ac:dyDescent="0.3">
      <c r="A99" t="s">
        <v>517</v>
      </c>
      <c r="B99" t="s">
        <v>518</v>
      </c>
      <c r="C99" t="s">
        <v>29</v>
      </c>
      <c r="D99" t="s">
        <v>101</v>
      </c>
      <c r="E99" t="s">
        <v>84</v>
      </c>
      <c r="F99" t="s">
        <v>148</v>
      </c>
      <c r="G99" t="s">
        <v>84</v>
      </c>
      <c r="H99" t="s">
        <v>767</v>
      </c>
      <c r="I99" t="s">
        <v>152</v>
      </c>
      <c r="J99" t="s">
        <v>84</v>
      </c>
      <c r="K99" t="s">
        <v>1415</v>
      </c>
      <c r="L99" t="s">
        <v>307</v>
      </c>
      <c r="M99" t="s">
        <v>113</v>
      </c>
      <c r="N99" t="s">
        <v>56</v>
      </c>
      <c r="O99" t="s">
        <v>36</v>
      </c>
      <c r="P99" t="s">
        <v>84</v>
      </c>
      <c r="Q99" t="s">
        <v>84</v>
      </c>
      <c r="V99" t="s">
        <v>49</v>
      </c>
      <c r="W99" t="s">
        <v>84</v>
      </c>
      <c r="X99" t="s">
        <v>953</v>
      </c>
      <c r="Y99" t="s">
        <v>152</v>
      </c>
      <c r="Z99" t="s">
        <v>84</v>
      </c>
      <c r="AA99" t="s">
        <v>84</v>
      </c>
      <c r="AB99" t="s">
        <v>36</v>
      </c>
      <c r="AC99" t="s">
        <v>1340</v>
      </c>
      <c r="AD99" t="s">
        <v>36</v>
      </c>
      <c r="AE99" t="s">
        <v>1340</v>
      </c>
      <c r="AF99" t="s">
        <v>86</v>
      </c>
      <c r="AG99" t="s">
        <v>269</v>
      </c>
      <c r="AH99" t="s">
        <v>183</v>
      </c>
      <c r="AI99" s="4">
        <f ca="1">data[[#This Row],[Expiry Date]]-TODAY()</f>
        <v>42</v>
      </c>
      <c r="AJ99" s="4">
        <f ca="1">data[[#This Row],[Maturity ( Days)]]/365</f>
        <v>0.11506849315068493</v>
      </c>
      <c r="AK99" s="4" t="str">
        <f>IF(data[[#This Row],[Option Type]]="put","p","c")</f>
        <v>p</v>
      </c>
      <c r="AL99" s="4">
        <f>(data[[#This Row],[Bid]]*data[[#This Row],[Bidsize]]+data[[#This Row],[Ask]]*data[[#This Row],[Asksize]])/(data[[#This Row],[Bidsize]]+data[[#This Row],[Asksize]])</f>
        <v>0.25</v>
      </c>
      <c r="AM99" s="4">
        <f>VALUE(data[[#This Row],[Strike]])</f>
        <v>1200</v>
      </c>
      <c r="AN9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99" s="7" t="str">
        <f t="array" aca="1" ref="AO99:AS99" ca="1">bsGreeks(data[[#This Row],[OptType]],Details!$B$4,VALUE(data[[#This Row],[Strike]]),Details!$B$6,data[[#This Row],[T]],AN99,Details!$B$7)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99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99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99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99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99" s="60">
        <f ca="1"/>
        <v>0</v>
      </c>
      <c r="AV99" s="61" t="str">
        <f ca="1"/>
        <v>p</v>
      </c>
      <c r="AW99" s="61" t="str">
        <f ca="1"/>
        <v>Calculation Error : Vega is Zero</v>
      </c>
      <c r="AX99" s="62">
        <f ca="1"/>
        <v>0</v>
      </c>
      <c r="AY99" s="62">
        <f ca="1"/>
        <v>0</v>
      </c>
      <c r="AZ99" s="62">
        <f ca="1"/>
        <v>0</v>
      </c>
      <c r="BA99" s="60">
        <f ca="1"/>
        <v>0</v>
      </c>
      <c r="BB99" s="60">
        <f ca="1"/>
        <v>0</v>
      </c>
    </row>
    <row r="100" spans="1:54" x14ac:dyDescent="0.3">
      <c r="A100" t="s">
        <v>323</v>
      </c>
      <c r="B100" t="s">
        <v>324</v>
      </c>
      <c r="C100" t="s">
        <v>29</v>
      </c>
      <c r="D100" t="s">
        <v>116</v>
      </c>
      <c r="E100" t="s">
        <v>84</v>
      </c>
      <c r="F100" t="s">
        <v>150</v>
      </c>
      <c r="G100" t="s">
        <v>152</v>
      </c>
      <c r="H100" t="s">
        <v>151</v>
      </c>
      <c r="I100" t="s">
        <v>325</v>
      </c>
      <c r="J100" t="s">
        <v>1383</v>
      </c>
      <c r="K100" t="s">
        <v>1370</v>
      </c>
      <c r="L100" t="s">
        <v>307</v>
      </c>
      <c r="M100" t="s">
        <v>116</v>
      </c>
      <c r="N100" t="s">
        <v>56</v>
      </c>
      <c r="O100" t="s">
        <v>36</v>
      </c>
      <c r="P100" t="s">
        <v>84</v>
      </c>
      <c r="Q100" t="s">
        <v>84</v>
      </c>
      <c r="V100" t="s">
        <v>49</v>
      </c>
      <c r="W100" t="s">
        <v>84</v>
      </c>
      <c r="X100" t="s">
        <v>277</v>
      </c>
      <c r="Y100" t="s">
        <v>325</v>
      </c>
      <c r="Z100" t="s">
        <v>84</v>
      </c>
      <c r="AA100" t="s">
        <v>84</v>
      </c>
      <c r="AB100" t="s">
        <v>36</v>
      </c>
      <c r="AC100" t="s">
        <v>1340</v>
      </c>
      <c r="AD100" t="s">
        <v>36</v>
      </c>
      <c r="AE100" t="s">
        <v>1340</v>
      </c>
      <c r="AF100" t="s">
        <v>86</v>
      </c>
      <c r="AG100" t="s">
        <v>269</v>
      </c>
      <c r="AH100" t="s">
        <v>183</v>
      </c>
      <c r="AI100" s="4">
        <f ca="1">data[[#This Row],[Expiry Date]]-TODAY()</f>
        <v>42</v>
      </c>
      <c r="AJ100" s="4">
        <f ca="1">data[[#This Row],[Maturity ( Days)]]/365</f>
        <v>0.11506849315068493</v>
      </c>
      <c r="AK100" s="4" t="str">
        <f>IF(data[[#This Row],[Option Type]]="put","p","c")</f>
        <v>p</v>
      </c>
      <c r="AL100" s="4">
        <f>(data[[#This Row],[Bid]]*data[[#This Row],[Bidsize]]+data[[#This Row],[Ask]]*data[[#This Row],[Asksize]])/(data[[#This Row],[Bidsize]]+data[[#This Row],[Asksize]])</f>
        <v>0.29504000000000008</v>
      </c>
      <c r="AM100" s="4">
        <f>VALUE(data[[#This Row],[Strike]])</f>
        <v>1600</v>
      </c>
      <c r="AN100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100" s="7" t="str">
        <f t="array" aca="1" ref="AO100:AS100" ca="1">bsGreeks(data[[#This Row],[OptType]],Details!$B$4,VALUE(data[[#This Row],[Strike]]),Details!$B$6,data[[#This Row],[T]],AN100,Details!$B$7)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00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00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00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100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100" s="60">
        <f ca="1"/>
        <v>0</v>
      </c>
      <c r="AV100" s="61" t="str">
        <f ca="1"/>
        <v>p</v>
      </c>
      <c r="AW100" s="61" t="str">
        <f ca="1"/>
        <v>Calculation Error : Vega is Zero</v>
      </c>
      <c r="AX100" s="62">
        <f ca="1"/>
        <v>0</v>
      </c>
      <c r="AY100" s="62">
        <f ca="1"/>
        <v>0</v>
      </c>
      <c r="AZ100" s="62">
        <f ca="1"/>
        <v>0</v>
      </c>
      <c r="BA100" s="60">
        <f ca="1"/>
        <v>0</v>
      </c>
      <c r="BB100" s="60">
        <f ca="1"/>
        <v>0</v>
      </c>
    </row>
    <row r="101" spans="1:54" x14ac:dyDescent="0.3">
      <c r="A101" t="s">
        <v>519</v>
      </c>
      <c r="B101" t="s">
        <v>520</v>
      </c>
      <c r="C101" t="s">
        <v>57</v>
      </c>
      <c r="D101" t="s">
        <v>85</v>
      </c>
      <c r="E101" t="s">
        <v>84</v>
      </c>
      <c r="F101" t="s">
        <v>161</v>
      </c>
      <c r="G101" t="s">
        <v>1529</v>
      </c>
      <c r="H101" t="s">
        <v>1530</v>
      </c>
      <c r="I101" t="s">
        <v>521</v>
      </c>
      <c r="J101" t="s">
        <v>109</v>
      </c>
      <c r="K101" t="s">
        <v>109</v>
      </c>
      <c r="L101" t="s">
        <v>307</v>
      </c>
      <c r="M101" t="s">
        <v>85</v>
      </c>
      <c r="N101" t="s">
        <v>56</v>
      </c>
      <c r="O101" t="s">
        <v>36</v>
      </c>
      <c r="P101" t="s">
        <v>84</v>
      </c>
      <c r="Q101" t="s">
        <v>84</v>
      </c>
      <c r="V101" t="s">
        <v>49</v>
      </c>
      <c r="W101" t="s">
        <v>84</v>
      </c>
      <c r="X101" t="s">
        <v>222</v>
      </c>
      <c r="Y101" t="s">
        <v>521</v>
      </c>
      <c r="Z101" t="s">
        <v>84</v>
      </c>
      <c r="AA101" t="s">
        <v>84</v>
      </c>
      <c r="AB101" t="s">
        <v>36</v>
      </c>
      <c r="AC101" t="s">
        <v>1340</v>
      </c>
      <c r="AD101" t="s">
        <v>36</v>
      </c>
      <c r="AE101" t="s">
        <v>1340</v>
      </c>
      <c r="AF101" t="s">
        <v>86</v>
      </c>
      <c r="AG101" t="s">
        <v>269</v>
      </c>
      <c r="AH101" t="s">
        <v>183</v>
      </c>
      <c r="AI101" s="4">
        <f ca="1">data[[#This Row],[Expiry Date]]-TODAY()</f>
        <v>42</v>
      </c>
      <c r="AJ101" s="4">
        <f ca="1">data[[#This Row],[Maturity ( Days)]]/365</f>
        <v>0.11506849315068493</v>
      </c>
      <c r="AK101" s="4" t="str">
        <f>IF(data[[#This Row],[Option Type]]="put","p","c")</f>
        <v>c</v>
      </c>
      <c r="AL101" s="4">
        <f>(data[[#This Row],[Bid]]*data[[#This Row],[Bidsize]]+data[[#This Row],[Ask]]*data[[#This Row],[Asksize]])/(data[[#This Row],[Bidsize]]+data[[#This Row],[Asksize]])</f>
        <v>2168.2000000000003</v>
      </c>
      <c r="AM101" s="4">
        <f>VALUE(data[[#This Row],[Strike]])</f>
        <v>1800</v>
      </c>
      <c r="AN101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101" s="7" t="str">
        <f t="array" aca="1" ref="AO101:AS101" ca="1">bsGreeks(data[[#This Row],[OptType]],Details!$B$4,VALUE(data[[#This Row],[Strike]]),Details!$B$6,data[[#This Row],[T]],AN101,Details!$B$7)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01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01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01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101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101" s="60">
        <f ca="1"/>
        <v>0</v>
      </c>
      <c r="AV101" s="61" t="str">
        <f ca="1"/>
        <v>c</v>
      </c>
      <c r="AW101" s="61" t="str">
        <f ca="1"/>
        <v>Calculation Error : Vega is Zero</v>
      </c>
      <c r="AX101" s="62">
        <f ca="1"/>
        <v>0</v>
      </c>
      <c r="AY101" s="62">
        <f ca="1"/>
        <v>0</v>
      </c>
      <c r="AZ101" s="62">
        <f ca="1"/>
        <v>0</v>
      </c>
      <c r="BA101" s="60">
        <f ca="1"/>
        <v>0</v>
      </c>
      <c r="BB101" s="60">
        <f ca="1"/>
        <v>0</v>
      </c>
    </row>
    <row r="102" spans="1:54" x14ac:dyDescent="0.3">
      <c r="A102" t="s">
        <v>326</v>
      </c>
      <c r="B102" t="s">
        <v>327</v>
      </c>
      <c r="C102" t="s">
        <v>29</v>
      </c>
      <c r="D102" t="s">
        <v>849</v>
      </c>
      <c r="E102" t="s">
        <v>84</v>
      </c>
      <c r="F102" t="s">
        <v>161</v>
      </c>
      <c r="G102" t="s">
        <v>151</v>
      </c>
      <c r="H102" t="s">
        <v>238</v>
      </c>
      <c r="I102" t="s">
        <v>820</v>
      </c>
      <c r="J102" t="s">
        <v>951</v>
      </c>
      <c r="K102" t="s">
        <v>1380</v>
      </c>
      <c r="L102" t="s">
        <v>307</v>
      </c>
      <c r="M102" t="s">
        <v>83</v>
      </c>
      <c r="N102" t="s">
        <v>56</v>
      </c>
      <c r="O102" t="s">
        <v>36</v>
      </c>
      <c r="P102" t="s">
        <v>84</v>
      </c>
      <c r="Q102" t="s">
        <v>84</v>
      </c>
      <c r="V102" t="s">
        <v>49</v>
      </c>
      <c r="W102" t="s">
        <v>84</v>
      </c>
      <c r="X102" t="s">
        <v>1105</v>
      </c>
      <c r="Y102" t="s">
        <v>820</v>
      </c>
      <c r="Z102" t="s">
        <v>84</v>
      </c>
      <c r="AA102" t="s">
        <v>84</v>
      </c>
      <c r="AB102" t="s">
        <v>36</v>
      </c>
      <c r="AC102" t="s">
        <v>1340</v>
      </c>
      <c r="AD102" t="s">
        <v>36</v>
      </c>
      <c r="AE102" t="s">
        <v>1340</v>
      </c>
      <c r="AF102" t="s">
        <v>86</v>
      </c>
      <c r="AG102" t="s">
        <v>269</v>
      </c>
      <c r="AH102" t="s">
        <v>183</v>
      </c>
      <c r="AI102" s="4">
        <f ca="1">data[[#This Row],[Expiry Date]]-TODAY()</f>
        <v>42</v>
      </c>
      <c r="AJ102" s="4">
        <f ca="1">data[[#This Row],[Maturity ( Days)]]/365</f>
        <v>0.11506849315068493</v>
      </c>
      <c r="AK102" s="4" t="str">
        <f>IF(data[[#This Row],[Option Type]]="put","p","c")</f>
        <v>p</v>
      </c>
      <c r="AL102" s="4">
        <f>(data[[#This Row],[Bid]]*data[[#This Row],[Bidsize]]+data[[#This Row],[Ask]]*data[[#This Row],[Asksize]])/(data[[#This Row],[Bidsize]]+data[[#This Row],[Asksize]])</f>
        <v>0.53878260869565209</v>
      </c>
      <c r="AM102" s="4">
        <f>VALUE(data[[#This Row],[Strike]])</f>
        <v>1800</v>
      </c>
      <c r="AN102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102" s="7" t="str">
        <f t="array" aca="1" ref="AO102:AS102" ca="1">bsGreeks(data[[#This Row],[OptType]],Details!$B$4,VALUE(data[[#This Row],[Strike]]),Details!$B$6,data[[#This Row],[T]],AN102,Details!$B$7)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102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102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102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102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102" s="60">
        <f ca="1"/>
        <v>0</v>
      </c>
      <c r="AV102" s="61" t="str">
        <f ca="1"/>
        <v>p</v>
      </c>
      <c r="AW102" s="61" t="str">
        <f ca="1"/>
        <v>Calculation Error : Vega is Zero</v>
      </c>
      <c r="AX102" s="62">
        <f ca="1"/>
        <v>0</v>
      </c>
      <c r="AY102" s="62">
        <f ca="1"/>
        <v>0</v>
      </c>
      <c r="AZ102" s="62">
        <f ca="1"/>
        <v>0</v>
      </c>
      <c r="BA102" s="60">
        <f ca="1"/>
        <v>0</v>
      </c>
      <c r="BB102" s="60">
        <f ca="1"/>
        <v>0</v>
      </c>
    </row>
    <row r="103" spans="1:54" x14ac:dyDescent="0.3">
      <c r="A103" t="s">
        <v>522</v>
      </c>
      <c r="B103" t="s">
        <v>523</v>
      </c>
      <c r="C103" t="s">
        <v>29</v>
      </c>
      <c r="D103" t="s">
        <v>85</v>
      </c>
      <c r="E103" t="s">
        <v>84</v>
      </c>
      <c r="F103" t="s">
        <v>127</v>
      </c>
      <c r="G103" t="s">
        <v>238</v>
      </c>
      <c r="H103" t="s">
        <v>1152</v>
      </c>
      <c r="I103" t="s">
        <v>1258</v>
      </c>
      <c r="J103" t="s">
        <v>943</v>
      </c>
      <c r="K103" t="s">
        <v>1334</v>
      </c>
      <c r="L103" t="s">
        <v>307</v>
      </c>
      <c r="M103" t="s">
        <v>123</v>
      </c>
      <c r="N103" t="s">
        <v>56</v>
      </c>
      <c r="O103" t="s">
        <v>36</v>
      </c>
      <c r="P103" t="s">
        <v>84</v>
      </c>
      <c r="Q103" t="s">
        <v>84</v>
      </c>
      <c r="V103" t="s">
        <v>49</v>
      </c>
      <c r="W103" t="s">
        <v>84</v>
      </c>
      <c r="X103" t="s">
        <v>1243</v>
      </c>
      <c r="Y103" t="s">
        <v>1258</v>
      </c>
      <c r="Z103" t="s">
        <v>84</v>
      </c>
      <c r="AA103" t="s">
        <v>84</v>
      </c>
      <c r="AB103" t="s">
        <v>36</v>
      </c>
      <c r="AC103" t="s">
        <v>1340</v>
      </c>
      <c r="AD103" t="s">
        <v>36</v>
      </c>
      <c r="AE103" t="s">
        <v>1340</v>
      </c>
      <c r="AF103" t="s">
        <v>86</v>
      </c>
      <c r="AG103" t="s">
        <v>269</v>
      </c>
      <c r="AH103" t="s">
        <v>183</v>
      </c>
      <c r="AI103" s="4">
        <f ca="1">data[[#This Row],[Expiry Date]]-TODAY()</f>
        <v>42</v>
      </c>
      <c r="AJ103" s="4">
        <f ca="1">data[[#This Row],[Maturity ( Days)]]/365</f>
        <v>0.11506849315068493</v>
      </c>
      <c r="AK103" s="4" t="str">
        <f>IF(data[[#This Row],[Option Type]]="put","p","c")</f>
        <v>p</v>
      </c>
      <c r="AL103" s="4">
        <f>(data[[#This Row],[Bid]]*data[[#This Row],[Bidsize]]+data[[#This Row],[Ask]]*data[[#This Row],[Asksize]])/(data[[#This Row],[Bidsize]]+data[[#This Row],[Asksize]])</f>
        <v>0.69655172413793098</v>
      </c>
      <c r="AM103" s="4">
        <f>VALUE(data[[#This Row],[Strike]])</f>
        <v>2000</v>
      </c>
      <c r="AN103" s="5">
        <f ca="1">impliedVol(data[[#This Row],[OptType]],Details!$B$4,VALUE(data[[#This Row],[Strike]]),VALUE(data[[#This Row],[Cnt Price]]),Details!$B$6,data[[#This Row],[T]],Details!$B$7)</f>
        <v>0.73550596994180473</v>
      </c>
      <c r="AO103" s="7">
        <f t="array" aca="1" ref="AO103:AS103" ca="1">bsGreeks(data[[#This Row],[OptType]],Details!$B$4,VALUE(data[[#This Row],[Strike]]),Details!$B$6,data[[#This Row],[T]],AN103,Details!$B$7)</f>
        <v>-2.2779517620759027E-3</v>
      </c>
      <c r="AP103" s="7">
        <f ca="1"/>
        <v>7.2675448236632708E-6</v>
      </c>
      <c r="AQ103" s="6">
        <f ca="1"/>
        <v>9.5111463653483094E-2</v>
      </c>
      <c r="AR103" s="6">
        <f ca="1"/>
        <v>-8.3015159813196036</v>
      </c>
      <c r="AS103" s="6">
        <f ca="1"/>
        <v>-1.1102970823127483</v>
      </c>
      <c r="AU103" s="60">
        <f ca="1"/>
        <v>0.70758705837943126</v>
      </c>
      <c r="AV103" s="61" t="str">
        <f ca="1"/>
        <v>p</v>
      </c>
      <c r="AW103" s="61">
        <f ca="1"/>
        <v>0.73550596994180473</v>
      </c>
      <c r="AX103" s="62">
        <f ca="1"/>
        <v>-2.2779517620759027E-3</v>
      </c>
      <c r="AY103" s="62">
        <f ca="1"/>
        <v>7.2675448236632708E-6</v>
      </c>
      <c r="AZ103" s="62">
        <f ca="1"/>
        <v>9.5111463653483094E-2</v>
      </c>
      <c r="BA103" s="60">
        <f ca="1"/>
        <v>-8.3015159813196036</v>
      </c>
      <c r="BB103" s="60">
        <f ca="1"/>
        <v>-1.1102970823127483</v>
      </c>
    </row>
    <row r="104" spans="1:54" x14ac:dyDescent="0.3">
      <c r="A104" t="s">
        <v>524</v>
      </c>
      <c r="B104" t="s">
        <v>525</v>
      </c>
      <c r="C104" t="s">
        <v>29</v>
      </c>
      <c r="D104" t="s">
        <v>85</v>
      </c>
      <c r="E104" t="s">
        <v>84</v>
      </c>
      <c r="F104" t="s">
        <v>154</v>
      </c>
      <c r="G104" t="s">
        <v>821</v>
      </c>
      <c r="H104" t="s">
        <v>1160</v>
      </c>
      <c r="I104" t="s">
        <v>1259</v>
      </c>
      <c r="J104" t="s">
        <v>1318</v>
      </c>
      <c r="K104" t="s">
        <v>1368</v>
      </c>
      <c r="L104" t="s">
        <v>307</v>
      </c>
      <c r="M104" t="s">
        <v>114</v>
      </c>
      <c r="N104" t="s">
        <v>56</v>
      </c>
      <c r="O104" t="s">
        <v>36</v>
      </c>
      <c r="P104" t="s">
        <v>84</v>
      </c>
      <c r="Q104" t="s">
        <v>84</v>
      </c>
      <c r="V104" t="s">
        <v>49</v>
      </c>
      <c r="W104" t="s">
        <v>84</v>
      </c>
      <c r="X104" t="s">
        <v>1105</v>
      </c>
      <c r="Y104" t="s">
        <v>1259</v>
      </c>
      <c r="Z104" t="s">
        <v>84</v>
      </c>
      <c r="AA104" t="s">
        <v>84</v>
      </c>
      <c r="AB104" t="s">
        <v>36</v>
      </c>
      <c r="AC104" t="s">
        <v>1340</v>
      </c>
      <c r="AD104" t="s">
        <v>36</v>
      </c>
      <c r="AE104" t="s">
        <v>1340</v>
      </c>
      <c r="AF104" t="s">
        <v>86</v>
      </c>
      <c r="AG104" t="s">
        <v>269</v>
      </c>
      <c r="AH104" t="s">
        <v>183</v>
      </c>
      <c r="AI104" s="4">
        <f ca="1">data[[#This Row],[Expiry Date]]-TODAY()</f>
        <v>42</v>
      </c>
      <c r="AJ104" s="4">
        <f ca="1">data[[#This Row],[Maturity ( Days)]]/365</f>
        <v>0.11506849315068493</v>
      </c>
      <c r="AK104" s="4" t="str">
        <f>IF(data[[#This Row],[Option Type]]="put","p","c")</f>
        <v>p</v>
      </c>
      <c r="AL104" s="4">
        <f>(data[[#This Row],[Bid]]*data[[#This Row],[Bidsize]]+data[[#This Row],[Ask]]*data[[#This Row],[Asksize]])/(data[[#This Row],[Bidsize]]+data[[#This Row],[Asksize]])</f>
        <v>1.1703585147247118</v>
      </c>
      <c r="AM104" s="4">
        <f>VALUE(data[[#This Row],[Strike]])</f>
        <v>2200</v>
      </c>
      <c r="AN104" s="5">
        <f ca="1">impliedVol(data[[#This Row],[OptType]],Details!$B$4,VALUE(data[[#This Row],[Strike]]),VALUE(data[[#This Row],[Cnt Price]]),Details!$B$6,data[[#This Row],[T]],Details!$B$7)</f>
        <v>0.67511078499701049</v>
      </c>
      <c r="AO104" s="7">
        <f t="array" aca="1" ref="AO104:AS104" ca="1">bsGreeks(data[[#This Row],[OptType]],Details!$B$4,VALUE(data[[#This Row],[Strike]]),Details!$B$6,data[[#This Row],[T]],AN104,Details!$B$7)</f>
        <v>-3.9882770857497807E-3</v>
      </c>
      <c r="AP104" s="7">
        <f ca="1"/>
        <v>1.3113382445572357E-5</v>
      </c>
      <c r="AQ104" s="6">
        <f ca="1"/>
        <v>0.1575247203081403</v>
      </c>
      <c r="AR104" s="6">
        <f ca="1"/>
        <v>-12.614111623361911</v>
      </c>
      <c r="AS104" s="6">
        <f ca="1"/>
        <v>-1.9382681174999987</v>
      </c>
      <c r="AU104" s="60">
        <f ca="1"/>
        <v>1.1896187538623053</v>
      </c>
      <c r="AV104" s="61" t="str">
        <f ca="1"/>
        <v>p</v>
      </c>
      <c r="AW104" s="61">
        <f ca="1"/>
        <v>0.67511078499701049</v>
      </c>
      <c r="AX104" s="62">
        <f ca="1"/>
        <v>-3.9882770857497807E-3</v>
      </c>
      <c r="AY104" s="62">
        <f ca="1"/>
        <v>1.3113382445572357E-5</v>
      </c>
      <c r="AZ104" s="62">
        <f ca="1"/>
        <v>0.1575247203081403</v>
      </c>
      <c r="BA104" s="60">
        <f ca="1"/>
        <v>-12.614111623361911</v>
      </c>
      <c r="BB104" s="60">
        <f ca="1"/>
        <v>-1.9382681174999987</v>
      </c>
    </row>
    <row r="105" spans="1:54" x14ac:dyDescent="0.3">
      <c r="A105" t="s">
        <v>526</v>
      </c>
      <c r="B105" t="s">
        <v>527</v>
      </c>
      <c r="C105" t="s">
        <v>29</v>
      </c>
      <c r="D105" t="s">
        <v>258</v>
      </c>
      <c r="E105" t="s">
        <v>84</v>
      </c>
      <c r="F105" t="s">
        <v>87</v>
      </c>
      <c r="G105" t="s">
        <v>870</v>
      </c>
      <c r="H105" t="s">
        <v>94</v>
      </c>
      <c r="I105" t="s">
        <v>1260</v>
      </c>
      <c r="J105" t="s">
        <v>1389</v>
      </c>
      <c r="K105" t="s">
        <v>944</v>
      </c>
      <c r="L105" t="s">
        <v>307</v>
      </c>
      <c r="M105" t="s">
        <v>927</v>
      </c>
      <c r="N105" t="s">
        <v>56</v>
      </c>
      <c r="O105" t="s">
        <v>36</v>
      </c>
      <c r="P105" t="s">
        <v>84</v>
      </c>
      <c r="Q105" t="s">
        <v>84</v>
      </c>
      <c r="V105" t="s">
        <v>49</v>
      </c>
      <c r="W105" t="s">
        <v>84</v>
      </c>
      <c r="X105" t="s">
        <v>1105</v>
      </c>
      <c r="Y105" t="s">
        <v>1260</v>
      </c>
      <c r="Z105" t="s">
        <v>84</v>
      </c>
      <c r="AA105" t="s">
        <v>84</v>
      </c>
      <c r="AB105" t="s">
        <v>36</v>
      </c>
      <c r="AC105" t="s">
        <v>1340</v>
      </c>
      <c r="AD105" t="s">
        <v>36</v>
      </c>
      <c r="AE105" t="s">
        <v>1340</v>
      </c>
      <c r="AF105" t="s">
        <v>86</v>
      </c>
      <c r="AG105" t="s">
        <v>269</v>
      </c>
      <c r="AH105" t="s">
        <v>183</v>
      </c>
      <c r="AI105" s="4">
        <f ca="1">data[[#This Row],[Expiry Date]]-TODAY()</f>
        <v>42</v>
      </c>
      <c r="AJ105" s="4">
        <f ca="1">data[[#This Row],[Maturity ( Days)]]/365</f>
        <v>0.11506849315068493</v>
      </c>
      <c r="AK105" s="4" t="str">
        <f>IF(data[[#This Row],[Option Type]]="put","p","c")</f>
        <v>p</v>
      </c>
      <c r="AL105" s="4">
        <f>(data[[#This Row],[Bid]]*data[[#This Row],[Bidsize]]+data[[#This Row],[Ask]]*data[[#This Row],[Asksize]])/(data[[#This Row],[Bidsize]]+data[[#This Row],[Asksize]])</f>
        <v>1.8800287356321839</v>
      </c>
      <c r="AM105" s="4">
        <f>VALUE(data[[#This Row],[Strike]])</f>
        <v>2400</v>
      </c>
      <c r="AN105" s="5">
        <f ca="1">impliedVol(data[[#This Row],[OptType]],Details!$B$4,VALUE(data[[#This Row],[Strike]]),VALUE(data[[#This Row],[Cnt Price]]),Details!$B$6,data[[#This Row],[T]],Details!$B$7)</f>
        <v>0.61549839242898097</v>
      </c>
      <c r="AO105" s="7">
        <f t="array" aca="1" ref="AO105:AS105" ca="1">bsGreeks(data[[#This Row],[OptType]],Details!$B$4,VALUE(data[[#This Row],[Strike]]),Details!$B$6,data[[#This Row],[T]],AN105,Details!$B$7)</f>
        <v>-6.7166761485677462E-3</v>
      </c>
      <c r="AP105" s="7">
        <f ca="1"/>
        <v>2.2871237309048705E-5</v>
      </c>
      <c r="AQ105" s="6">
        <f ca="1"/>
        <v>0.25048142590154682</v>
      </c>
      <c r="AR105" s="6">
        <f ca="1"/>
        <v>-18.276120280718359</v>
      </c>
      <c r="AS105" s="6">
        <f ca="1"/>
        <v>-3.2537768614786025</v>
      </c>
      <c r="AU105" s="60">
        <f ca="1"/>
        <v>1.9123522419963592</v>
      </c>
      <c r="AV105" s="61" t="str">
        <f ca="1"/>
        <v>p</v>
      </c>
      <c r="AW105" s="61">
        <f ca="1"/>
        <v>0.61549839242898097</v>
      </c>
      <c r="AX105" s="62">
        <f ca="1"/>
        <v>-6.7166761485677462E-3</v>
      </c>
      <c r="AY105" s="62">
        <f ca="1"/>
        <v>2.2871237309048705E-5</v>
      </c>
      <c r="AZ105" s="62">
        <f ca="1"/>
        <v>0.25048142590154682</v>
      </c>
      <c r="BA105" s="60">
        <f ca="1"/>
        <v>-18.276120280718359</v>
      </c>
      <c r="BB105" s="60">
        <f ca="1"/>
        <v>-3.2537768614786025</v>
      </c>
    </row>
    <row r="106" spans="1:54" x14ac:dyDescent="0.3">
      <c r="A106" t="s">
        <v>528</v>
      </c>
      <c r="B106" t="s">
        <v>529</v>
      </c>
      <c r="C106" t="s">
        <v>29</v>
      </c>
      <c r="D106" t="s">
        <v>245</v>
      </c>
      <c r="E106" t="s">
        <v>84</v>
      </c>
      <c r="F106" t="s">
        <v>128</v>
      </c>
      <c r="G106" t="s">
        <v>1260</v>
      </c>
      <c r="H106" t="s">
        <v>941</v>
      </c>
      <c r="I106" t="s">
        <v>955</v>
      </c>
      <c r="J106" t="s">
        <v>1246</v>
      </c>
      <c r="K106" t="s">
        <v>765</v>
      </c>
      <c r="L106" t="s">
        <v>307</v>
      </c>
      <c r="M106" t="s">
        <v>1087</v>
      </c>
      <c r="N106" t="s">
        <v>56</v>
      </c>
      <c r="O106" t="s">
        <v>36</v>
      </c>
      <c r="P106" t="s">
        <v>84</v>
      </c>
      <c r="Q106" t="s">
        <v>84</v>
      </c>
      <c r="V106" t="s">
        <v>49</v>
      </c>
      <c r="W106" t="s">
        <v>84</v>
      </c>
      <c r="X106" t="s">
        <v>956</v>
      </c>
      <c r="Y106" t="s">
        <v>955</v>
      </c>
      <c r="Z106" t="s">
        <v>84</v>
      </c>
      <c r="AA106" t="s">
        <v>84</v>
      </c>
      <c r="AB106" t="s">
        <v>36</v>
      </c>
      <c r="AC106" t="s">
        <v>1340</v>
      </c>
      <c r="AD106" t="s">
        <v>36</v>
      </c>
      <c r="AE106" t="s">
        <v>1340</v>
      </c>
      <c r="AF106" t="s">
        <v>86</v>
      </c>
      <c r="AG106" t="s">
        <v>269</v>
      </c>
      <c r="AH106" t="s">
        <v>183</v>
      </c>
      <c r="AI106" s="4">
        <f ca="1">data[[#This Row],[Expiry Date]]-TODAY()</f>
        <v>42</v>
      </c>
      <c r="AJ106" s="4">
        <f ca="1">data[[#This Row],[Maturity ( Days)]]/365</f>
        <v>0.11506849315068493</v>
      </c>
      <c r="AK106" s="4" t="str">
        <f>IF(data[[#This Row],[Option Type]]="put","p","c")</f>
        <v>p</v>
      </c>
      <c r="AL106" s="4">
        <f>(data[[#This Row],[Bid]]*data[[#This Row],[Bidsize]]+data[[#This Row],[Ask]]*data[[#This Row],[Asksize]])/(data[[#This Row],[Bidsize]]+data[[#This Row],[Asksize]])</f>
        <v>2.9940476190476191</v>
      </c>
      <c r="AM106" s="4">
        <f>VALUE(data[[#This Row],[Strike]])</f>
        <v>2600</v>
      </c>
      <c r="AN106" s="5">
        <f ca="1">impliedVol(data[[#This Row],[OptType]],Details!$B$4,VALUE(data[[#This Row],[Strike]]),VALUE(data[[#This Row],[Cnt Price]]),Details!$B$6,data[[#This Row],[T]],Details!$B$7)</f>
        <v>0.55820129366139037</v>
      </c>
      <c r="AO106" s="7">
        <f t="array" aca="1" ref="AO106:AS106" ca="1">bsGreeks(data[[#This Row],[OptType]],Details!$B$4,VALUE(data[[#This Row],[Strike]]),Details!$B$6,data[[#This Row],[T]],AN106,Details!$B$7)</f>
        <v>-1.1225101188080178E-2</v>
      </c>
      <c r="AP106" s="7">
        <f ca="1"/>
        <v>3.9562419031853993E-5</v>
      </c>
      <c r="AQ106" s="6">
        <f ca="1"/>
        <v>0.39294577271411518</v>
      </c>
      <c r="AR106" s="6">
        <f ca="1"/>
        <v>-25.983027823531192</v>
      </c>
      <c r="AS106" s="6">
        <f ca="1"/>
        <v>-5.4207835465738192</v>
      </c>
      <c r="AU106" s="60">
        <f ca="1"/>
        <v>3.0478837034756907</v>
      </c>
      <c r="AV106" s="61" t="str">
        <f ca="1"/>
        <v>p</v>
      </c>
      <c r="AW106" s="61">
        <f ca="1"/>
        <v>0.55820129366139037</v>
      </c>
      <c r="AX106" s="62">
        <f ca="1"/>
        <v>-1.1225101188080178E-2</v>
      </c>
      <c r="AY106" s="62">
        <f ca="1"/>
        <v>3.9562419031853993E-5</v>
      </c>
      <c r="AZ106" s="62">
        <f ca="1"/>
        <v>0.39294577271411518</v>
      </c>
      <c r="BA106" s="60">
        <f ca="1"/>
        <v>-25.983027823531192</v>
      </c>
      <c r="BB106" s="60">
        <f ca="1"/>
        <v>-5.4207835465738192</v>
      </c>
    </row>
    <row r="107" spans="1:54" x14ac:dyDescent="0.3">
      <c r="A107" t="s">
        <v>338</v>
      </c>
      <c r="B107" t="s">
        <v>339</v>
      </c>
      <c r="C107" t="s">
        <v>29</v>
      </c>
      <c r="D107" t="s">
        <v>101</v>
      </c>
      <c r="E107" t="s">
        <v>84</v>
      </c>
      <c r="F107" t="s">
        <v>259</v>
      </c>
      <c r="G107" t="s">
        <v>866</v>
      </c>
      <c r="H107" t="s">
        <v>871</v>
      </c>
      <c r="I107" t="s">
        <v>823</v>
      </c>
      <c r="J107" t="s">
        <v>278</v>
      </c>
      <c r="K107" t="s">
        <v>1162</v>
      </c>
      <c r="L107" t="s">
        <v>307</v>
      </c>
      <c r="M107" t="s">
        <v>111</v>
      </c>
      <c r="N107" t="s">
        <v>56</v>
      </c>
      <c r="O107" t="s">
        <v>36</v>
      </c>
      <c r="P107" t="s">
        <v>84</v>
      </c>
      <c r="Q107" t="s">
        <v>84</v>
      </c>
      <c r="V107" t="s">
        <v>49</v>
      </c>
      <c r="W107" t="s">
        <v>84</v>
      </c>
      <c r="X107" t="s">
        <v>1158</v>
      </c>
      <c r="Y107" t="s">
        <v>823</v>
      </c>
      <c r="Z107" t="s">
        <v>84</v>
      </c>
      <c r="AA107" t="s">
        <v>84</v>
      </c>
      <c r="AB107" t="s">
        <v>36</v>
      </c>
      <c r="AC107" t="s">
        <v>1340</v>
      </c>
      <c r="AD107" t="s">
        <v>36</v>
      </c>
      <c r="AE107" t="s">
        <v>1340</v>
      </c>
      <c r="AF107" t="s">
        <v>86</v>
      </c>
      <c r="AG107" t="s">
        <v>269</v>
      </c>
      <c r="AH107" t="s">
        <v>183</v>
      </c>
      <c r="AI107" s="4">
        <f ca="1">data[[#This Row],[Expiry Date]]-TODAY()</f>
        <v>42</v>
      </c>
      <c r="AJ107" s="4">
        <f ca="1">data[[#This Row],[Maturity ( Days)]]/365</f>
        <v>0.11506849315068493</v>
      </c>
      <c r="AK107" s="4" t="str">
        <f>IF(data[[#This Row],[Option Type]]="put","p","c")</f>
        <v>p</v>
      </c>
      <c r="AL107" s="4">
        <f>(data[[#This Row],[Bid]]*data[[#This Row],[Bidsize]]+data[[#This Row],[Ask]]*data[[#This Row],[Asksize]])/(data[[#This Row],[Bidsize]]+data[[#This Row],[Asksize]])</f>
        <v>3.8067484662576687</v>
      </c>
      <c r="AM107" s="4">
        <f>VALUE(data[[#This Row],[Strike]])</f>
        <v>2700</v>
      </c>
      <c r="AN107" s="5">
        <f ca="1">impliedVol(data[[#This Row],[OptType]],Details!$B$4,VALUE(data[[#This Row],[Strike]]),VALUE(data[[#This Row],[Cnt Price]]),Details!$B$6,data[[#This Row],[T]],Details!$B$7)</f>
        <v>0.53091631564403641</v>
      </c>
      <c r="AO107" s="7">
        <f t="array" aca="1" ref="AO107:AS107" ca="1">bsGreeks(data[[#This Row],[OptType]],Details!$B$4,VALUE(data[[#This Row],[Strike]]),Details!$B$6,data[[#This Row],[T]],AN107,Details!$B$7)</f>
        <v>-1.4594496726198947E-2</v>
      </c>
      <c r="AP107" s="7">
        <f ca="1"/>
        <v>5.2198562026415598E-5</v>
      </c>
      <c r="AQ107" s="6">
        <f ca="1"/>
        <v>0.49310971047613783</v>
      </c>
      <c r="AR107" s="6">
        <f ca="1"/>
        <v>-30.998900689834773</v>
      </c>
      <c r="AS107" s="6">
        <f ca="1"/>
        <v>-7.0380212921092626</v>
      </c>
      <c r="AU107" s="60">
        <f ca="1"/>
        <v>3.8766374946226279</v>
      </c>
      <c r="AV107" s="61" t="str">
        <f ca="1"/>
        <v>p</v>
      </c>
      <c r="AW107" s="61">
        <f ca="1"/>
        <v>0.53091631564403641</v>
      </c>
      <c r="AX107" s="62">
        <f ca="1"/>
        <v>-1.4594496726198947E-2</v>
      </c>
      <c r="AY107" s="62">
        <f ca="1"/>
        <v>5.2198562026415598E-5</v>
      </c>
      <c r="AZ107" s="62">
        <f ca="1"/>
        <v>0.49310971047613783</v>
      </c>
      <c r="BA107" s="60">
        <f ca="1"/>
        <v>-30.998900689834773</v>
      </c>
      <c r="BB107" s="60">
        <f ca="1"/>
        <v>-7.0380212921092626</v>
      </c>
    </row>
    <row r="108" spans="1:54" x14ac:dyDescent="0.3">
      <c r="A108" t="s">
        <v>530</v>
      </c>
      <c r="B108" t="s">
        <v>531</v>
      </c>
      <c r="C108" t="s">
        <v>29</v>
      </c>
      <c r="D108" t="s">
        <v>85</v>
      </c>
      <c r="E108" t="s">
        <v>84</v>
      </c>
      <c r="F108" t="s">
        <v>162</v>
      </c>
      <c r="G108" t="s">
        <v>1375</v>
      </c>
      <c r="H108" t="s">
        <v>1366</v>
      </c>
      <c r="I108" t="s">
        <v>775</v>
      </c>
      <c r="J108" t="s">
        <v>1531</v>
      </c>
      <c r="K108" t="s">
        <v>991</v>
      </c>
      <c r="L108" t="s">
        <v>307</v>
      </c>
      <c r="M108" t="s">
        <v>1164</v>
      </c>
      <c r="N108" t="s">
        <v>56</v>
      </c>
      <c r="O108" t="s">
        <v>36</v>
      </c>
      <c r="P108" t="s">
        <v>84</v>
      </c>
      <c r="Q108" t="s">
        <v>84</v>
      </c>
      <c r="V108" t="s">
        <v>49</v>
      </c>
      <c r="W108" t="s">
        <v>84</v>
      </c>
      <c r="X108" t="s">
        <v>1105</v>
      </c>
      <c r="Y108" t="s">
        <v>775</v>
      </c>
      <c r="Z108" t="s">
        <v>84</v>
      </c>
      <c r="AA108" t="s">
        <v>84</v>
      </c>
      <c r="AB108" t="s">
        <v>36</v>
      </c>
      <c r="AC108" t="s">
        <v>1340</v>
      </c>
      <c r="AD108" t="s">
        <v>36</v>
      </c>
      <c r="AE108" t="s">
        <v>1340</v>
      </c>
      <c r="AF108" t="s">
        <v>86</v>
      </c>
      <c r="AG108" t="s">
        <v>269</v>
      </c>
      <c r="AH108" t="s">
        <v>183</v>
      </c>
      <c r="AI108" s="4">
        <f ca="1">data[[#This Row],[Expiry Date]]-TODAY()</f>
        <v>42</v>
      </c>
      <c r="AJ108" s="4">
        <f ca="1">data[[#This Row],[Maturity ( Days)]]/365</f>
        <v>0.11506849315068493</v>
      </c>
      <c r="AK108" s="4" t="str">
        <f>IF(data[[#This Row],[Option Type]]="put","p","c")</f>
        <v>p</v>
      </c>
      <c r="AL108" s="4">
        <f>(data[[#This Row],[Bid]]*data[[#This Row],[Bidsize]]+data[[#This Row],[Ask]]*data[[#This Row],[Asksize]])/(data[[#This Row],[Bidsize]]+data[[#This Row],[Asksize]])</f>
        <v>4.6291139240506318</v>
      </c>
      <c r="AM108" s="4">
        <f>VALUE(data[[#This Row],[Strike]])</f>
        <v>2800</v>
      </c>
      <c r="AN108" s="5">
        <f ca="1">impliedVol(data[[#This Row],[OptType]],Details!$B$4,VALUE(data[[#This Row],[Strike]]),VALUE(data[[#This Row],[Cnt Price]]),Details!$B$6,data[[#This Row],[T]],Details!$B$7)</f>
        <v>0.50047809739625237</v>
      </c>
      <c r="AO108" s="7">
        <f t="array" aca="1" ref="AO108:AS108" ca="1">bsGreeks(data[[#This Row],[OptType]],Details!$B$4,VALUE(data[[#This Row],[Strike]]),Details!$B$6,data[[#This Row],[T]],AN108,Details!$B$7)</f>
        <v>-1.8366938275981903E-2</v>
      </c>
      <c r="AP108" s="7">
        <f ca="1"/>
        <v>6.7421084430555731E-5</v>
      </c>
      <c r="AQ108" s="6">
        <f ca="1"/>
        <v>0.60039871420309898</v>
      </c>
      <c r="AR108" s="6">
        <f ca="1"/>
        <v>-35.561505179127948</v>
      </c>
      <c r="AS108" s="6">
        <f ca="1"/>
        <v>-8.8386369541264198</v>
      </c>
      <c r="AU108" s="60">
        <f ca="1"/>
        <v>4.7168644679109093</v>
      </c>
      <c r="AV108" s="61" t="str">
        <f ca="1"/>
        <v>p</v>
      </c>
      <c r="AW108" s="61">
        <f ca="1"/>
        <v>0.50047809739625237</v>
      </c>
      <c r="AX108" s="62">
        <f ca="1"/>
        <v>-1.8366938275981903E-2</v>
      </c>
      <c r="AY108" s="62">
        <f ca="1"/>
        <v>6.7421084430555731E-5</v>
      </c>
      <c r="AZ108" s="62">
        <f ca="1"/>
        <v>0.60039871420309898</v>
      </c>
      <c r="BA108" s="60">
        <f ca="1"/>
        <v>-35.561505179127948</v>
      </c>
      <c r="BB108" s="60">
        <f ca="1"/>
        <v>-8.8386369541264198</v>
      </c>
    </row>
    <row r="109" spans="1:54" x14ac:dyDescent="0.3">
      <c r="A109" t="s">
        <v>344</v>
      </c>
      <c r="B109" t="s">
        <v>345</v>
      </c>
      <c r="C109" t="s">
        <v>29</v>
      </c>
      <c r="D109" t="s">
        <v>1035</v>
      </c>
      <c r="E109" t="s">
        <v>84</v>
      </c>
      <c r="F109" t="s">
        <v>246</v>
      </c>
      <c r="G109" t="s">
        <v>823</v>
      </c>
      <c r="H109" t="s">
        <v>98</v>
      </c>
      <c r="I109" t="s">
        <v>1262</v>
      </c>
      <c r="J109" t="s">
        <v>978</v>
      </c>
      <c r="K109" t="s">
        <v>1412</v>
      </c>
      <c r="L109" t="s">
        <v>307</v>
      </c>
      <c r="M109" t="s">
        <v>109</v>
      </c>
      <c r="N109" t="s">
        <v>56</v>
      </c>
      <c r="O109" t="s">
        <v>36</v>
      </c>
      <c r="P109" t="s">
        <v>84</v>
      </c>
      <c r="Q109" t="s">
        <v>84</v>
      </c>
      <c r="V109" t="s">
        <v>49</v>
      </c>
      <c r="W109" t="s">
        <v>84</v>
      </c>
      <c r="X109" t="s">
        <v>1105</v>
      </c>
      <c r="Y109" t="s">
        <v>1262</v>
      </c>
      <c r="Z109" t="s">
        <v>84</v>
      </c>
      <c r="AA109" t="s">
        <v>84</v>
      </c>
      <c r="AB109" t="s">
        <v>36</v>
      </c>
      <c r="AC109" t="s">
        <v>1340</v>
      </c>
      <c r="AD109" t="s">
        <v>36</v>
      </c>
      <c r="AE109" t="s">
        <v>1340</v>
      </c>
      <c r="AF109" t="s">
        <v>86</v>
      </c>
      <c r="AG109" t="s">
        <v>269</v>
      </c>
      <c r="AH109" t="s">
        <v>183</v>
      </c>
      <c r="AI109" s="4">
        <f ca="1">data[[#This Row],[Expiry Date]]-TODAY()</f>
        <v>42</v>
      </c>
      <c r="AJ109" s="4">
        <f ca="1">data[[#This Row],[Maturity ( Days)]]/365</f>
        <v>0.11506849315068493</v>
      </c>
      <c r="AK109" s="4" t="str">
        <f>IF(data[[#This Row],[Option Type]]="put","p","c")</f>
        <v>p</v>
      </c>
      <c r="AL109" s="4">
        <f>(data[[#This Row],[Bid]]*data[[#This Row],[Bidsize]]+data[[#This Row],[Ask]]*data[[#This Row],[Asksize]])/(data[[#This Row],[Bidsize]]+data[[#This Row],[Asksize]])</f>
        <v>5.8989270386266099</v>
      </c>
      <c r="AM109" s="4">
        <f>VALUE(data[[#This Row],[Strike]])</f>
        <v>2900</v>
      </c>
      <c r="AN109" s="5">
        <f ca="1">impliedVol(data[[#This Row],[OptType]],Details!$B$4,VALUE(data[[#This Row],[Strike]]),VALUE(data[[#This Row],[Cnt Price]]),Details!$B$6,data[[#This Row],[T]],Details!$B$7)</f>
        <v>0.47389849781685822</v>
      </c>
      <c r="AO109" s="7">
        <f t="array" aca="1" ref="AO109:AS109" ca="1">bsGreeks(data[[#This Row],[OptType]],Details!$B$4,VALUE(data[[#This Row],[Strike]]),Details!$B$6,data[[#This Row],[T]],AN109,Details!$B$7)</f>
        <v>-2.3947494792106672E-2</v>
      </c>
      <c r="AP109" s="7">
        <f ca="1"/>
        <v>8.9125800895121908E-5</v>
      </c>
      <c r="AQ109" s="6">
        <f ca="1"/>
        <v>0.75153242213712712</v>
      </c>
      <c r="AR109" s="6">
        <f ca="1"/>
        <v>-42.124494436099269</v>
      </c>
      <c r="AS109" s="6">
        <f ca="1"/>
        <v>-11.508413061653878</v>
      </c>
      <c r="AU109" s="60">
        <f ca="1"/>
        <v>6.013169738713259</v>
      </c>
      <c r="AV109" s="61" t="str">
        <f ca="1"/>
        <v>p</v>
      </c>
      <c r="AW109" s="61">
        <f ca="1"/>
        <v>0.47389849781685822</v>
      </c>
      <c r="AX109" s="62">
        <f ca="1"/>
        <v>-2.3947494792106672E-2</v>
      </c>
      <c r="AY109" s="62">
        <f ca="1"/>
        <v>8.9125800895121908E-5</v>
      </c>
      <c r="AZ109" s="62">
        <f ca="1"/>
        <v>0.75153242213712712</v>
      </c>
      <c r="BA109" s="60">
        <f ca="1"/>
        <v>-42.124494436099269</v>
      </c>
      <c r="BB109" s="60">
        <f ca="1"/>
        <v>-11.508413061653878</v>
      </c>
    </row>
    <row r="110" spans="1:54" x14ac:dyDescent="0.3">
      <c r="A110" t="s">
        <v>532</v>
      </c>
      <c r="B110" t="s">
        <v>533</v>
      </c>
      <c r="C110" t="s">
        <v>29</v>
      </c>
      <c r="D110" t="s">
        <v>101</v>
      </c>
      <c r="E110" t="s">
        <v>84</v>
      </c>
      <c r="F110" t="s">
        <v>247</v>
      </c>
      <c r="G110" t="s">
        <v>957</v>
      </c>
      <c r="H110" t="s">
        <v>1364</v>
      </c>
      <c r="I110" t="s">
        <v>825</v>
      </c>
      <c r="J110" t="s">
        <v>978</v>
      </c>
      <c r="K110" t="s">
        <v>295</v>
      </c>
      <c r="L110" t="s">
        <v>307</v>
      </c>
      <c r="M110" t="s">
        <v>879</v>
      </c>
      <c r="N110" t="s">
        <v>56</v>
      </c>
      <c r="O110" t="s">
        <v>36</v>
      </c>
      <c r="P110" t="s">
        <v>84</v>
      </c>
      <c r="Q110" t="s">
        <v>84</v>
      </c>
      <c r="V110" t="s">
        <v>49</v>
      </c>
      <c r="W110" t="s">
        <v>84</v>
      </c>
      <c r="X110" t="s">
        <v>819</v>
      </c>
      <c r="Y110" t="s">
        <v>825</v>
      </c>
      <c r="Z110" t="s">
        <v>84</v>
      </c>
      <c r="AA110" t="s">
        <v>84</v>
      </c>
      <c r="AB110" t="s">
        <v>36</v>
      </c>
      <c r="AC110" t="s">
        <v>1340</v>
      </c>
      <c r="AD110" t="s">
        <v>36</v>
      </c>
      <c r="AE110" t="s">
        <v>1340</v>
      </c>
      <c r="AF110" t="s">
        <v>86</v>
      </c>
      <c r="AG110" t="s">
        <v>269</v>
      </c>
      <c r="AH110" t="s">
        <v>183</v>
      </c>
      <c r="AI110" s="4">
        <f ca="1">data[[#This Row],[Expiry Date]]-TODAY()</f>
        <v>42</v>
      </c>
      <c r="AJ110" s="4">
        <f ca="1">data[[#This Row],[Maturity ( Days)]]/365</f>
        <v>0.11506849315068493</v>
      </c>
      <c r="AK110" s="4" t="str">
        <f>IF(data[[#This Row],[Option Type]]="put","p","c")</f>
        <v>p</v>
      </c>
      <c r="AL110" s="4">
        <f>(data[[#This Row],[Bid]]*data[[#This Row],[Bidsize]]+data[[#This Row],[Ask]]*data[[#This Row],[Asksize]])/(data[[#This Row],[Bidsize]]+data[[#This Row],[Asksize]])</f>
        <v>6.6744000000000003</v>
      </c>
      <c r="AM110" s="4">
        <f>VALUE(data[[#This Row],[Strike]])</f>
        <v>2950</v>
      </c>
      <c r="AN110" s="5">
        <f ca="1">impliedVol(data[[#This Row],[OptType]],Details!$B$4,VALUE(data[[#This Row],[Strike]]),VALUE(data[[#This Row],[Cnt Price]]),Details!$B$6,data[[#This Row],[T]],Details!$B$7)</f>
        <v>0.46083420818101034</v>
      </c>
      <c r="AO110" s="7">
        <f t="array" aca="1" ref="AO110:AS110" ca="1">bsGreeks(data[[#This Row],[OptType]],Details!$B$4,VALUE(data[[#This Row],[Strike]]),Details!$B$6,data[[#This Row],[T]],AN110,Details!$B$7)</f>
        <v>-2.7395211638110317E-2</v>
      </c>
      <c r="AP110" s="7">
        <f ca="1"/>
        <v>1.0257669414617933E-4</v>
      </c>
      <c r="AQ110" s="6">
        <f ca="1"/>
        <v>0.84110913942925503</v>
      </c>
      <c r="AR110" s="6">
        <f ca="1"/>
        <v>-45.830652097106793</v>
      </c>
      <c r="AS110" s="6">
        <f ca="1"/>
        <v>-13.156785206856675</v>
      </c>
      <c r="AU110" s="60">
        <f ca="1"/>
        <v>6.8049988063762612</v>
      </c>
      <c r="AV110" s="61" t="str">
        <f ca="1"/>
        <v>p</v>
      </c>
      <c r="AW110" s="61">
        <f ca="1"/>
        <v>0.46083420818101034</v>
      </c>
      <c r="AX110" s="62">
        <f ca="1"/>
        <v>-2.7395211638110317E-2</v>
      </c>
      <c r="AY110" s="62">
        <f ca="1"/>
        <v>1.0257669414617933E-4</v>
      </c>
      <c r="AZ110" s="62">
        <f ca="1"/>
        <v>0.84110913942925503</v>
      </c>
      <c r="BA110" s="60">
        <f ca="1"/>
        <v>-45.830652097106793</v>
      </c>
      <c r="BB110" s="60">
        <f ca="1"/>
        <v>-13.156785206856675</v>
      </c>
    </row>
    <row r="111" spans="1:54" x14ac:dyDescent="0.3">
      <c r="A111" t="s">
        <v>534</v>
      </c>
      <c r="B111" t="s">
        <v>535</v>
      </c>
      <c r="C111" t="s">
        <v>29</v>
      </c>
      <c r="D111" t="s">
        <v>123</v>
      </c>
      <c r="E111" t="s">
        <v>84</v>
      </c>
      <c r="F111" t="s">
        <v>88</v>
      </c>
      <c r="G111" t="s">
        <v>774</v>
      </c>
      <c r="H111" t="s">
        <v>775</v>
      </c>
      <c r="I111" t="s">
        <v>1191</v>
      </c>
      <c r="J111" t="s">
        <v>1261</v>
      </c>
      <c r="K111" t="s">
        <v>1402</v>
      </c>
      <c r="L111" t="s">
        <v>307</v>
      </c>
      <c r="M111" t="s">
        <v>1030</v>
      </c>
      <c r="N111" t="s">
        <v>56</v>
      </c>
      <c r="O111" t="s">
        <v>36</v>
      </c>
      <c r="P111" t="s">
        <v>84</v>
      </c>
      <c r="Q111" t="s">
        <v>84</v>
      </c>
      <c r="V111" t="s">
        <v>49</v>
      </c>
      <c r="W111" t="s">
        <v>84</v>
      </c>
      <c r="X111" t="s">
        <v>1243</v>
      </c>
      <c r="Y111" t="s">
        <v>1191</v>
      </c>
      <c r="Z111" t="s">
        <v>84</v>
      </c>
      <c r="AA111" t="s">
        <v>84</v>
      </c>
      <c r="AB111" t="s">
        <v>36</v>
      </c>
      <c r="AC111" t="s">
        <v>1340</v>
      </c>
      <c r="AD111" t="s">
        <v>36</v>
      </c>
      <c r="AE111" t="s">
        <v>1340</v>
      </c>
      <c r="AF111" t="s">
        <v>86</v>
      </c>
      <c r="AG111" t="s">
        <v>269</v>
      </c>
      <c r="AH111" t="s">
        <v>183</v>
      </c>
      <c r="AI111" s="4">
        <f ca="1">data[[#This Row],[Expiry Date]]-TODAY()</f>
        <v>42</v>
      </c>
      <c r="AJ111" s="4">
        <f ca="1">data[[#This Row],[Maturity ( Days)]]/365</f>
        <v>0.11506849315068493</v>
      </c>
      <c r="AK111" s="4" t="str">
        <f>IF(data[[#This Row],[Option Type]]="put","p","c")</f>
        <v>p</v>
      </c>
      <c r="AL111" s="4">
        <f>(data[[#This Row],[Bid]]*data[[#This Row],[Bidsize]]+data[[#This Row],[Ask]]*data[[#This Row],[Asksize]])/(data[[#This Row],[Bidsize]]+data[[#This Row],[Asksize]])</f>
        <v>7.4291262135922329</v>
      </c>
      <c r="AM111" s="4">
        <f>VALUE(data[[#This Row],[Strike]])</f>
        <v>3000</v>
      </c>
      <c r="AN111" s="5">
        <f ca="1">impliedVol(data[[#This Row],[OptType]],Details!$B$4,VALUE(data[[#This Row],[Strike]]),VALUE(data[[#This Row],[Cnt Price]]),Details!$B$6,data[[#This Row],[T]],Details!$B$7)</f>
        <v>0.44644623869247002</v>
      </c>
      <c r="AO111" s="7">
        <f t="array" aca="1" ref="AO111:AS111" ca="1">bsGreeks(data[[#This Row],[OptType]],Details!$B$4,VALUE(data[[#This Row],[Strike]]),Details!$B$6,data[[#This Row],[T]],AN111,Details!$B$7)</f>
        <v>-3.0986460446120412E-2</v>
      </c>
      <c r="AP111" s="7">
        <f ca="1"/>
        <v>1.1729182192897161E-4</v>
      </c>
      <c r="AQ111" s="6">
        <f ca="1"/>
        <v>0.93174236905248753</v>
      </c>
      <c r="AR111" s="6">
        <f ca="1"/>
        <v>-49.166180590370907</v>
      </c>
      <c r="AS111" s="6">
        <f ca="1"/>
        <v>-14.86767781432329</v>
      </c>
      <c r="AU111" s="60">
        <f ca="1"/>
        <v>7.5766939339855526</v>
      </c>
      <c r="AV111" s="61" t="str">
        <f ca="1"/>
        <v>p</v>
      </c>
      <c r="AW111" s="61">
        <f ca="1"/>
        <v>0.44644623869247002</v>
      </c>
      <c r="AX111" s="62">
        <f ca="1"/>
        <v>-3.0986460446120412E-2</v>
      </c>
      <c r="AY111" s="62">
        <f ca="1"/>
        <v>1.1729182192897161E-4</v>
      </c>
      <c r="AZ111" s="62">
        <f ca="1"/>
        <v>0.93174236905248753</v>
      </c>
      <c r="BA111" s="60">
        <f ca="1"/>
        <v>-49.166180590370907</v>
      </c>
      <c r="BB111" s="60">
        <f ca="1"/>
        <v>-14.86767781432329</v>
      </c>
    </row>
    <row r="112" spans="1:54" x14ac:dyDescent="0.3">
      <c r="A112" t="s">
        <v>536</v>
      </c>
      <c r="B112" t="s">
        <v>537</v>
      </c>
      <c r="C112" t="s">
        <v>29</v>
      </c>
      <c r="D112" t="s">
        <v>94</v>
      </c>
      <c r="E112" t="s">
        <v>84</v>
      </c>
      <c r="F112" t="s">
        <v>260</v>
      </c>
      <c r="G112" t="s">
        <v>880</v>
      </c>
      <c r="H112" t="s">
        <v>958</v>
      </c>
      <c r="I112" t="s">
        <v>1264</v>
      </c>
      <c r="J112" t="s">
        <v>947</v>
      </c>
      <c r="K112" t="s">
        <v>1229</v>
      </c>
      <c r="L112" t="s">
        <v>307</v>
      </c>
      <c r="M112" t="s">
        <v>110</v>
      </c>
      <c r="N112" t="s">
        <v>56</v>
      </c>
      <c r="O112" t="s">
        <v>36</v>
      </c>
      <c r="P112" t="s">
        <v>84</v>
      </c>
      <c r="Q112" t="s">
        <v>84</v>
      </c>
      <c r="V112" t="s">
        <v>49</v>
      </c>
      <c r="W112" t="s">
        <v>84</v>
      </c>
      <c r="X112" t="s">
        <v>1105</v>
      </c>
      <c r="Y112" t="s">
        <v>1264</v>
      </c>
      <c r="Z112" t="s">
        <v>84</v>
      </c>
      <c r="AA112" t="s">
        <v>84</v>
      </c>
      <c r="AB112" t="s">
        <v>36</v>
      </c>
      <c r="AC112" t="s">
        <v>1340</v>
      </c>
      <c r="AD112" t="s">
        <v>36</v>
      </c>
      <c r="AE112" t="s">
        <v>1340</v>
      </c>
      <c r="AF112" t="s">
        <v>86</v>
      </c>
      <c r="AG112" t="s">
        <v>269</v>
      </c>
      <c r="AH112" t="s">
        <v>183</v>
      </c>
      <c r="AI112" s="4">
        <f ca="1">data[[#This Row],[Expiry Date]]-TODAY()</f>
        <v>42</v>
      </c>
      <c r="AJ112" s="4">
        <f ca="1">data[[#This Row],[Maturity ( Days)]]/365</f>
        <v>0.11506849315068493</v>
      </c>
      <c r="AK112" s="4" t="str">
        <f>IF(data[[#This Row],[Option Type]]="put","p","c")</f>
        <v>p</v>
      </c>
      <c r="AL112" s="4">
        <f>(data[[#This Row],[Bid]]*data[[#This Row],[Bidsize]]+data[[#This Row],[Ask]]*data[[#This Row],[Asksize]])/(data[[#This Row],[Bidsize]]+data[[#This Row],[Asksize]])</f>
        <v>8.3003683241252304</v>
      </c>
      <c r="AM112" s="4">
        <f>VALUE(data[[#This Row],[Strike]])</f>
        <v>3050</v>
      </c>
      <c r="AN112" s="5">
        <f ca="1">impliedVol(data[[#This Row],[OptType]],Details!$B$4,VALUE(data[[#This Row],[Strike]]),VALUE(data[[#This Row],[Cnt Price]]),Details!$B$6,data[[#This Row],[T]],Details!$B$7)</f>
        <v>0.43232635513781403</v>
      </c>
      <c r="AO112" s="7">
        <f t="array" aca="1" ref="AO112:AS112" ca="1">bsGreeks(data[[#This Row],[OptType]],Details!$B$4,VALUE(data[[#This Row],[Strike]]),Details!$B$6,data[[#This Row],[T]],AN112,Details!$B$7)</f>
        <v>-3.5157901095478006E-2</v>
      </c>
      <c r="AP112" s="7">
        <f ca="1"/>
        <v>1.3440777079270453E-4</v>
      </c>
      <c r="AQ112" s="6">
        <f ca="1"/>
        <v>1.0339392769791973</v>
      </c>
      <c r="AR112" s="6">
        <f ca="1"/>
        <v>-52.812434188162932</v>
      </c>
      <c r="AS112" s="6">
        <f ca="1"/>
        <v>-16.854354134536656</v>
      </c>
      <c r="AU112" s="60">
        <f ca="1"/>
        <v>8.4676399235349891</v>
      </c>
      <c r="AV112" s="61" t="str">
        <f ca="1"/>
        <v>p</v>
      </c>
      <c r="AW112" s="61">
        <f ca="1"/>
        <v>0.43232635513781403</v>
      </c>
      <c r="AX112" s="62">
        <f ca="1"/>
        <v>-3.5157901095478006E-2</v>
      </c>
      <c r="AY112" s="62">
        <f ca="1"/>
        <v>1.3440777079270453E-4</v>
      </c>
      <c r="AZ112" s="62">
        <f ca="1"/>
        <v>1.0339392769791973</v>
      </c>
      <c r="BA112" s="60">
        <f ca="1"/>
        <v>-52.812434188162932</v>
      </c>
      <c r="BB112" s="60">
        <f ca="1"/>
        <v>-16.854354134536656</v>
      </c>
    </row>
    <row r="113" spans="1:54" x14ac:dyDescent="0.3">
      <c r="A113" t="s">
        <v>538</v>
      </c>
      <c r="B113" t="s">
        <v>539</v>
      </c>
      <c r="C113" t="s">
        <v>29</v>
      </c>
      <c r="D113" t="s">
        <v>94</v>
      </c>
      <c r="E113" t="s">
        <v>84</v>
      </c>
      <c r="F113" t="s">
        <v>163</v>
      </c>
      <c r="G113" t="s">
        <v>1327</v>
      </c>
      <c r="H113" t="s">
        <v>1107</v>
      </c>
      <c r="I113" t="s">
        <v>1265</v>
      </c>
      <c r="J113" t="s">
        <v>1027</v>
      </c>
      <c r="K113" t="s">
        <v>1356</v>
      </c>
      <c r="L113" t="s">
        <v>307</v>
      </c>
      <c r="M113" t="s">
        <v>1011</v>
      </c>
      <c r="N113" t="s">
        <v>56</v>
      </c>
      <c r="O113" t="s">
        <v>36</v>
      </c>
      <c r="P113" t="s">
        <v>84</v>
      </c>
      <c r="Q113" t="s">
        <v>84</v>
      </c>
      <c r="V113" t="s">
        <v>49</v>
      </c>
      <c r="W113" t="s">
        <v>84</v>
      </c>
      <c r="X113" t="s">
        <v>1105</v>
      </c>
      <c r="Y113" t="s">
        <v>1265</v>
      </c>
      <c r="Z113" t="s">
        <v>84</v>
      </c>
      <c r="AA113" t="s">
        <v>84</v>
      </c>
      <c r="AB113" t="s">
        <v>36</v>
      </c>
      <c r="AC113" t="s">
        <v>1340</v>
      </c>
      <c r="AD113" t="s">
        <v>36</v>
      </c>
      <c r="AE113" t="s">
        <v>1340</v>
      </c>
      <c r="AF113" t="s">
        <v>86</v>
      </c>
      <c r="AG113" t="s">
        <v>269</v>
      </c>
      <c r="AH113" t="s">
        <v>183</v>
      </c>
      <c r="AI113" s="4">
        <f ca="1">data[[#This Row],[Expiry Date]]-TODAY()</f>
        <v>42</v>
      </c>
      <c r="AJ113" s="4">
        <f ca="1">data[[#This Row],[Maturity ( Days)]]/365</f>
        <v>0.11506849315068493</v>
      </c>
      <c r="AK113" s="4" t="str">
        <f>IF(data[[#This Row],[Option Type]]="put","p","c")</f>
        <v>p</v>
      </c>
      <c r="AL113" s="4">
        <f>(data[[#This Row],[Bid]]*data[[#This Row],[Bidsize]]+data[[#This Row],[Ask]]*data[[#This Row],[Asksize]])/(data[[#This Row],[Bidsize]]+data[[#This Row],[Asksize]])</f>
        <v>9.3603411513859278</v>
      </c>
      <c r="AM113" s="4">
        <f>VALUE(data[[#This Row],[Strike]])</f>
        <v>3100</v>
      </c>
      <c r="AN113" s="5">
        <f ca="1">impliedVol(data[[#This Row],[OptType]],Details!$B$4,VALUE(data[[#This Row],[Strike]]),VALUE(data[[#This Row],[Cnt Price]]),Details!$B$6,data[[#This Row],[T]],Details!$B$7)</f>
        <v>0.41891156758206516</v>
      </c>
      <c r="AO113" s="7">
        <f t="array" aca="1" ref="AO113:AS113" ca="1">bsGreeks(data[[#This Row],[OptType]],Details!$B$4,VALUE(data[[#This Row],[Strike]]),Details!$B$6,data[[#This Row],[T]],AN113,Details!$B$7)</f>
        <v>-4.0164824768682328E-2</v>
      </c>
      <c r="AP113" s="7">
        <f ca="1"/>
        <v>1.5464093016935053E-4</v>
      </c>
      <c r="AQ113" s="6">
        <f ca="1"/>
        <v>1.1526720168817175</v>
      </c>
      <c r="AR113" s="6">
        <f ca="1"/>
        <v>-57.025606714870129</v>
      </c>
      <c r="AS113" s="6">
        <f ca="1"/>
        <v>-19.240572894780264</v>
      </c>
      <c r="AU113" s="60">
        <f ca="1"/>
        <v>9.551282576912854</v>
      </c>
      <c r="AV113" s="61" t="str">
        <f ca="1"/>
        <v>p</v>
      </c>
      <c r="AW113" s="61">
        <f ca="1"/>
        <v>0.41891156758206516</v>
      </c>
      <c r="AX113" s="62">
        <f ca="1"/>
        <v>-4.0164824768682328E-2</v>
      </c>
      <c r="AY113" s="62">
        <f ca="1"/>
        <v>1.5464093016935053E-4</v>
      </c>
      <c r="AZ113" s="62">
        <f ca="1"/>
        <v>1.1526720168817175</v>
      </c>
      <c r="BA113" s="60">
        <f ca="1"/>
        <v>-57.025606714870129</v>
      </c>
      <c r="BB113" s="60">
        <f ca="1"/>
        <v>-19.240572894780264</v>
      </c>
    </row>
    <row r="114" spans="1:54" x14ac:dyDescent="0.3">
      <c r="A114" t="s">
        <v>540</v>
      </c>
      <c r="B114" t="s">
        <v>541</v>
      </c>
      <c r="C114" t="s">
        <v>29</v>
      </c>
      <c r="D114" t="s">
        <v>85</v>
      </c>
      <c r="E114" t="s">
        <v>84</v>
      </c>
      <c r="F114" t="s">
        <v>248</v>
      </c>
      <c r="G114" t="s">
        <v>882</v>
      </c>
      <c r="H114" t="s">
        <v>114</v>
      </c>
      <c r="I114" t="s">
        <v>1165</v>
      </c>
      <c r="J114" t="s">
        <v>1015</v>
      </c>
      <c r="K114" t="s">
        <v>1204</v>
      </c>
      <c r="L114" t="s">
        <v>307</v>
      </c>
      <c r="M114" t="s">
        <v>826</v>
      </c>
      <c r="N114" t="s">
        <v>56</v>
      </c>
      <c r="O114" t="s">
        <v>36</v>
      </c>
      <c r="P114" t="s">
        <v>84</v>
      </c>
      <c r="Q114" t="s">
        <v>84</v>
      </c>
      <c r="V114" t="s">
        <v>49</v>
      </c>
      <c r="W114" t="s">
        <v>84</v>
      </c>
      <c r="X114" t="s">
        <v>1105</v>
      </c>
      <c r="Y114" t="s">
        <v>1165</v>
      </c>
      <c r="Z114" t="s">
        <v>84</v>
      </c>
      <c r="AA114" t="s">
        <v>84</v>
      </c>
      <c r="AB114" t="s">
        <v>36</v>
      </c>
      <c r="AC114" t="s">
        <v>1340</v>
      </c>
      <c r="AD114" t="s">
        <v>36</v>
      </c>
      <c r="AE114" t="s">
        <v>1340</v>
      </c>
      <c r="AF114" t="s">
        <v>86</v>
      </c>
      <c r="AG114" t="s">
        <v>269</v>
      </c>
      <c r="AH114" t="s">
        <v>183</v>
      </c>
      <c r="AI114" s="4">
        <f ca="1">data[[#This Row],[Expiry Date]]-TODAY()</f>
        <v>42</v>
      </c>
      <c r="AJ114" s="4">
        <f ca="1">data[[#This Row],[Maturity ( Days)]]/365</f>
        <v>0.11506849315068493</v>
      </c>
      <c r="AK114" s="4" t="str">
        <f>IF(data[[#This Row],[Option Type]]="put","p","c")</f>
        <v>p</v>
      </c>
      <c r="AL114" s="4">
        <f>(data[[#This Row],[Bid]]*data[[#This Row],[Bidsize]]+data[[#This Row],[Ask]]*data[[#This Row],[Asksize]])/(data[[#This Row],[Bidsize]]+data[[#This Row],[Asksize]])</f>
        <v>10.963250883392226</v>
      </c>
      <c r="AM114" s="4">
        <f>VALUE(data[[#This Row],[Strike]])</f>
        <v>3150</v>
      </c>
      <c r="AN114" s="5">
        <f ca="1">impliedVol(data[[#This Row],[OptType]],Details!$B$4,VALUE(data[[#This Row],[Strike]]),VALUE(data[[#This Row],[Cnt Price]]),Details!$B$6,data[[#This Row],[T]],Details!$B$7)</f>
        <v>0.40861388507332452</v>
      </c>
      <c r="AO114" s="7">
        <f t="array" aca="1" ref="AO114:AS114" ca="1">bsGreeks(data[[#This Row],[OptType]],Details!$B$4,VALUE(data[[#This Row],[Strike]]),Details!$B$6,data[[#This Row],[T]],AN114,Details!$B$7)</f>
        <v>-4.7077478475478496E-2</v>
      </c>
      <c r="AP114" s="7">
        <f ca="1"/>
        <v>1.8021925680915962E-4</v>
      </c>
      <c r="AQ114" s="6">
        <f ca="1"/>
        <v>1.3103075954714039</v>
      </c>
      <c r="AR114" s="6">
        <f ca="1"/>
        <v>-63.201722297273079</v>
      </c>
      <c r="AS114" s="6">
        <f ca="1"/>
        <v>-22.551085518116473</v>
      </c>
      <c r="AU114" s="60">
        <f ca="1"/>
        <v>11.187055808607965</v>
      </c>
      <c r="AV114" s="61" t="str">
        <f ca="1"/>
        <v>p</v>
      </c>
      <c r="AW114" s="61">
        <f ca="1"/>
        <v>0.40861388507332452</v>
      </c>
      <c r="AX114" s="62">
        <f ca="1"/>
        <v>-4.7077478475478496E-2</v>
      </c>
      <c r="AY114" s="62">
        <f ca="1"/>
        <v>1.8021925680915962E-4</v>
      </c>
      <c r="AZ114" s="62">
        <f ca="1"/>
        <v>1.3103075954714039</v>
      </c>
      <c r="BA114" s="60">
        <f ca="1"/>
        <v>-63.201722297273079</v>
      </c>
      <c r="BB114" s="60">
        <f ca="1"/>
        <v>-22.551085518116473</v>
      </c>
    </row>
    <row r="115" spans="1:54" x14ac:dyDescent="0.3">
      <c r="A115" t="s">
        <v>542</v>
      </c>
      <c r="B115" t="s">
        <v>543</v>
      </c>
      <c r="C115" t="s">
        <v>29</v>
      </c>
      <c r="D115" t="s">
        <v>85</v>
      </c>
      <c r="E115" t="s">
        <v>84</v>
      </c>
      <c r="F115" t="s">
        <v>90</v>
      </c>
      <c r="G115" t="s">
        <v>1532</v>
      </c>
      <c r="H115" t="s">
        <v>960</v>
      </c>
      <c r="I115" t="s">
        <v>1166</v>
      </c>
      <c r="J115" t="s">
        <v>878</v>
      </c>
      <c r="K115" t="s">
        <v>1106</v>
      </c>
      <c r="L115" t="s">
        <v>307</v>
      </c>
      <c r="M115" t="s">
        <v>1163</v>
      </c>
      <c r="N115" t="s">
        <v>56</v>
      </c>
      <c r="O115" t="s">
        <v>36</v>
      </c>
      <c r="P115" t="s">
        <v>84</v>
      </c>
      <c r="Q115" t="s">
        <v>84</v>
      </c>
      <c r="V115" t="s">
        <v>49</v>
      </c>
      <c r="W115" t="s">
        <v>84</v>
      </c>
      <c r="X115" t="s">
        <v>1105</v>
      </c>
      <c r="Y115" t="s">
        <v>1166</v>
      </c>
      <c r="Z115" t="s">
        <v>84</v>
      </c>
      <c r="AA115" t="s">
        <v>84</v>
      </c>
      <c r="AB115" t="s">
        <v>36</v>
      </c>
      <c r="AC115" t="s">
        <v>1340</v>
      </c>
      <c r="AD115" t="s">
        <v>36</v>
      </c>
      <c r="AE115" t="s">
        <v>1340</v>
      </c>
      <c r="AF115" t="s">
        <v>86</v>
      </c>
      <c r="AG115" t="s">
        <v>269</v>
      </c>
      <c r="AH115" t="s">
        <v>183</v>
      </c>
      <c r="AI115" s="4">
        <f ca="1">data[[#This Row],[Expiry Date]]-TODAY()</f>
        <v>42</v>
      </c>
      <c r="AJ115" s="4">
        <f ca="1">data[[#This Row],[Maturity ( Days)]]/365</f>
        <v>0.11506849315068493</v>
      </c>
      <c r="AK115" s="4" t="str">
        <f>IF(data[[#This Row],[Option Type]]="put","p","c")</f>
        <v>p</v>
      </c>
      <c r="AL115" s="4">
        <f>(data[[#This Row],[Bid]]*data[[#This Row],[Bidsize]]+data[[#This Row],[Ask]]*data[[#This Row],[Asksize]])/(data[[#This Row],[Bidsize]]+data[[#This Row],[Asksize]])</f>
        <v>12.429145728643213</v>
      </c>
      <c r="AM115" s="4">
        <f>VALUE(data[[#This Row],[Strike]])</f>
        <v>3200</v>
      </c>
      <c r="AN115" s="5">
        <f ca="1">impliedVol(data[[#This Row],[OptType]],Details!$B$4,VALUE(data[[#This Row],[Strike]]),VALUE(data[[#This Row],[Cnt Price]]),Details!$B$6,data[[#This Row],[T]],Details!$B$7)</f>
        <v>0.39553377501149978</v>
      </c>
      <c r="AO115" s="7">
        <f t="array" aca="1" ref="AO115:AS115" ca="1">bsGreeks(data[[#This Row],[OptType]],Details!$B$4,VALUE(data[[#This Row],[Strike]]),Details!$B$6,data[[#This Row],[T]],AN115,Details!$B$7)</f>
        <v>-5.3989292818372503E-2</v>
      </c>
      <c r="AP115" s="7">
        <f ca="1"/>
        <v>2.0765112177946118E-4</v>
      </c>
      <c r="AQ115" s="6">
        <f ca="1"/>
        <v>1.4614258995212446</v>
      </c>
      <c r="AR115" s="6">
        <f ca="1"/>
        <v>-68.198602554840974</v>
      </c>
      <c r="AS115" s="6">
        <f ca="1"/>
        <v>-25.845450295316905</v>
      </c>
      <c r="AU115" s="60">
        <f ca="1"/>
        <v>12.685633763814167</v>
      </c>
      <c r="AV115" s="61" t="str">
        <f ca="1"/>
        <v>p</v>
      </c>
      <c r="AW115" s="61">
        <f ca="1"/>
        <v>0.39553377501149978</v>
      </c>
      <c r="AX115" s="62">
        <f ca="1"/>
        <v>-5.3989292818372503E-2</v>
      </c>
      <c r="AY115" s="62">
        <f ca="1"/>
        <v>2.0765112177946118E-4</v>
      </c>
      <c r="AZ115" s="62">
        <f ca="1"/>
        <v>1.4614258995212446</v>
      </c>
      <c r="BA115" s="60">
        <f ca="1"/>
        <v>-68.198602554840974</v>
      </c>
      <c r="BB115" s="60">
        <f ca="1"/>
        <v>-25.845450295316905</v>
      </c>
    </row>
    <row r="116" spans="1:54" x14ac:dyDescent="0.3">
      <c r="A116" t="s">
        <v>544</v>
      </c>
      <c r="B116" t="s">
        <v>545</v>
      </c>
      <c r="C116" t="s">
        <v>29</v>
      </c>
      <c r="D116" t="s">
        <v>94</v>
      </c>
      <c r="E116" t="s">
        <v>84</v>
      </c>
      <c r="F116" t="s">
        <v>249</v>
      </c>
      <c r="G116" t="s">
        <v>110</v>
      </c>
      <c r="H116" t="s">
        <v>1070</v>
      </c>
      <c r="I116" t="s">
        <v>1169</v>
      </c>
      <c r="J116" t="s">
        <v>286</v>
      </c>
      <c r="K116" t="s">
        <v>1136</v>
      </c>
      <c r="L116" t="s">
        <v>307</v>
      </c>
      <c r="M116" t="s">
        <v>1170</v>
      </c>
      <c r="N116" t="s">
        <v>56</v>
      </c>
      <c r="O116" t="s">
        <v>36</v>
      </c>
      <c r="P116" t="s">
        <v>84</v>
      </c>
      <c r="Q116" t="s">
        <v>84</v>
      </c>
      <c r="V116" t="s">
        <v>49</v>
      </c>
      <c r="W116" t="s">
        <v>84</v>
      </c>
      <c r="X116" t="s">
        <v>1156</v>
      </c>
      <c r="Y116" t="s">
        <v>1169</v>
      </c>
      <c r="Z116" t="s">
        <v>84</v>
      </c>
      <c r="AA116" t="s">
        <v>84</v>
      </c>
      <c r="AB116" t="s">
        <v>36</v>
      </c>
      <c r="AC116" t="s">
        <v>1340</v>
      </c>
      <c r="AD116" t="s">
        <v>36</v>
      </c>
      <c r="AE116" t="s">
        <v>1340</v>
      </c>
      <c r="AF116" t="s">
        <v>86</v>
      </c>
      <c r="AG116" t="s">
        <v>269</v>
      </c>
      <c r="AH116" t="s">
        <v>183</v>
      </c>
      <c r="AI116" s="4">
        <f ca="1">data[[#This Row],[Expiry Date]]-TODAY()</f>
        <v>42</v>
      </c>
      <c r="AJ116" s="4">
        <f ca="1">data[[#This Row],[Maturity ( Days)]]/365</f>
        <v>0.11506849315068493</v>
      </c>
      <c r="AK116" s="4" t="str">
        <f>IF(data[[#This Row],[Option Type]]="put","p","c")</f>
        <v>p</v>
      </c>
      <c r="AL116" s="4">
        <f>(data[[#This Row],[Bid]]*data[[#This Row],[Bidsize]]+data[[#This Row],[Ask]]*data[[#This Row],[Asksize]])/(data[[#This Row],[Bidsize]]+data[[#This Row],[Asksize]])</f>
        <v>14.195670995670994</v>
      </c>
      <c r="AM116" s="4">
        <f>VALUE(data[[#This Row],[Strike]])</f>
        <v>3250</v>
      </c>
      <c r="AN116" s="5">
        <f ca="1">impliedVol(data[[#This Row],[OptType]],Details!$B$4,VALUE(data[[#This Row],[Strike]]),VALUE(data[[#This Row],[Cnt Price]]),Details!$B$6,data[[#This Row],[T]],Details!$B$7)</f>
        <v>0.38299547669026146</v>
      </c>
      <c r="AO116" s="7">
        <f t="array" aca="1" ref="AO116:AS116" ca="1">bsGreeks(data[[#This Row],[OptType]],Details!$B$4,VALUE(data[[#This Row],[Strike]]),Details!$B$6,data[[#This Row],[T]],AN116,Details!$B$7)</f>
        <v>-6.223172536765964E-2</v>
      </c>
      <c r="AP116" s="7">
        <f ca="1"/>
        <v>2.39783114133736E-4</v>
      </c>
      <c r="AQ116" s="6">
        <f ca="1"/>
        <v>1.6340719868033624</v>
      </c>
      <c r="AR116" s="6">
        <f ca="1"/>
        <v>-73.795249262191348</v>
      </c>
      <c r="AS116" s="6">
        <f ca="1"/>
        <v>-29.776145964764719</v>
      </c>
      <c r="AU116" s="60">
        <f ca="1"/>
        <v>14.491161158188334</v>
      </c>
      <c r="AV116" s="61" t="str">
        <f ca="1"/>
        <v>p</v>
      </c>
      <c r="AW116" s="61">
        <f ca="1"/>
        <v>0.38299547669026146</v>
      </c>
      <c r="AX116" s="62">
        <f ca="1"/>
        <v>-6.223172536765964E-2</v>
      </c>
      <c r="AY116" s="62">
        <f ca="1"/>
        <v>2.39783114133736E-4</v>
      </c>
      <c r="AZ116" s="62">
        <f ca="1"/>
        <v>1.6340719868033624</v>
      </c>
      <c r="BA116" s="60">
        <f ca="1"/>
        <v>-73.795249262191348</v>
      </c>
      <c r="BB116" s="60">
        <f ca="1"/>
        <v>-29.776145964764719</v>
      </c>
    </row>
    <row r="117" spans="1:54" x14ac:dyDescent="0.3">
      <c r="A117" t="s">
        <v>546</v>
      </c>
      <c r="B117" t="s">
        <v>547</v>
      </c>
      <c r="C117" t="s">
        <v>29</v>
      </c>
      <c r="D117" t="s">
        <v>85</v>
      </c>
      <c r="E117" t="s">
        <v>84</v>
      </c>
      <c r="F117" t="s">
        <v>129</v>
      </c>
      <c r="G117" t="s">
        <v>962</v>
      </c>
      <c r="H117" t="s">
        <v>1403</v>
      </c>
      <c r="I117" t="s">
        <v>1268</v>
      </c>
      <c r="J117" t="s">
        <v>894</v>
      </c>
      <c r="K117" t="s">
        <v>897</v>
      </c>
      <c r="L117" t="s">
        <v>307</v>
      </c>
      <c r="M117" t="s">
        <v>902</v>
      </c>
      <c r="N117" t="s">
        <v>56</v>
      </c>
      <c r="O117" t="s">
        <v>36</v>
      </c>
      <c r="P117" t="s">
        <v>84</v>
      </c>
      <c r="Q117" t="s">
        <v>84</v>
      </c>
      <c r="V117" t="s">
        <v>49</v>
      </c>
      <c r="W117" t="s">
        <v>84</v>
      </c>
      <c r="X117" t="s">
        <v>1105</v>
      </c>
      <c r="Y117" t="s">
        <v>1268</v>
      </c>
      <c r="Z117" t="s">
        <v>84</v>
      </c>
      <c r="AA117" t="s">
        <v>84</v>
      </c>
      <c r="AB117" t="s">
        <v>36</v>
      </c>
      <c r="AC117" t="s">
        <v>1340</v>
      </c>
      <c r="AD117" t="s">
        <v>36</v>
      </c>
      <c r="AE117" t="s">
        <v>1340</v>
      </c>
      <c r="AF117" t="s">
        <v>86</v>
      </c>
      <c r="AG117" t="s">
        <v>269</v>
      </c>
      <c r="AH117" t="s">
        <v>183</v>
      </c>
      <c r="AI117" s="4">
        <f ca="1">data[[#This Row],[Expiry Date]]-TODAY()</f>
        <v>42</v>
      </c>
      <c r="AJ117" s="4">
        <f ca="1">data[[#This Row],[Maturity ( Days)]]/365</f>
        <v>0.11506849315068493</v>
      </c>
      <c r="AK117" s="4" t="str">
        <f>IF(data[[#This Row],[Option Type]]="put","p","c")</f>
        <v>p</v>
      </c>
      <c r="AL117" s="4">
        <f>(data[[#This Row],[Bid]]*data[[#This Row],[Bidsize]]+data[[#This Row],[Ask]]*data[[#This Row],[Asksize]])/(data[[#This Row],[Bidsize]]+data[[#This Row],[Asksize]])</f>
        <v>16.581954887218046</v>
      </c>
      <c r="AM117" s="4">
        <f>VALUE(data[[#This Row],[Strike]])</f>
        <v>3300</v>
      </c>
      <c r="AN117" s="5">
        <f ca="1">impliedVol(data[[#This Row],[OptType]],Details!$B$4,VALUE(data[[#This Row],[Strike]]),VALUE(data[[#This Row],[Cnt Price]]),Details!$B$6,data[[#This Row],[T]],Details!$B$7)</f>
        <v>0.37238107506404666</v>
      </c>
      <c r="AO117" s="7">
        <f t="array" aca="1" ref="AO117:AS117" ca="1">bsGreeks(data[[#This Row],[OptType]],Details!$B$4,VALUE(data[[#This Row],[Strike]]),Details!$B$6,data[[#This Row],[T]],AN117,Details!$B$7)</f>
        <v>-7.2754444956802389E-2</v>
      </c>
      <c r="AP117" s="7">
        <f ca="1"/>
        <v>2.782727686619823E-4</v>
      </c>
      <c r="AQ117" s="6">
        <f ca="1"/>
        <v>1.843814620011045</v>
      </c>
      <c r="AR117" s="6">
        <f ca="1"/>
        <v>-80.908545596713964</v>
      </c>
      <c r="AS117" s="6">
        <f ca="1"/>
        <v>-34.809359371350624</v>
      </c>
      <c r="AU117" s="60">
        <f ca="1"/>
        <v>16.927413730200897</v>
      </c>
      <c r="AV117" s="61" t="str">
        <f ca="1"/>
        <v>p</v>
      </c>
      <c r="AW117" s="61">
        <f ca="1"/>
        <v>0.37238107506404666</v>
      </c>
      <c r="AX117" s="62">
        <f ca="1"/>
        <v>-7.2754444956802389E-2</v>
      </c>
      <c r="AY117" s="62">
        <f ca="1"/>
        <v>2.782727686619823E-4</v>
      </c>
      <c r="AZ117" s="62">
        <f ca="1"/>
        <v>1.843814620011045</v>
      </c>
      <c r="BA117" s="60">
        <f ca="1"/>
        <v>-80.908545596713964</v>
      </c>
      <c r="BB117" s="60">
        <f ca="1"/>
        <v>-34.809359371350624</v>
      </c>
    </row>
    <row r="118" spans="1:54" x14ac:dyDescent="0.3">
      <c r="A118" t="s">
        <v>548</v>
      </c>
      <c r="B118" t="s">
        <v>549</v>
      </c>
      <c r="C118" t="s">
        <v>29</v>
      </c>
      <c r="D118" t="s">
        <v>85</v>
      </c>
      <c r="E118" t="s">
        <v>84</v>
      </c>
      <c r="F118" t="s">
        <v>250</v>
      </c>
      <c r="G118" t="s">
        <v>1362</v>
      </c>
      <c r="H118" t="s">
        <v>1533</v>
      </c>
      <c r="I118" t="s">
        <v>1269</v>
      </c>
      <c r="J118" t="s">
        <v>1063</v>
      </c>
      <c r="K118" t="s">
        <v>1045</v>
      </c>
      <c r="L118" t="s">
        <v>307</v>
      </c>
      <c r="M118" t="s">
        <v>897</v>
      </c>
      <c r="N118" t="s">
        <v>56</v>
      </c>
      <c r="O118" t="s">
        <v>36</v>
      </c>
      <c r="P118" t="s">
        <v>84</v>
      </c>
      <c r="Q118" t="s">
        <v>84</v>
      </c>
      <c r="V118" t="s">
        <v>49</v>
      </c>
      <c r="W118" t="s">
        <v>84</v>
      </c>
      <c r="X118" t="s">
        <v>1105</v>
      </c>
      <c r="Y118" t="s">
        <v>1269</v>
      </c>
      <c r="Z118" t="s">
        <v>84</v>
      </c>
      <c r="AA118" t="s">
        <v>84</v>
      </c>
      <c r="AB118" t="s">
        <v>36</v>
      </c>
      <c r="AC118" t="s">
        <v>1340</v>
      </c>
      <c r="AD118" t="s">
        <v>36</v>
      </c>
      <c r="AE118" t="s">
        <v>1340</v>
      </c>
      <c r="AF118" t="s">
        <v>86</v>
      </c>
      <c r="AG118" t="s">
        <v>269</v>
      </c>
      <c r="AH118" t="s">
        <v>183</v>
      </c>
      <c r="AI118" s="4">
        <f ca="1">data[[#This Row],[Expiry Date]]-TODAY()</f>
        <v>42</v>
      </c>
      <c r="AJ118" s="4">
        <f ca="1">data[[#This Row],[Maturity ( Days)]]/365</f>
        <v>0.11506849315068493</v>
      </c>
      <c r="AK118" s="4" t="str">
        <f>IF(data[[#This Row],[Option Type]]="put","p","c")</f>
        <v>p</v>
      </c>
      <c r="AL118" s="4">
        <f>(data[[#This Row],[Bid]]*data[[#This Row],[Bidsize]]+data[[#This Row],[Ask]]*data[[#This Row],[Asksize]])/(data[[#This Row],[Bidsize]]+data[[#This Row],[Asksize]])</f>
        <v>19.365771812080538</v>
      </c>
      <c r="AM118" s="4">
        <f>VALUE(data[[#This Row],[Strike]])</f>
        <v>3350</v>
      </c>
      <c r="AN118" s="5">
        <f ca="1">impliedVol(data[[#This Row],[OptType]],Details!$B$4,VALUE(data[[#This Row],[Strike]]),VALUE(data[[#This Row],[Cnt Price]]),Details!$B$6,data[[#This Row],[T]],Details!$B$7)</f>
        <v>0.36172987608675983</v>
      </c>
      <c r="AO118" s="7">
        <f t="array" aca="1" ref="AO118:AS118" ca="1">bsGreeks(data[[#This Row],[OptType]],Details!$B$4,VALUE(data[[#This Row],[Strike]]),Details!$B$6,data[[#This Row],[T]],AN118,Details!$B$7)</f>
        <v>-8.4997471783266665E-2</v>
      </c>
      <c r="AP118" s="7">
        <f ca="1"/>
        <v>3.2230030956037319E-4</v>
      </c>
      <c r="AQ118" s="6">
        <f ca="1"/>
        <v>2.0744551323836218</v>
      </c>
      <c r="AR118" s="6">
        <f ca="1"/>
        <v>-88.363068746566128</v>
      </c>
      <c r="AS118" s="6">
        <f ca="1"/>
        <v>-40.666281557217268</v>
      </c>
      <c r="AU118" s="60">
        <f ca="1"/>
        <v>19.769384597944281</v>
      </c>
      <c r="AV118" s="61" t="str">
        <f ca="1"/>
        <v>p</v>
      </c>
      <c r="AW118" s="61">
        <f ca="1"/>
        <v>0.36172987608675983</v>
      </c>
      <c r="AX118" s="62">
        <f ca="1"/>
        <v>-8.4997471783266665E-2</v>
      </c>
      <c r="AY118" s="62">
        <f ca="1"/>
        <v>3.2230030956037319E-4</v>
      </c>
      <c r="AZ118" s="62">
        <f ca="1"/>
        <v>2.0744551323836218</v>
      </c>
      <c r="BA118" s="60">
        <f ca="1"/>
        <v>-88.363068746566128</v>
      </c>
      <c r="BB118" s="60">
        <f ca="1"/>
        <v>-40.666281557217268</v>
      </c>
    </row>
    <row r="119" spans="1:54" x14ac:dyDescent="0.3">
      <c r="A119" t="s">
        <v>550</v>
      </c>
      <c r="B119" t="s">
        <v>551</v>
      </c>
      <c r="C119" t="s">
        <v>29</v>
      </c>
      <c r="D119" t="s">
        <v>94</v>
      </c>
      <c r="E119" t="s">
        <v>84</v>
      </c>
      <c r="F119" t="s">
        <v>92</v>
      </c>
      <c r="G119" t="s">
        <v>1102</v>
      </c>
      <c r="H119" t="s">
        <v>1338</v>
      </c>
      <c r="I119" t="s">
        <v>827</v>
      </c>
      <c r="J119" t="s">
        <v>95</v>
      </c>
      <c r="K119" t="s">
        <v>876</v>
      </c>
      <c r="L119" t="s">
        <v>307</v>
      </c>
      <c r="M119" t="s">
        <v>1052</v>
      </c>
      <c r="N119" t="s">
        <v>56</v>
      </c>
      <c r="O119" t="s">
        <v>36</v>
      </c>
      <c r="P119" t="s">
        <v>84</v>
      </c>
      <c r="Q119" t="s">
        <v>84</v>
      </c>
      <c r="V119" t="s">
        <v>49</v>
      </c>
      <c r="W119" t="s">
        <v>84</v>
      </c>
      <c r="X119" t="s">
        <v>1243</v>
      </c>
      <c r="Y119" t="s">
        <v>827</v>
      </c>
      <c r="Z119" t="s">
        <v>84</v>
      </c>
      <c r="AA119" t="s">
        <v>84</v>
      </c>
      <c r="AB119" t="s">
        <v>36</v>
      </c>
      <c r="AC119" t="s">
        <v>1340</v>
      </c>
      <c r="AD119" t="s">
        <v>36</v>
      </c>
      <c r="AE119" t="s">
        <v>1340</v>
      </c>
      <c r="AF119" t="s">
        <v>86</v>
      </c>
      <c r="AG119" t="s">
        <v>269</v>
      </c>
      <c r="AH119" t="s">
        <v>183</v>
      </c>
      <c r="AI119" s="4">
        <f ca="1">data[[#This Row],[Expiry Date]]-TODAY()</f>
        <v>42</v>
      </c>
      <c r="AJ119" s="4">
        <f ca="1">data[[#This Row],[Maturity ( Days)]]/365</f>
        <v>0.11506849315068493</v>
      </c>
      <c r="AK119" s="4" t="str">
        <f>IF(data[[#This Row],[Option Type]]="put","p","c")</f>
        <v>p</v>
      </c>
      <c r="AL119" s="4">
        <f>(data[[#This Row],[Bid]]*data[[#This Row],[Bidsize]]+data[[#This Row],[Ask]]*data[[#This Row],[Asksize]])/(data[[#This Row],[Bidsize]]+data[[#This Row],[Asksize]])</f>
        <v>22.815540540540539</v>
      </c>
      <c r="AM119" s="4">
        <f>VALUE(data[[#This Row],[Strike]])</f>
        <v>3400</v>
      </c>
      <c r="AN119" s="5">
        <f ca="1">impliedVol(data[[#This Row],[OptType]],Details!$B$4,VALUE(data[[#This Row],[Strike]]),VALUE(data[[#This Row],[Cnt Price]]),Details!$B$6,data[[#This Row],[T]],Details!$B$7)</f>
        <v>0.35190495428798052</v>
      </c>
      <c r="AO119" s="7">
        <f t="array" aca="1" ref="AO119:AS119" ca="1">bsGreeks(data[[#This Row],[OptType]],Details!$B$4,VALUE(data[[#This Row],[Strike]]),Details!$B$6,data[[#This Row],[T]],AN119,Details!$B$7)</f>
        <v>-9.973835327183056E-2</v>
      </c>
      <c r="AP119" s="7">
        <f ca="1"/>
        <v>3.7293849576396407E-4</v>
      </c>
      <c r="AQ119" s="6">
        <f ca="1"/>
        <v>2.3351863301644911</v>
      </c>
      <c r="AR119" s="6">
        <f ca="1"/>
        <v>-96.691281283348232</v>
      </c>
      <c r="AS119" s="6">
        <f ca="1"/>
        <v>-47.729426808602895</v>
      </c>
      <c r="AU119" s="60">
        <f ca="1"/>
        <v>23.289308819789767</v>
      </c>
      <c r="AV119" s="61" t="str">
        <f ca="1"/>
        <v>p</v>
      </c>
      <c r="AW119" s="61">
        <f ca="1"/>
        <v>0.35190495428798052</v>
      </c>
      <c r="AX119" s="62">
        <f ca="1"/>
        <v>-9.973835327183056E-2</v>
      </c>
      <c r="AY119" s="62">
        <f ca="1"/>
        <v>3.7293849576396407E-4</v>
      </c>
      <c r="AZ119" s="62">
        <f ca="1"/>
        <v>2.3351863301644911</v>
      </c>
      <c r="BA119" s="60">
        <f ca="1"/>
        <v>-96.691281283348232</v>
      </c>
      <c r="BB119" s="60">
        <f ca="1"/>
        <v>-47.729426808602895</v>
      </c>
    </row>
    <row r="120" spans="1:54" x14ac:dyDescent="0.3">
      <c r="A120" t="s">
        <v>554</v>
      </c>
      <c r="B120" t="s">
        <v>555</v>
      </c>
      <c r="C120" t="s">
        <v>29</v>
      </c>
      <c r="D120" t="s">
        <v>85</v>
      </c>
      <c r="E120" t="s">
        <v>84</v>
      </c>
      <c r="F120" t="s">
        <v>130</v>
      </c>
      <c r="G120" t="s">
        <v>1100</v>
      </c>
      <c r="H120" t="s">
        <v>1013</v>
      </c>
      <c r="I120" t="s">
        <v>1270</v>
      </c>
      <c r="J120" t="s">
        <v>95</v>
      </c>
      <c r="K120" t="s">
        <v>904</v>
      </c>
      <c r="L120" t="s">
        <v>307</v>
      </c>
      <c r="M120" t="s">
        <v>918</v>
      </c>
      <c r="N120" t="s">
        <v>56</v>
      </c>
      <c r="O120" t="s">
        <v>36</v>
      </c>
      <c r="P120" t="s">
        <v>84</v>
      </c>
      <c r="Q120" t="s">
        <v>84</v>
      </c>
      <c r="V120" t="s">
        <v>49</v>
      </c>
      <c r="W120" t="s">
        <v>84</v>
      </c>
      <c r="X120" t="s">
        <v>1243</v>
      </c>
      <c r="Y120" t="s">
        <v>1270</v>
      </c>
      <c r="Z120" t="s">
        <v>84</v>
      </c>
      <c r="AA120" t="s">
        <v>84</v>
      </c>
      <c r="AB120" t="s">
        <v>36</v>
      </c>
      <c r="AC120" t="s">
        <v>1340</v>
      </c>
      <c r="AD120" t="s">
        <v>36</v>
      </c>
      <c r="AE120" t="s">
        <v>1340</v>
      </c>
      <c r="AF120" t="s">
        <v>86</v>
      </c>
      <c r="AG120" t="s">
        <v>269</v>
      </c>
      <c r="AH120" t="s">
        <v>183</v>
      </c>
      <c r="AI120" s="4">
        <f ca="1">data[[#This Row],[Expiry Date]]-TODAY()</f>
        <v>42</v>
      </c>
      <c r="AJ120" s="4">
        <f ca="1">data[[#This Row],[Maturity ( Days)]]/365</f>
        <v>0.11506849315068493</v>
      </c>
      <c r="AK120" s="4" t="str">
        <f>IF(data[[#This Row],[Option Type]]="put","p","c")</f>
        <v>p</v>
      </c>
      <c r="AL120" s="4">
        <f>(data[[#This Row],[Bid]]*data[[#This Row],[Bidsize]]+data[[#This Row],[Ask]]*data[[#This Row],[Asksize]])/(data[[#This Row],[Bidsize]]+data[[#This Row],[Asksize]])</f>
        <v>31.750427350427348</v>
      </c>
      <c r="AM120" s="4">
        <f>VALUE(data[[#This Row],[Strike]])</f>
        <v>3500</v>
      </c>
      <c r="AN120" s="5">
        <f ca="1">impliedVol(data[[#This Row],[OptType]],Details!$B$4,VALUE(data[[#This Row],[Strike]]),VALUE(data[[#This Row],[Cnt Price]]),Details!$B$6,data[[#This Row],[T]],Details!$B$7)</f>
        <v>0.33262176349745237</v>
      </c>
      <c r="AO120" s="7">
        <f t="array" aca="1" ref="AO120:AS120" ca="1">bsGreeks(data[[#This Row],[OptType]],Details!$B$4,VALUE(data[[#This Row],[Strike]]),Details!$B$6,data[[#This Row],[T]],AN120,Details!$B$7)</f>
        <v>-0.13702474173183798</v>
      </c>
      <c r="AP120" s="7">
        <f ca="1"/>
        <v>4.9407489245134031E-4</v>
      </c>
      <c r="AQ120" s="6">
        <f ca="1"/>
        <v>2.924168472594864</v>
      </c>
      <c r="AR120" s="6">
        <f ca="1"/>
        <v>-114.22655829156864</v>
      </c>
      <c r="AS120" s="6">
        <f ca="1"/>
        <v>-65.619371663526579</v>
      </c>
      <c r="AU120" s="60">
        <f ca="1"/>
        <v>32.401961488020788</v>
      </c>
      <c r="AV120" s="61" t="str">
        <f ca="1"/>
        <v>p</v>
      </c>
      <c r="AW120" s="61">
        <f ca="1"/>
        <v>0.33262176349745237</v>
      </c>
      <c r="AX120" s="62">
        <f ca="1"/>
        <v>-0.13702474173183798</v>
      </c>
      <c r="AY120" s="62">
        <f ca="1"/>
        <v>4.9407489245134031E-4</v>
      </c>
      <c r="AZ120" s="62">
        <f ca="1"/>
        <v>2.924168472594864</v>
      </c>
      <c r="BA120" s="60">
        <f ca="1"/>
        <v>-114.22655829156864</v>
      </c>
      <c r="BB120" s="60">
        <f ca="1"/>
        <v>-65.619371663526579</v>
      </c>
    </row>
    <row r="121" spans="1:54" x14ac:dyDescent="0.3">
      <c r="A121" t="s">
        <v>556</v>
      </c>
      <c r="B121" t="s">
        <v>557</v>
      </c>
      <c r="C121" t="s">
        <v>29</v>
      </c>
      <c r="D121" t="s">
        <v>85</v>
      </c>
      <c r="E121" t="s">
        <v>84</v>
      </c>
      <c r="F121" t="s">
        <v>251</v>
      </c>
      <c r="G121" t="s">
        <v>1534</v>
      </c>
      <c r="H121" t="s">
        <v>1373</v>
      </c>
      <c r="I121" t="s">
        <v>1271</v>
      </c>
      <c r="J121" t="s">
        <v>105</v>
      </c>
      <c r="K121" t="s">
        <v>1093</v>
      </c>
      <c r="L121" t="s">
        <v>307</v>
      </c>
      <c r="M121" t="s">
        <v>1173</v>
      </c>
      <c r="N121" t="s">
        <v>56</v>
      </c>
      <c r="O121" t="s">
        <v>36</v>
      </c>
      <c r="P121" t="s">
        <v>84</v>
      </c>
      <c r="Q121" t="s">
        <v>84</v>
      </c>
      <c r="V121" t="s">
        <v>49</v>
      </c>
      <c r="W121" t="s">
        <v>84</v>
      </c>
      <c r="X121" t="s">
        <v>1105</v>
      </c>
      <c r="Y121" t="s">
        <v>1271</v>
      </c>
      <c r="Z121" t="s">
        <v>84</v>
      </c>
      <c r="AA121" t="s">
        <v>84</v>
      </c>
      <c r="AB121" t="s">
        <v>36</v>
      </c>
      <c r="AC121" t="s">
        <v>1340</v>
      </c>
      <c r="AD121" t="s">
        <v>36</v>
      </c>
      <c r="AE121" t="s">
        <v>1340</v>
      </c>
      <c r="AF121" t="s">
        <v>86</v>
      </c>
      <c r="AG121" t="s">
        <v>269</v>
      </c>
      <c r="AH121" t="s">
        <v>183</v>
      </c>
      <c r="AI121" s="4">
        <f ca="1">data[[#This Row],[Expiry Date]]-TODAY()</f>
        <v>42</v>
      </c>
      <c r="AJ121" s="4">
        <f ca="1">data[[#This Row],[Maturity ( Days)]]/365</f>
        <v>0.11506849315068493</v>
      </c>
      <c r="AK121" s="4" t="str">
        <f>IF(data[[#This Row],[Option Type]]="put","p","c")</f>
        <v>p</v>
      </c>
      <c r="AL121" s="4">
        <f>(data[[#This Row],[Bid]]*data[[#This Row],[Bidsize]]+data[[#This Row],[Ask]]*data[[#This Row],[Asksize]])/(data[[#This Row],[Bidsize]]+data[[#This Row],[Asksize]])</f>
        <v>37.655670103092781</v>
      </c>
      <c r="AM121" s="4">
        <f>VALUE(data[[#This Row],[Strike]])</f>
        <v>3550</v>
      </c>
      <c r="AN121" s="5">
        <f ca="1">impliedVol(data[[#This Row],[OptType]],Details!$B$4,VALUE(data[[#This Row],[Strike]]),VALUE(data[[#This Row],[Cnt Price]]),Details!$B$6,data[[#This Row],[T]],Details!$B$7)</f>
        <v>0.32367156297155664</v>
      </c>
      <c r="AO121" s="7">
        <f t="array" aca="1" ref="AO121:AS121" ca="1">bsGreeks(data[[#This Row],[OptType]],Details!$B$4,VALUE(data[[#This Row],[Strike]]),Details!$B$6,data[[#This Row],[T]],AN121,Details!$B$7)</f>
        <v>-0.160657303430501</v>
      </c>
      <c r="AP121" s="7">
        <f ca="1"/>
        <v>5.6473249238626986E-4</v>
      </c>
      <c r="AQ121" s="6">
        <f ca="1"/>
        <v>3.2524173173673376</v>
      </c>
      <c r="AR121" s="6">
        <f ca="1"/>
        <v>-123.4881008054754</v>
      </c>
      <c r="AS121" s="6">
        <f ca="1"/>
        <v>-76.98611116491918</v>
      </c>
      <c r="AU121" s="60">
        <f ca="1"/>
        <v>38.420215225321044</v>
      </c>
      <c r="AV121" s="61" t="str">
        <f ca="1"/>
        <v>p</v>
      </c>
      <c r="AW121" s="61">
        <f ca="1"/>
        <v>0.32367156297155664</v>
      </c>
      <c r="AX121" s="62">
        <f ca="1"/>
        <v>-0.160657303430501</v>
      </c>
      <c r="AY121" s="62">
        <f ca="1"/>
        <v>5.6473249238626986E-4</v>
      </c>
      <c r="AZ121" s="62">
        <f ca="1"/>
        <v>3.2524173173673376</v>
      </c>
      <c r="BA121" s="60">
        <f ca="1"/>
        <v>-123.4881008054754</v>
      </c>
      <c r="BB121" s="60">
        <f ca="1"/>
        <v>-76.98611116491918</v>
      </c>
    </row>
    <row r="122" spans="1:54" x14ac:dyDescent="0.3">
      <c r="A122" t="s">
        <v>829</v>
      </c>
      <c r="B122" t="s">
        <v>830</v>
      </c>
      <c r="C122" t="s">
        <v>29</v>
      </c>
      <c r="D122" t="s">
        <v>94</v>
      </c>
      <c r="E122" t="s">
        <v>84</v>
      </c>
      <c r="F122" t="s">
        <v>778</v>
      </c>
      <c r="G122" t="s">
        <v>1409</v>
      </c>
      <c r="H122" t="s">
        <v>146</v>
      </c>
      <c r="I122" t="s">
        <v>1272</v>
      </c>
      <c r="J122" t="s">
        <v>105</v>
      </c>
      <c r="K122" t="s">
        <v>828</v>
      </c>
      <c r="L122" t="s">
        <v>307</v>
      </c>
      <c r="M122" t="s">
        <v>83</v>
      </c>
      <c r="N122" t="s">
        <v>56</v>
      </c>
      <c r="O122" t="s">
        <v>36</v>
      </c>
      <c r="P122" t="s">
        <v>84</v>
      </c>
      <c r="Q122" t="s">
        <v>84</v>
      </c>
      <c r="V122" t="s">
        <v>49</v>
      </c>
      <c r="W122" t="s">
        <v>84</v>
      </c>
      <c r="X122" t="s">
        <v>1105</v>
      </c>
      <c r="Y122" t="s">
        <v>1272</v>
      </c>
      <c r="Z122" t="s">
        <v>84</v>
      </c>
      <c r="AA122" t="s">
        <v>84</v>
      </c>
      <c r="AB122" t="s">
        <v>36</v>
      </c>
      <c r="AC122" t="s">
        <v>1340</v>
      </c>
      <c r="AD122" t="s">
        <v>36</v>
      </c>
      <c r="AE122" t="s">
        <v>1340</v>
      </c>
      <c r="AF122" t="s">
        <v>86</v>
      </c>
      <c r="AG122" t="s">
        <v>269</v>
      </c>
      <c r="AH122" t="s">
        <v>183</v>
      </c>
      <c r="AI122" s="4">
        <f ca="1">data[[#This Row],[Expiry Date]]-TODAY()</f>
        <v>42</v>
      </c>
      <c r="AJ122" s="4">
        <f ca="1">data[[#This Row],[Maturity ( Days)]]/365</f>
        <v>0.11506849315068493</v>
      </c>
      <c r="AK122" s="4" t="str">
        <f>IF(data[[#This Row],[Option Type]]="put","p","c")</f>
        <v>p</v>
      </c>
      <c r="AL122" s="4">
        <f>(data[[#This Row],[Bid]]*data[[#This Row],[Bidsize]]+data[[#This Row],[Ask]]*data[[#This Row],[Asksize]])/(data[[#This Row],[Bidsize]]+data[[#This Row],[Asksize]])</f>
        <v>48.822222222222223</v>
      </c>
      <c r="AM122" s="4">
        <f>VALUE(data[[#This Row],[Strike]])</f>
        <v>3625</v>
      </c>
      <c r="AN122" s="5">
        <f ca="1">impliedVol(data[[#This Row],[OptType]],Details!$B$4,VALUE(data[[#This Row],[Strike]]),VALUE(data[[#This Row],[Cnt Price]]),Details!$B$6,data[[#This Row],[T]],Details!$B$7)</f>
        <v>0.31103252072758864</v>
      </c>
      <c r="AO122" s="7">
        <f t="array" aca="1" ref="AO122:AS122" ca="1">bsGreeks(data[[#This Row],[OptType]],Details!$B$4,VALUE(data[[#This Row],[Strike]]),Details!$B$6,data[[#This Row],[T]],AN122,Details!$B$7)</f>
        <v>-0.20340137644695355</v>
      </c>
      <c r="AP122" s="7">
        <f ca="1"/>
        <v>6.8124041601868397E-4</v>
      </c>
      <c r="AQ122" s="6">
        <f ca="1"/>
        <v>3.7702066002873709</v>
      </c>
      <c r="AR122" s="6">
        <f ca="1"/>
        <v>-137.27549915906644</v>
      </c>
      <c r="AS122" s="6">
        <f ca="1"/>
        <v>-97.600975462971988</v>
      </c>
      <c r="AU122" s="60">
        <f ca="1"/>
        <v>49.791843391501061</v>
      </c>
      <c r="AV122" s="61" t="str">
        <f ca="1"/>
        <v>p</v>
      </c>
      <c r="AW122" s="61">
        <f ca="1"/>
        <v>0.31103252072758864</v>
      </c>
      <c r="AX122" s="62">
        <f ca="1"/>
        <v>-0.20340137644695355</v>
      </c>
      <c r="AY122" s="62">
        <f ca="1"/>
        <v>6.8124041601868397E-4</v>
      </c>
      <c r="AZ122" s="62">
        <f ca="1"/>
        <v>3.7702066002873709</v>
      </c>
      <c r="BA122" s="60">
        <f ca="1"/>
        <v>-137.27549915906644</v>
      </c>
      <c r="BB122" s="60">
        <f ca="1"/>
        <v>-97.600975462971988</v>
      </c>
    </row>
    <row r="123" spans="1:54" x14ac:dyDescent="0.3">
      <c r="A123" t="s">
        <v>560</v>
      </c>
      <c r="B123" t="s">
        <v>561</v>
      </c>
      <c r="C123" t="s">
        <v>29</v>
      </c>
      <c r="D123" t="s">
        <v>116</v>
      </c>
      <c r="E123" t="s">
        <v>84</v>
      </c>
      <c r="F123" t="s">
        <v>131</v>
      </c>
      <c r="G123" t="s">
        <v>1001</v>
      </c>
      <c r="H123" t="s">
        <v>1379</v>
      </c>
      <c r="I123" t="s">
        <v>1094</v>
      </c>
      <c r="J123" t="s">
        <v>105</v>
      </c>
      <c r="K123" t="s">
        <v>1063</v>
      </c>
      <c r="L123" t="s">
        <v>307</v>
      </c>
      <c r="M123" t="s">
        <v>891</v>
      </c>
      <c r="N123" t="s">
        <v>56</v>
      </c>
      <c r="O123" t="s">
        <v>36</v>
      </c>
      <c r="P123" t="s">
        <v>84</v>
      </c>
      <c r="Q123" t="s">
        <v>84</v>
      </c>
      <c r="V123" t="s">
        <v>49</v>
      </c>
      <c r="W123" t="s">
        <v>84</v>
      </c>
      <c r="X123" t="s">
        <v>1243</v>
      </c>
      <c r="Y123" t="s">
        <v>1094</v>
      </c>
      <c r="Z123" t="s">
        <v>84</v>
      </c>
      <c r="AA123" t="s">
        <v>84</v>
      </c>
      <c r="AB123" t="s">
        <v>36</v>
      </c>
      <c r="AC123" t="s">
        <v>1340</v>
      </c>
      <c r="AD123" t="s">
        <v>36</v>
      </c>
      <c r="AE123" t="s">
        <v>1340</v>
      </c>
      <c r="AF123" t="s">
        <v>86</v>
      </c>
      <c r="AG123" t="s">
        <v>269</v>
      </c>
      <c r="AH123" t="s">
        <v>183</v>
      </c>
      <c r="AI123" s="4">
        <f ca="1">data[[#This Row],[Expiry Date]]-TODAY()</f>
        <v>42</v>
      </c>
      <c r="AJ123" s="4">
        <f ca="1">data[[#This Row],[Maturity ( Days)]]/365</f>
        <v>0.11506849315068493</v>
      </c>
      <c r="AK123" s="4" t="str">
        <f>IF(data[[#This Row],[Option Type]]="put","p","c")</f>
        <v>p</v>
      </c>
      <c r="AL123" s="4">
        <f>(data[[#This Row],[Bid]]*data[[#This Row],[Bidsize]]+data[[#This Row],[Ask]]*data[[#This Row],[Asksize]])/(data[[#This Row],[Bidsize]]+data[[#This Row],[Asksize]])</f>
        <v>53.171428571428571</v>
      </c>
      <c r="AM123" s="4">
        <f>VALUE(data[[#This Row],[Strike]])</f>
        <v>3650</v>
      </c>
      <c r="AN123" s="5">
        <f ca="1">impliedVol(data[[#This Row],[OptType]],Details!$B$4,VALUE(data[[#This Row],[Strike]]),VALUE(data[[#This Row],[Cnt Price]]),Details!$B$6,data[[#This Row],[T]],Details!$B$7)</f>
        <v>0.30677930494413308</v>
      </c>
      <c r="AO123" s="7">
        <f t="array" aca="1" ref="AO123:AS123" ca="1">bsGreeks(data[[#This Row],[OptType]],Details!$B$4,VALUE(data[[#This Row],[Strike]]),Details!$B$6,data[[#This Row],[T]],AN123,Details!$B$7)</f>
        <v>-0.21960231939607522</v>
      </c>
      <c r="AP123" s="7">
        <f ca="1"/>
        <v>7.2239137726946661E-4</v>
      </c>
      <c r="AQ123" s="6">
        <f ca="1"/>
        <v>3.9432794584169808</v>
      </c>
      <c r="AR123" s="6">
        <f ca="1"/>
        <v>-141.5007943633471</v>
      </c>
      <c r="AS123" s="6">
        <f ca="1"/>
        <v>-105.42790987630767</v>
      </c>
      <c r="AU123" s="60">
        <f ca="1"/>
        <v>54.218943082617898</v>
      </c>
      <c r="AV123" s="61" t="str">
        <f ca="1"/>
        <v>p</v>
      </c>
      <c r="AW123" s="61">
        <f ca="1"/>
        <v>0.30677930494413308</v>
      </c>
      <c r="AX123" s="62">
        <f ca="1"/>
        <v>-0.21960231939607522</v>
      </c>
      <c r="AY123" s="62">
        <f ca="1"/>
        <v>7.2239137726946661E-4</v>
      </c>
      <c r="AZ123" s="62">
        <f ca="1"/>
        <v>3.9432794584169808</v>
      </c>
      <c r="BA123" s="60">
        <f ca="1"/>
        <v>-141.5007943633471</v>
      </c>
      <c r="BB123" s="60">
        <f ca="1"/>
        <v>-105.42790987630767</v>
      </c>
    </row>
    <row r="124" spans="1:54" x14ac:dyDescent="0.3">
      <c r="A124" t="s">
        <v>832</v>
      </c>
      <c r="B124" t="s">
        <v>833</v>
      </c>
      <c r="C124" t="s">
        <v>29</v>
      </c>
      <c r="D124" t="s">
        <v>1059</v>
      </c>
      <c r="E124" t="s">
        <v>84</v>
      </c>
      <c r="F124" t="s">
        <v>781</v>
      </c>
      <c r="G124" t="s">
        <v>1535</v>
      </c>
      <c r="H124" t="s">
        <v>1308</v>
      </c>
      <c r="I124" t="s">
        <v>1029</v>
      </c>
      <c r="J124" t="s">
        <v>105</v>
      </c>
      <c r="K124" t="s">
        <v>146</v>
      </c>
      <c r="L124" t="s">
        <v>307</v>
      </c>
      <c r="M124" t="s">
        <v>1183</v>
      </c>
      <c r="N124" t="s">
        <v>56</v>
      </c>
      <c r="O124" t="s">
        <v>36</v>
      </c>
      <c r="P124" t="s">
        <v>84</v>
      </c>
      <c r="Q124" t="s">
        <v>84</v>
      </c>
      <c r="V124" t="s">
        <v>49</v>
      </c>
      <c r="W124" t="s">
        <v>84</v>
      </c>
      <c r="X124" t="s">
        <v>1105</v>
      </c>
      <c r="Y124" t="s">
        <v>1029</v>
      </c>
      <c r="Z124" t="s">
        <v>84</v>
      </c>
      <c r="AA124" t="s">
        <v>84</v>
      </c>
      <c r="AB124" t="s">
        <v>36</v>
      </c>
      <c r="AC124" t="s">
        <v>1340</v>
      </c>
      <c r="AD124" t="s">
        <v>36</v>
      </c>
      <c r="AE124" t="s">
        <v>1340</v>
      </c>
      <c r="AF124" t="s">
        <v>86</v>
      </c>
      <c r="AG124" t="s">
        <v>269</v>
      </c>
      <c r="AH124" t="s">
        <v>183</v>
      </c>
      <c r="AI124" s="4">
        <f ca="1">data[[#This Row],[Expiry Date]]-TODAY()</f>
        <v>42</v>
      </c>
      <c r="AJ124" s="4">
        <f ca="1">data[[#This Row],[Maturity ( Days)]]/365</f>
        <v>0.11506849315068493</v>
      </c>
      <c r="AK124" s="4" t="str">
        <f>IF(data[[#This Row],[Option Type]]="put","p","c")</f>
        <v>p</v>
      </c>
      <c r="AL124" s="4">
        <f>(data[[#This Row],[Bid]]*data[[#This Row],[Bidsize]]+data[[#This Row],[Ask]]*data[[#This Row],[Asksize]])/(data[[#This Row],[Bidsize]]+data[[#This Row],[Asksize]])</f>
        <v>57.897101449275361</v>
      </c>
      <c r="AM124" s="4">
        <f>VALUE(data[[#This Row],[Strike]])</f>
        <v>3675</v>
      </c>
      <c r="AN124" s="5">
        <f ca="1">impliedVol(data[[#This Row],[OptType]],Details!$B$4,VALUE(data[[#This Row],[Strike]]),VALUE(data[[#This Row],[Cnt Price]]),Details!$B$6,data[[#This Row],[T]],Details!$B$7)</f>
        <v>0.30256585899328381</v>
      </c>
      <c r="AO124" s="7">
        <f t="array" aca="1" ref="AO124:AS124" ca="1">bsGreeks(data[[#This Row],[OptType]],Details!$B$4,VALUE(data[[#This Row],[Strike]]),Details!$B$6,data[[#This Row],[T]],AN124,Details!$B$7)</f>
        <v>-0.23688360180598278</v>
      </c>
      <c r="AP124" s="7">
        <f ca="1"/>
        <v>7.6432144908712045E-4</v>
      </c>
      <c r="AQ124" s="6">
        <f ca="1"/>
        <v>4.1148585672489641</v>
      </c>
      <c r="AR124" s="6">
        <f ca="1"/>
        <v>-145.50382986180085</v>
      </c>
      <c r="AS124" s="6">
        <f ca="1"/>
        <v>-113.78672295460831</v>
      </c>
      <c r="AU124" s="60">
        <f ca="1"/>
        <v>59.027822987737181</v>
      </c>
      <c r="AV124" s="61" t="str">
        <f ca="1"/>
        <v>p</v>
      </c>
      <c r="AW124" s="61">
        <f ca="1"/>
        <v>0.30256585899328381</v>
      </c>
      <c r="AX124" s="62">
        <f ca="1"/>
        <v>-0.23688360180598278</v>
      </c>
      <c r="AY124" s="62">
        <f ca="1"/>
        <v>7.6432144908712045E-4</v>
      </c>
      <c r="AZ124" s="62">
        <f ca="1"/>
        <v>4.1148585672489641</v>
      </c>
      <c r="BA124" s="60">
        <f ca="1"/>
        <v>-145.50382986180085</v>
      </c>
      <c r="BB124" s="60">
        <f ca="1"/>
        <v>-113.78672295460831</v>
      </c>
    </row>
    <row r="125" spans="1:54" x14ac:dyDescent="0.3">
      <c r="A125" t="s">
        <v>835</v>
      </c>
      <c r="B125" t="s">
        <v>836</v>
      </c>
      <c r="C125" t="s">
        <v>29</v>
      </c>
      <c r="D125" t="s">
        <v>105</v>
      </c>
      <c r="E125" t="s">
        <v>84</v>
      </c>
      <c r="F125" t="s">
        <v>784</v>
      </c>
      <c r="G125" t="s">
        <v>1057</v>
      </c>
      <c r="H125" t="s">
        <v>887</v>
      </c>
      <c r="I125" t="s">
        <v>1184</v>
      </c>
      <c r="J125" t="s">
        <v>105</v>
      </c>
      <c r="K125" t="s">
        <v>1110</v>
      </c>
      <c r="L125" t="s">
        <v>307</v>
      </c>
      <c r="M125" t="s">
        <v>123</v>
      </c>
      <c r="N125" t="s">
        <v>56</v>
      </c>
      <c r="O125" t="s">
        <v>36</v>
      </c>
      <c r="P125" t="s">
        <v>84</v>
      </c>
      <c r="Q125" t="s">
        <v>84</v>
      </c>
      <c r="V125" t="s">
        <v>49</v>
      </c>
      <c r="W125" t="s">
        <v>84</v>
      </c>
      <c r="X125" t="s">
        <v>1158</v>
      </c>
      <c r="Y125" t="s">
        <v>1184</v>
      </c>
      <c r="Z125" t="s">
        <v>84</v>
      </c>
      <c r="AA125" t="s">
        <v>84</v>
      </c>
      <c r="AB125" t="s">
        <v>36</v>
      </c>
      <c r="AC125" t="s">
        <v>1340</v>
      </c>
      <c r="AD125" t="s">
        <v>36</v>
      </c>
      <c r="AE125" t="s">
        <v>1340</v>
      </c>
      <c r="AF125" t="s">
        <v>86</v>
      </c>
      <c r="AG125" t="s">
        <v>269</v>
      </c>
      <c r="AH125" t="s">
        <v>183</v>
      </c>
      <c r="AI125" s="4">
        <f ca="1">data[[#This Row],[Expiry Date]]-TODAY()</f>
        <v>42</v>
      </c>
      <c r="AJ125" s="4">
        <f ca="1">data[[#This Row],[Maturity ( Days)]]/365</f>
        <v>0.11506849315068493</v>
      </c>
      <c r="AK125" s="4" t="str">
        <f>IF(data[[#This Row],[Option Type]]="put","p","c")</f>
        <v>p</v>
      </c>
      <c r="AL125" s="4">
        <f>(data[[#This Row],[Bid]]*data[[#This Row],[Bidsize]]+data[[#This Row],[Ask]]*data[[#This Row],[Asksize]])/(data[[#This Row],[Bidsize]]+data[[#This Row],[Asksize]])</f>
        <v>58.891044776119408</v>
      </c>
      <c r="AM125" s="4">
        <f>VALUE(data[[#This Row],[Strike]])</f>
        <v>3680</v>
      </c>
      <c r="AN125" s="5">
        <f ca="1">impliedVol(data[[#This Row],[OptType]],Details!$B$4,VALUE(data[[#This Row],[Strike]]),VALUE(data[[#This Row],[Cnt Price]]),Details!$B$6,data[[#This Row],[T]],Details!$B$7)</f>
        <v>0.30173081139303898</v>
      </c>
      <c r="AO125" s="7">
        <f t="array" aca="1" ref="AO125:AS125" ca="1">bsGreeks(data[[#This Row],[OptType]],Details!$B$4,VALUE(data[[#This Row],[Strike]]),Details!$B$6,data[[#This Row],[T]],AN125,Details!$B$7)</f>
        <v>-0.24047412759033437</v>
      </c>
      <c r="AP125" s="7">
        <f ca="1"/>
        <v>7.7277194428002267E-4</v>
      </c>
      <c r="AQ125" s="6">
        <f ca="1"/>
        <v>4.1488711849338848</v>
      </c>
      <c r="AR125" s="6">
        <f ca="1"/>
        <v>-146.27508365625636</v>
      </c>
      <c r="AS125" s="6">
        <f ca="1"/>
        <v>-115.52482223042271</v>
      </c>
      <c r="AU125" s="60">
        <f ca="1"/>
        <v>60.039070782939689</v>
      </c>
      <c r="AV125" s="61" t="str">
        <f ca="1"/>
        <v>p</v>
      </c>
      <c r="AW125" s="61">
        <f ca="1"/>
        <v>0.30173081139303898</v>
      </c>
      <c r="AX125" s="62">
        <f ca="1"/>
        <v>-0.24047412759033437</v>
      </c>
      <c r="AY125" s="62">
        <f ca="1"/>
        <v>7.7277194428002267E-4</v>
      </c>
      <c r="AZ125" s="62">
        <f ca="1"/>
        <v>4.1488711849338848</v>
      </c>
      <c r="BA125" s="60">
        <f ca="1"/>
        <v>-146.27508365625636</v>
      </c>
      <c r="BB125" s="60">
        <f ca="1"/>
        <v>-115.52482223042271</v>
      </c>
    </row>
    <row r="126" spans="1:54" x14ac:dyDescent="0.3">
      <c r="A126" t="s">
        <v>562</v>
      </c>
      <c r="B126" t="s">
        <v>563</v>
      </c>
      <c r="C126" t="s">
        <v>29</v>
      </c>
      <c r="D126" t="s">
        <v>117</v>
      </c>
      <c r="E126" t="s">
        <v>84</v>
      </c>
      <c r="F126" t="s">
        <v>155</v>
      </c>
      <c r="G126" t="s">
        <v>230</v>
      </c>
      <c r="H126" t="s">
        <v>1073</v>
      </c>
      <c r="I126" t="s">
        <v>1275</v>
      </c>
      <c r="J126" t="s">
        <v>105</v>
      </c>
      <c r="K126" t="s">
        <v>1037</v>
      </c>
      <c r="L126" t="s">
        <v>307</v>
      </c>
      <c r="M126" t="s">
        <v>1186</v>
      </c>
      <c r="N126" t="s">
        <v>56</v>
      </c>
      <c r="O126" t="s">
        <v>36</v>
      </c>
      <c r="P126" t="s">
        <v>84</v>
      </c>
      <c r="Q126" t="s">
        <v>84</v>
      </c>
      <c r="V126" t="s">
        <v>49</v>
      </c>
      <c r="W126" t="s">
        <v>84</v>
      </c>
      <c r="X126" t="s">
        <v>1105</v>
      </c>
      <c r="Y126" t="s">
        <v>1275</v>
      </c>
      <c r="Z126" t="s">
        <v>84</v>
      </c>
      <c r="AA126" t="s">
        <v>84</v>
      </c>
      <c r="AB126" t="s">
        <v>36</v>
      </c>
      <c r="AC126" t="s">
        <v>1340</v>
      </c>
      <c r="AD126" t="s">
        <v>36</v>
      </c>
      <c r="AE126" t="s">
        <v>1340</v>
      </c>
      <c r="AF126" t="s">
        <v>86</v>
      </c>
      <c r="AG126" t="s">
        <v>269</v>
      </c>
      <c r="AH126" t="s">
        <v>183</v>
      </c>
      <c r="AI126" s="4">
        <f ca="1">data[[#This Row],[Expiry Date]]-TODAY()</f>
        <v>42</v>
      </c>
      <c r="AJ126" s="4">
        <f ca="1">data[[#This Row],[Maturity ( Days)]]/365</f>
        <v>0.11506849315068493</v>
      </c>
      <c r="AK126" s="4" t="str">
        <f>IF(data[[#This Row],[Option Type]]="put","p","c")</f>
        <v>p</v>
      </c>
      <c r="AL126" s="4">
        <f>(data[[#This Row],[Bid]]*data[[#This Row],[Bidsize]]+data[[#This Row],[Ask]]*data[[#This Row],[Asksize]])/(data[[#This Row],[Bidsize]]+data[[#This Row],[Asksize]])</f>
        <v>63.057575757575748</v>
      </c>
      <c r="AM126" s="4">
        <f>VALUE(data[[#This Row],[Strike]])</f>
        <v>3700</v>
      </c>
      <c r="AN126" s="5">
        <f ca="1">impliedVol(data[[#This Row],[OptType]],Details!$B$4,VALUE(data[[#This Row],[Strike]]),VALUE(data[[#This Row],[Cnt Price]]),Details!$B$6,data[[#This Row],[T]],Details!$B$7)</f>
        <v>0.29846331198419512</v>
      </c>
      <c r="AO126" s="7">
        <f t="array" aca="1" ref="AO126:AS126" ca="1">bsGreeks(data[[#This Row],[OptType]],Details!$B$4,VALUE(data[[#This Row],[Strike]]),Details!$B$6,data[[#This Row],[T]],AN126,Details!$B$7)</f>
        <v>-0.25531893609871592</v>
      </c>
      <c r="AP126" s="7">
        <f ca="1"/>
        <v>8.0661665162714918E-4</v>
      </c>
      <c r="AQ126" s="6">
        <f ca="1"/>
        <v>4.2836805955452828</v>
      </c>
      <c r="AR126" s="6">
        <f ca="1"/>
        <v>-149.27973183797883</v>
      </c>
      <c r="AS126" s="6">
        <f ca="1"/>
        <v>-122.71746253950317</v>
      </c>
      <c r="AU126" s="60">
        <f ca="1"/>
        <v>64.277222914324739</v>
      </c>
      <c r="AV126" s="61" t="str">
        <f ca="1"/>
        <v>p</v>
      </c>
      <c r="AW126" s="61">
        <f ca="1"/>
        <v>0.29846331198419512</v>
      </c>
      <c r="AX126" s="62">
        <f ca="1"/>
        <v>-0.25531893609871592</v>
      </c>
      <c r="AY126" s="62">
        <f ca="1"/>
        <v>8.0661665162714918E-4</v>
      </c>
      <c r="AZ126" s="62">
        <f ca="1"/>
        <v>4.2836805955452828</v>
      </c>
      <c r="BA126" s="60">
        <f ca="1"/>
        <v>-149.27973183797883</v>
      </c>
      <c r="BB126" s="60">
        <f ca="1"/>
        <v>-122.71746253950317</v>
      </c>
    </row>
    <row r="127" spans="1:54" x14ac:dyDescent="0.3">
      <c r="A127" t="s">
        <v>840</v>
      </c>
      <c r="B127" t="s">
        <v>841</v>
      </c>
      <c r="C127" t="s">
        <v>29</v>
      </c>
      <c r="D127" t="s">
        <v>113</v>
      </c>
      <c r="E127" t="s">
        <v>84</v>
      </c>
      <c r="F127" t="s">
        <v>790</v>
      </c>
      <c r="G127" t="s">
        <v>1536</v>
      </c>
      <c r="H127" t="s">
        <v>1382</v>
      </c>
      <c r="I127" t="s">
        <v>1187</v>
      </c>
      <c r="J127" t="s">
        <v>105</v>
      </c>
      <c r="K127" t="s">
        <v>1037</v>
      </c>
      <c r="L127" t="s">
        <v>307</v>
      </c>
      <c r="M127" t="s">
        <v>886</v>
      </c>
      <c r="N127" t="s">
        <v>56</v>
      </c>
      <c r="O127" t="s">
        <v>36</v>
      </c>
      <c r="P127" t="s">
        <v>84</v>
      </c>
      <c r="Q127" t="s">
        <v>84</v>
      </c>
      <c r="V127" t="s">
        <v>49</v>
      </c>
      <c r="W127" t="s">
        <v>84</v>
      </c>
      <c r="X127" t="s">
        <v>1158</v>
      </c>
      <c r="Y127" t="s">
        <v>1187</v>
      </c>
      <c r="Z127" t="s">
        <v>84</v>
      </c>
      <c r="AA127" t="s">
        <v>84</v>
      </c>
      <c r="AB127" t="s">
        <v>36</v>
      </c>
      <c r="AC127" t="s">
        <v>1340</v>
      </c>
      <c r="AD127" t="s">
        <v>36</v>
      </c>
      <c r="AE127" t="s">
        <v>1340</v>
      </c>
      <c r="AF127" t="s">
        <v>86</v>
      </c>
      <c r="AG127" t="s">
        <v>269</v>
      </c>
      <c r="AH127" t="s">
        <v>183</v>
      </c>
      <c r="AI127" s="4">
        <f ca="1">data[[#This Row],[Expiry Date]]-TODAY()</f>
        <v>42</v>
      </c>
      <c r="AJ127" s="4">
        <f ca="1">data[[#This Row],[Maturity ( Days)]]/365</f>
        <v>0.11506849315068493</v>
      </c>
      <c r="AK127" s="4" t="str">
        <f>IF(data[[#This Row],[Option Type]]="put","p","c")</f>
        <v>p</v>
      </c>
      <c r="AL127" s="4">
        <f>(data[[#This Row],[Bid]]*data[[#This Row],[Bidsize]]+data[[#This Row],[Ask]]*data[[#This Row],[Asksize]])/(data[[#This Row],[Bidsize]]+data[[#This Row],[Asksize]])</f>
        <v>65.257575757575751</v>
      </c>
      <c r="AM127" s="4">
        <f>VALUE(data[[#This Row],[Strike]])</f>
        <v>3710</v>
      </c>
      <c r="AN127" s="5">
        <f ca="1">impliedVol(data[[#This Row],[OptType]],Details!$B$4,VALUE(data[[#This Row],[Strike]]),VALUE(data[[#This Row],[Cnt Price]]),Details!$B$6,data[[#This Row],[T]],Details!$B$7)</f>
        <v>0.29686899512980136</v>
      </c>
      <c r="AO127" s="7">
        <f t="array" aca="1" ref="AO127:AS127" ca="1">bsGreeks(data[[#This Row],[OptType]],Details!$B$4,VALUE(data[[#This Row],[Strike]]),Details!$B$6,data[[#This Row],[T]],AN127,Details!$B$7)</f>
        <v>-0.26302953889514069</v>
      </c>
      <c r="AP127" s="7">
        <f ca="1"/>
        <v>8.2351795529230604E-4</v>
      </c>
      <c r="AQ127" s="6">
        <f ca="1"/>
        <v>4.350076143260031</v>
      </c>
      <c r="AR127" s="6">
        <f ca="1"/>
        <v>-150.72406008706608</v>
      </c>
      <c r="AS127" s="6">
        <f ca="1"/>
        <v>-126.45754673654484</v>
      </c>
      <c r="AU127" s="60">
        <f ca="1"/>
        <v>66.51447210943752</v>
      </c>
      <c r="AV127" s="61" t="str">
        <f ca="1"/>
        <v>p</v>
      </c>
      <c r="AW127" s="61">
        <f ca="1"/>
        <v>0.29686899512980136</v>
      </c>
      <c r="AX127" s="62">
        <f ca="1"/>
        <v>-0.26302953889514069</v>
      </c>
      <c r="AY127" s="62">
        <f ca="1"/>
        <v>8.2351795529230604E-4</v>
      </c>
      <c r="AZ127" s="62">
        <f ca="1"/>
        <v>4.350076143260031</v>
      </c>
      <c r="BA127" s="60">
        <f ca="1"/>
        <v>-150.72406008706608</v>
      </c>
      <c r="BB127" s="60">
        <f ca="1"/>
        <v>-126.45754673654484</v>
      </c>
    </row>
    <row r="128" spans="1:54" x14ac:dyDescent="0.3">
      <c r="A128" t="s">
        <v>842</v>
      </c>
      <c r="B128" t="s">
        <v>843</v>
      </c>
      <c r="C128" t="s">
        <v>29</v>
      </c>
      <c r="D128" t="s">
        <v>85</v>
      </c>
      <c r="E128" t="s">
        <v>84</v>
      </c>
      <c r="F128" t="s">
        <v>793</v>
      </c>
      <c r="G128" t="s">
        <v>1055</v>
      </c>
      <c r="H128" t="s">
        <v>1040</v>
      </c>
      <c r="I128" t="s">
        <v>1276</v>
      </c>
      <c r="J128" t="s">
        <v>105</v>
      </c>
      <c r="K128" t="s">
        <v>865</v>
      </c>
      <c r="L128" t="s">
        <v>307</v>
      </c>
      <c r="M128" t="s">
        <v>116</v>
      </c>
      <c r="N128" t="s">
        <v>56</v>
      </c>
      <c r="O128" t="s">
        <v>36</v>
      </c>
      <c r="P128" t="s">
        <v>84</v>
      </c>
      <c r="Q128" t="s">
        <v>84</v>
      </c>
      <c r="V128" t="s">
        <v>49</v>
      </c>
      <c r="W128" t="s">
        <v>84</v>
      </c>
      <c r="X128" t="s">
        <v>1105</v>
      </c>
      <c r="Y128" t="s">
        <v>1276</v>
      </c>
      <c r="Z128" t="s">
        <v>84</v>
      </c>
      <c r="AA128" t="s">
        <v>84</v>
      </c>
      <c r="AB128" t="s">
        <v>36</v>
      </c>
      <c r="AC128" t="s">
        <v>1340</v>
      </c>
      <c r="AD128" t="s">
        <v>36</v>
      </c>
      <c r="AE128" t="s">
        <v>1340</v>
      </c>
      <c r="AF128" t="s">
        <v>86</v>
      </c>
      <c r="AG128" t="s">
        <v>269</v>
      </c>
      <c r="AH128" t="s">
        <v>183</v>
      </c>
      <c r="AI128" s="4">
        <f ca="1">data[[#This Row],[Expiry Date]]-TODAY()</f>
        <v>42</v>
      </c>
      <c r="AJ128" s="4">
        <f ca="1">data[[#This Row],[Maturity ( Days)]]/365</f>
        <v>0.11506849315068493</v>
      </c>
      <c r="AK128" s="4" t="str">
        <f>IF(data[[#This Row],[Option Type]]="put","p","c")</f>
        <v>p</v>
      </c>
      <c r="AL128" s="4">
        <f>(data[[#This Row],[Bid]]*data[[#This Row],[Bidsize]]+data[[#This Row],[Ask]]*data[[#This Row],[Asksize]])/(data[[#This Row],[Bidsize]]+data[[#This Row],[Asksize]])</f>
        <v>67.424999999999997</v>
      </c>
      <c r="AM128" s="4">
        <f>VALUE(data[[#This Row],[Strike]])</f>
        <v>3720</v>
      </c>
      <c r="AN128" s="5">
        <f ca="1">impliedVol(data[[#This Row],[OptType]],Details!$B$4,VALUE(data[[#This Row],[Strike]]),VALUE(data[[#This Row],[Cnt Price]]),Details!$B$6,data[[#This Row],[T]],Details!$B$7)</f>
        <v>0.29504215591074018</v>
      </c>
      <c r="AO128" s="7">
        <f t="array" aca="1" ref="AO128:AS128" ca="1">bsGreeks(data[[#This Row],[OptType]],Details!$B$4,VALUE(data[[#This Row],[Strike]]),Details!$B$6,data[[#This Row],[T]],AN128,Details!$B$7)</f>
        <v>-0.27078451501342338</v>
      </c>
      <c r="AP128" s="7">
        <f ca="1"/>
        <v>8.4087031011494822E-4</v>
      </c>
      <c r="AQ128" s="6">
        <f ca="1"/>
        <v>4.4144035777122532</v>
      </c>
      <c r="AR128" s="6">
        <f ca="1"/>
        <v>-151.94790173424624</v>
      </c>
      <c r="AS128" s="6">
        <f ca="1"/>
        <v>-130.21394883475588</v>
      </c>
      <c r="AU128" s="60">
        <f ca="1"/>
        <v>68.719304204305445</v>
      </c>
      <c r="AV128" s="61" t="str">
        <f ca="1"/>
        <v>p</v>
      </c>
      <c r="AW128" s="61">
        <f ca="1"/>
        <v>0.29504215591074018</v>
      </c>
      <c r="AX128" s="62">
        <f ca="1"/>
        <v>-0.27078451501342338</v>
      </c>
      <c r="AY128" s="62">
        <f ca="1"/>
        <v>8.4087031011494822E-4</v>
      </c>
      <c r="AZ128" s="62">
        <f ca="1"/>
        <v>4.4144035777122532</v>
      </c>
      <c r="BA128" s="60">
        <f ca="1"/>
        <v>-151.94790173424624</v>
      </c>
      <c r="BB128" s="60">
        <f ca="1"/>
        <v>-130.21394883475588</v>
      </c>
    </row>
    <row r="129" spans="1:54" x14ac:dyDescent="0.3">
      <c r="A129" t="s">
        <v>380</v>
      </c>
      <c r="B129" t="s">
        <v>381</v>
      </c>
      <c r="C129" t="s">
        <v>29</v>
      </c>
      <c r="D129" t="s">
        <v>85</v>
      </c>
      <c r="E129" t="s">
        <v>84</v>
      </c>
      <c r="F129" t="s">
        <v>261</v>
      </c>
      <c r="G129" t="s">
        <v>89</v>
      </c>
      <c r="H129" t="s">
        <v>1041</v>
      </c>
      <c r="I129" t="s">
        <v>1277</v>
      </c>
      <c r="J129" t="s">
        <v>105</v>
      </c>
      <c r="K129" t="s">
        <v>865</v>
      </c>
      <c r="L129" t="s">
        <v>307</v>
      </c>
      <c r="M129" t="s">
        <v>1066</v>
      </c>
      <c r="N129" t="s">
        <v>56</v>
      </c>
      <c r="O129" t="s">
        <v>36</v>
      </c>
      <c r="P129" t="s">
        <v>84</v>
      </c>
      <c r="Q129" t="s">
        <v>84</v>
      </c>
      <c r="V129" t="s">
        <v>49</v>
      </c>
      <c r="W129" t="s">
        <v>84</v>
      </c>
      <c r="X129" t="s">
        <v>1105</v>
      </c>
      <c r="Y129" t="s">
        <v>1277</v>
      </c>
      <c r="Z129" t="s">
        <v>84</v>
      </c>
      <c r="AA129" t="s">
        <v>84</v>
      </c>
      <c r="AB129" t="s">
        <v>36</v>
      </c>
      <c r="AC129" t="s">
        <v>1340</v>
      </c>
      <c r="AD129" t="s">
        <v>36</v>
      </c>
      <c r="AE129" t="s">
        <v>1340</v>
      </c>
      <c r="AF129" t="s">
        <v>86</v>
      </c>
      <c r="AG129" t="s">
        <v>269</v>
      </c>
      <c r="AH129" t="s">
        <v>183</v>
      </c>
      <c r="AI129" s="4">
        <f ca="1">data[[#This Row],[Expiry Date]]-TODAY()</f>
        <v>42</v>
      </c>
      <c r="AJ129" s="4">
        <f ca="1">data[[#This Row],[Maturity ( Days)]]/365</f>
        <v>0.11506849315068493</v>
      </c>
      <c r="AK129" s="4" t="str">
        <f>IF(data[[#This Row],[Option Type]]="put","p","c")</f>
        <v>p</v>
      </c>
      <c r="AL129" s="4">
        <f>(data[[#This Row],[Bid]]*data[[#This Row],[Bidsize]]+data[[#This Row],[Ask]]*data[[#This Row],[Asksize]])/(data[[#This Row],[Bidsize]]+data[[#This Row],[Asksize]])</f>
        <v>68.525000000000006</v>
      </c>
      <c r="AM129" s="4">
        <f>VALUE(data[[#This Row],[Strike]])</f>
        <v>3725</v>
      </c>
      <c r="AN129" s="5">
        <f ca="1">impliedVol(data[[#This Row],[OptType]],Details!$B$4,VALUE(data[[#This Row],[Strike]]),VALUE(data[[#This Row],[Cnt Price]]),Details!$B$6,data[[#This Row],[T]],Details!$B$7)</f>
        <v>0.29410800599723708</v>
      </c>
      <c r="AO129" s="7">
        <f t="array" aca="1" ref="AO129:AS129" ca="1">bsGreeks(data[[#This Row],[OptType]],Details!$B$4,VALUE(data[[#This Row],[Strike]]),Details!$B$6,data[[#This Row],[T]],AN129,Details!$B$7)</f>
        <v>-0.27471973327744514</v>
      </c>
      <c r="AP129" s="7">
        <f ca="1"/>
        <v>8.4960132350320227E-4</v>
      </c>
      <c r="AQ129" s="6">
        <f ca="1"/>
        <v>4.4461178580499334</v>
      </c>
      <c r="AR129" s="6">
        <f ca="1"/>
        <v>-152.52195335371221</v>
      </c>
      <c r="AS129" s="6">
        <f ca="1"/>
        <v>-132.12013129662483</v>
      </c>
      <c r="AU129" s="60">
        <f ca="1"/>
        <v>69.838287704717914</v>
      </c>
      <c r="AV129" s="61" t="str">
        <f ca="1"/>
        <v>p</v>
      </c>
      <c r="AW129" s="61">
        <f ca="1"/>
        <v>0.29410800599723708</v>
      </c>
      <c r="AX129" s="62">
        <f ca="1"/>
        <v>-0.27471973327744514</v>
      </c>
      <c r="AY129" s="62">
        <f ca="1"/>
        <v>8.4960132350320227E-4</v>
      </c>
      <c r="AZ129" s="62">
        <f ca="1"/>
        <v>4.4461178580499334</v>
      </c>
      <c r="BA129" s="60">
        <f ca="1"/>
        <v>-152.52195335371221</v>
      </c>
      <c r="BB129" s="60">
        <f ca="1"/>
        <v>-132.12013129662483</v>
      </c>
    </row>
    <row r="130" spans="1:54" x14ac:dyDescent="0.3">
      <c r="A130" t="s">
        <v>844</v>
      </c>
      <c r="B130" t="s">
        <v>845</v>
      </c>
      <c r="C130" t="s">
        <v>29</v>
      </c>
      <c r="D130" t="s">
        <v>116</v>
      </c>
      <c r="E130" t="s">
        <v>84</v>
      </c>
      <c r="F130" t="s">
        <v>796</v>
      </c>
      <c r="G130" t="s">
        <v>834</v>
      </c>
      <c r="H130" t="s">
        <v>888</v>
      </c>
      <c r="I130" t="s">
        <v>1188</v>
      </c>
      <c r="J130" t="s">
        <v>106</v>
      </c>
      <c r="K130" t="s">
        <v>237</v>
      </c>
      <c r="L130" t="s">
        <v>307</v>
      </c>
      <c r="M130" t="s">
        <v>96</v>
      </c>
      <c r="N130" t="s">
        <v>56</v>
      </c>
      <c r="O130" t="s">
        <v>36</v>
      </c>
      <c r="P130" t="s">
        <v>84</v>
      </c>
      <c r="Q130" t="s">
        <v>84</v>
      </c>
      <c r="V130" t="s">
        <v>49</v>
      </c>
      <c r="W130" t="s">
        <v>84</v>
      </c>
      <c r="X130" t="s">
        <v>1158</v>
      </c>
      <c r="Y130" t="s">
        <v>1188</v>
      </c>
      <c r="Z130" t="s">
        <v>84</v>
      </c>
      <c r="AA130" t="s">
        <v>84</v>
      </c>
      <c r="AB130" t="s">
        <v>36</v>
      </c>
      <c r="AC130" t="s">
        <v>1340</v>
      </c>
      <c r="AD130" t="s">
        <v>36</v>
      </c>
      <c r="AE130" t="s">
        <v>1340</v>
      </c>
      <c r="AF130" t="s">
        <v>86</v>
      </c>
      <c r="AG130" t="s">
        <v>269</v>
      </c>
      <c r="AH130" t="s">
        <v>183</v>
      </c>
      <c r="AI130" s="4">
        <f ca="1">data[[#This Row],[Expiry Date]]-TODAY()</f>
        <v>42</v>
      </c>
      <c r="AJ130" s="4">
        <f ca="1">data[[#This Row],[Maturity ( Days)]]/365</f>
        <v>0.11506849315068493</v>
      </c>
      <c r="AK130" s="4" t="str">
        <f>IF(data[[#This Row],[Option Type]]="put","p","c")</f>
        <v>p</v>
      </c>
      <c r="AL130" s="4">
        <f>(data[[#This Row],[Bid]]*data[[#This Row],[Bidsize]]+data[[#This Row],[Ask]]*data[[#This Row],[Asksize]])/(data[[#This Row],[Bidsize]]+data[[#This Row],[Asksize]])</f>
        <v>69.645652173913035</v>
      </c>
      <c r="AM130" s="4">
        <f>VALUE(data[[#This Row],[Strike]])</f>
        <v>3730</v>
      </c>
      <c r="AN130" s="5">
        <f ca="1">impliedVol(data[[#This Row],[OptType]],Details!$B$4,VALUE(data[[#This Row],[Strike]]),VALUE(data[[#This Row],[Cnt Price]]),Details!$B$6,data[[#This Row],[T]],Details!$B$7)</f>
        <v>0.29318174764044735</v>
      </c>
      <c r="AO130" s="7">
        <f t="array" aca="1" ref="AO130:AS130" ca="1">bsGreeks(data[[#This Row],[OptType]],Details!$B$4,VALUE(data[[#This Row],[Strike]]),Details!$B$6,data[[#This Row],[T]],AN130,Details!$B$7)</f>
        <v>-0.27870627124529646</v>
      </c>
      <c r="AP130" s="7">
        <f ca="1"/>
        <v>8.5832315913797431E-4</v>
      </c>
      <c r="AQ130" s="6">
        <f ca="1"/>
        <v>4.4776145371633724</v>
      </c>
      <c r="AR130" s="6">
        <f ca="1"/>
        <v>-153.08495327769637</v>
      </c>
      <c r="AS130" s="6">
        <f ca="1"/>
        <v>-134.05189838490489</v>
      </c>
      <c r="AU130" s="60">
        <f ca="1"/>
        <v>70.978179243691557</v>
      </c>
      <c r="AV130" s="61" t="str">
        <f ca="1"/>
        <v>p</v>
      </c>
      <c r="AW130" s="61">
        <f ca="1"/>
        <v>0.29318174764044735</v>
      </c>
      <c r="AX130" s="62">
        <f ca="1"/>
        <v>-0.27870627124529646</v>
      </c>
      <c r="AY130" s="62">
        <f ca="1"/>
        <v>8.5832315913797431E-4</v>
      </c>
      <c r="AZ130" s="62">
        <f ca="1"/>
        <v>4.4776145371633724</v>
      </c>
      <c r="BA130" s="60">
        <f ca="1"/>
        <v>-153.08495327769637</v>
      </c>
      <c r="BB130" s="60">
        <f ca="1"/>
        <v>-134.05189838490489</v>
      </c>
    </row>
    <row r="131" spans="1:54" x14ac:dyDescent="0.3">
      <c r="A131" t="s">
        <v>797</v>
      </c>
      <c r="B131" t="s">
        <v>798</v>
      </c>
      <c r="C131" t="s">
        <v>29</v>
      </c>
      <c r="D131" t="s">
        <v>1098</v>
      </c>
      <c r="E131" t="s">
        <v>84</v>
      </c>
      <c r="F131" t="s">
        <v>799</v>
      </c>
      <c r="G131" t="s">
        <v>1537</v>
      </c>
      <c r="H131" t="s">
        <v>889</v>
      </c>
      <c r="I131" t="s">
        <v>1279</v>
      </c>
      <c r="J131" t="s">
        <v>106</v>
      </c>
      <c r="K131" t="s">
        <v>237</v>
      </c>
      <c r="L131" t="s">
        <v>307</v>
      </c>
      <c r="M131" t="s">
        <v>123</v>
      </c>
      <c r="N131" t="s">
        <v>56</v>
      </c>
      <c r="O131" t="s">
        <v>36</v>
      </c>
      <c r="P131" t="s">
        <v>84</v>
      </c>
      <c r="Q131" t="s">
        <v>84</v>
      </c>
      <c r="V131" t="s">
        <v>49</v>
      </c>
      <c r="W131" t="s">
        <v>84</v>
      </c>
      <c r="X131" t="s">
        <v>1105</v>
      </c>
      <c r="Y131" t="s">
        <v>1279</v>
      </c>
      <c r="Z131" t="s">
        <v>84</v>
      </c>
      <c r="AA131" t="s">
        <v>84</v>
      </c>
      <c r="AB131" t="s">
        <v>36</v>
      </c>
      <c r="AC131" t="s">
        <v>1340</v>
      </c>
      <c r="AD131" t="s">
        <v>36</v>
      </c>
      <c r="AE131" t="s">
        <v>1340</v>
      </c>
      <c r="AF131" t="s">
        <v>86</v>
      </c>
      <c r="AG131" t="s">
        <v>269</v>
      </c>
      <c r="AH131" t="s">
        <v>183</v>
      </c>
      <c r="AI131" s="4">
        <f ca="1">data[[#This Row],[Expiry Date]]-TODAY()</f>
        <v>42</v>
      </c>
      <c r="AJ131" s="4">
        <f ca="1">data[[#This Row],[Maturity ( Days)]]/365</f>
        <v>0.11506849315068493</v>
      </c>
      <c r="AK131" s="4" t="str">
        <f>IF(data[[#This Row],[Option Type]]="put","p","c")</f>
        <v>p</v>
      </c>
      <c r="AL131" s="4">
        <f>(data[[#This Row],[Bid]]*data[[#This Row],[Bidsize]]+data[[#This Row],[Ask]]*data[[#This Row],[Asksize]])/(data[[#This Row],[Bidsize]]+data[[#This Row],[Asksize]])</f>
        <v>72.045652173913055</v>
      </c>
      <c r="AM131" s="4">
        <f>VALUE(data[[#This Row],[Strike]])</f>
        <v>3740</v>
      </c>
      <c r="AN131" s="5">
        <f ca="1">impliedVol(data[[#This Row],[OptType]],Details!$B$4,VALUE(data[[#This Row],[Strike]]),VALUE(data[[#This Row],[Cnt Price]]),Details!$B$6,data[[#This Row],[T]],Details!$B$7)</f>
        <v>0.29156459983120919</v>
      </c>
      <c r="AO131" s="7">
        <f t="array" aca="1" ref="AO131:AS131" ca="1">bsGreeks(data[[#This Row],[OptType]],Details!$B$4,VALUE(data[[#This Row],[Strike]]),Details!$B$6,data[[#This Row],[T]],AN131,Details!$B$7)</f>
        <v>-0.28694815147037445</v>
      </c>
      <c r="AP131" s="7">
        <f ca="1"/>
        <v>8.7525084806026855E-4</v>
      </c>
      <c r="AQ131" s="6">
        <f ca="1"/>
        <v>4.5407362579370529</v>
      </c>
      <c r="AR131" s="6">
        <f ca="1"/>
        <v>-154.31846536728835</v>
      </c>
      <c r="AS131" s="6">
        <f ca="1"/>
        <v>-138.05525496180735</v>
      </c>
      <c r="AU131" s="60">
        <f ca="1"/>
        <v>73.418062229890438</v>
      </c>
      <c r="AV131" s="61" t="str">
        <f ca="1"/>
        <v>p</v>
      </c>
      <c r="AW131" s="61">
        <f ca="1"/>
        <v>0.29156459983120919</v>
      </c>
      <c r="AX131" s="62">
        <f ca="1"/>
        <v>-0.28694815147037445</v>
      </c>
      <c r="AY131" s="62">
        <f ca="1"/>
        <v>8.7525084806026855E-4</v>
      </c>
      <c r="AZ131" s="62">
        <f ca="1"/>
        <v>4.5407362579370529</v>
      </c>
      <c r="BA131" s="60">
        <f ca="1"/>
        <v>-154.31846536728835</v>
      </c>
      <c r="BB131" s="60">
        <f ca="1"/>
        <v>-138.05525496180735</v>
      </c>
    </row>
    <row r="132" spans="1:54" x14ac:dyDescent="0.3">
      <c r="A132" t="s">
        <v>564</v>
      </c>
      <c r="B132" t="s">
        <v>565</v>
      </c>
      <c r="C132" t="s">
        <v>29</v>
      </c>
      <c r="D132" t="s">
        <v>83</v>
      </c>
      <c r="E132" t="s">
        <v>84</v>
      </c>
      <c r="F132" t="s">
        <v>132</v>
      </c>
      <c r="G132" t="s">
        <v>996</v>
      </c>
      <c r="H132" t="s">
        <v>1180</v>
      </c>
      <c r="I132" t="s">
        <v>1080</v>
      </c>
      <c r="J132" t="s">
        <v>182</v>
      </c>
      <c r="K132" t="s">
        <v>106</v>
      </c>
      <c r="L132" t="s">
        <v>307</v>
      </c>
      <c r="M132" t="s">
        <v>990</v>
      </c>
      <c r="N132" t="s">
        <v>56</v>
      </c>
      <c r="O132" t="s">
        <v>36</v>
      </c>
      <c r="P132" t="s">
        <v>84</v>
      </c>
      <c r="Q132" t="s">
        <v>84</v>
      </c>
      <c r="V132" t="s">
        <v>49</v>
      </c>
      <c r="W132" t="s">
        <v>84</v>
      </c>
      <c r="X132" t="s">
        <v>1158</v>
      </c>
      <c r="Y132" t="s">
        <v>1080</v>
      </c>
      <c r="Z132" t="s">
        <v>84</v>
      </c>
      <c r="AA132" t="s">
        <v>84</v>
      </c>
      <c r="AB132" t="s">
        <v>36</v>
      </c>
      <c r="AC132" t="s">
        <v>1340</v>
      </c>
      <c r="AD132" t="s">
        <v>36</v>
      </c>
      <c r="AE132" t="s">
        <v>1340</v>
      </c>
      <c r="AF132" t="s">
        <v>86</v>
      </c>
      <c r="AG132" t="s">
        <v>269</v>
      </c>
      <c r="AH132" t="s">
        <v>183</v>
      </c>
      <c r="AI132" s="4">
        <f ca="1">data[[#This Row],[Expiry Date]]-TODAY()</f>
        <v>42</v>
      </c>
      <c r="AJ132" s="4">
        <f ca="1">data[[#This Row],[Maturity ( Days)]]/365</f>
        <v>0.11506849315068493</v>
      </c>
      <c r="AK132" s="4" t="str">
        <f>IF(data[[#This Row],[Option Type]]="put","p","c")</f>
        <v>p</v>
      </c>
      <c r="AL132" s="4">
        <f>(data[[#This Row],[Bid]]*data[[#This Row],[Bidsize]]+data[[#This Row],[Ask]]*data[[#This Row],[Asksize]])/(data[[#This Row],[Bidsize]]+data[[#This Row],[Asksize]])</f>
        <v>74.427777777777791</v>
      </c>
      <c r="AM132" s="4">
        <f>VALUE(data[[#This Row],[Strike]])</f>
        <v>3750</v>
      </c>
      <c r="AN132" s="5">
        <f ca="1">impliedVol(data[[#This Row],[OptType]],Details!$B$4,VALUE(data[[#This Row],[Strike]]),VALUE(data[[#This Row],[Cnt Price]]),Details!$B$6,data[[#This Row],[T]],Details!$B$7)</f>
        <v>0.28974525469472434</v>
      </c>
      <c r="AO132" s="7">
        <f t="array" aca="1" ref="AO132:AS132" ca="1">bsGreeks(data[[#This Row],[OptType]],Details!$B$4,VALUE(data[[#This Row],[Strike]]),Details!$B$6,data[[#This Row],[T]],AN132,Details!$B$7)</f>
        <v>-0.29526555318264991</v>
      </c>
      <c r="AP132" s="7">
        <f ca="1"/>
        <v>8.9257943809026915E-4</v>
      </c>
      <c r="AQ132" s="6">
        <f ca="1"/>
        <v>4.6017408119250538</v>
      </c>
      <c r="AR132" s="6">
        <f ca="1"/>
        <v>-155.34305988004903</v>
      </c>
      <c r="AS132" s="6">
        <f ca="1"/>
        <v>-142.09070724833904</v>
      </c>
      <c r="AU132" s="60">
        <f ca="1"/>
        <v>75.840387871861367</v>
      </c>
      <c r="AV132" s="61" t="str">
        <f ca="1"/>
        <v>p</v>
      </c>
      <c r="AW132" s="61">
        <f ca="1"/>
        <v>0.28974525469472434</v>
      </c>
      <c r="AX132" s="62">
        <f ca="1"/>
        <v>-0.29526555318264991</v>
      </c>
      <c r="AY132" s="62">
        <f ca="1"/>
        <v>8.9257943809026915E-4</v>
      </c>
      <c r="AZ132" s="62">
        <f ca="1"/>
        <v>4.6017408119250538</v>
      </c>
      <c r="BA132" s="60">
        <f ca="1"/>
        <v>-155.34305988004903</v>
      </c>
      <c r="BB132" s="60">
        <f ca="1"/>
        <v>-142.09070724833904</v>
      </c>
    </row>
    <row r="133" spans="1:54" x14ac:dyDescent="0.3">
      <c r="A133" t="s">
        <v>846</v>
      </c>
      <c r="B133" t="s">
        <v>847</v>
      </c>
      <c r="C133" t="s">
        <v>29</v>
      </c>
      <c r="D133" t="s">
        <v>109</v>
      </c>
      <c r="E133" t="s">
        <v>84</v>
      </c>
      <c r="F133" t="s">
        <v>804</v>
      </c>
      <c r="G133" t="s">
        <v>1278</v>
      </c>
      <c r="H133" t="s">
        <v>995</v>
      </c>
      <c r="I133" t="s">
        <v>848</v>
      </c>
      <c r="J133" t="s">
        <v>182</v>
      </c>
      <c r="K133" t="s">
        <v>182</v>
      </c>
      <c r="L133" t="s">
        <v>307</v>
      </c>
      <c r="M133" t="s">
        <v>109</v>
      </c>
      <c r="N133" t="s">
        <v>56</v>
      </c>
      <c r="O133" t="s">
        <v>36</v>
      </c>
      <c r="P133" t="s">
        <v>84</v>
      </c>
      <c r="Q133" t="s">
        <v>84</v>
      </c>
      <c r="V133" t="s">
        <v>49</v>
      </c>
      <c r="W133" t="s">
        <v>84</v>
      </c>
      <c r="X133" t="s">
        <v>819</v>
      </c>
      <c r="Y133" t="s">
        <v>848</v>
      </c>
      <c r="Z133" t="s">
        <v>84</v>
      </c>
      <c r="AA133" t="s">
        <v>84</v>
      </c>
      <c r="AB133" t="s">
        <v>36</v>
      </c>
      <c r="AC133" t="s">
        <v>1340</v>
      </c>
      <c r="AD133" t="s">
        <v>36</v>
      </c>
      <c r="AE133" t="s">
        <v>1340</v>
      </c>
      <c r="AF133" t="s">
        <v>86</v>
      </c>
      <c r="AG133" t="s">
        <v>269</v>
      </c>
      <c r="AH133" t="s">
        <v>183</v>
      </c>
      <c r="AI133" s="4">
        <f ca="1">data[[#This Row],[Expiry Date]]-TODAY()</f>
        <v>42</v>
      </c>
      <c r="AJ133" s="4">
        <f ca="1">data[[#This Row],[Maturity ( Days)]]/365</f>
        <v>0.11506849315068493</v>
      </c>
      <c r="AK133" s="4" t="str">
        <f>IF(data[[#This Row],[Option Type]]="put","p","c")</f>
        <v>p</v>
      </c>
      <c r="AL133" s="4">
        <f>(data[[#This Row],[Bid]]*data[[#This Row],[Bidsize]]+data[[#This Row],[Ask]]*data[[#This Row],[Asksize]])/(data[[#This Row],[Bidsize]]+data[[#This Row],[Asksize]])</f>
        <v>76.95</v>
      </c>
      <c r="AM133" s="4">
        <f>VALUE(data[[#This Row],[Strike]])</f>
        <v>3760</v>
      </c>
      <c r="AN133" s="5">
        <f ca="1">impliedVol(data[[#This Row],[OptType]],Details!$B$4,VALUE(data[[#This Row],[Strike]]),VALUE(data[[#This Row],[Cnt Price]]),Details!$B$6,data[[#This Row],[T]],Details!$B$7)</f>
        <v>0.28806855196213976</v>
      </c>
      <c r="AO133" s="7">
        <f t="array" aca="1" ref="AO133:AS133" ca="1">bsGreeks(data[[#This Row],[OptType]],Details!$B$4,VALUE(data[[#This Row],[Strike]]),Details!$B$6,data[[#This Row],[T]],AN133,Details!$B$7)</f>
        <v>-0.30384457798117126</v>
      </c>
      <c r="AP133" s="7">
        <f ca="1"/>
        <v>9.0950463428837551E-4</v>
      </c>
      <c r="AQ133" s="6">
        <f ca="1"/>
        <v>4.6618651801374211</v>
      </c>
      <c r="AR133" s="6">
        <f ca="1"/>
        <v>-156.38701830000684</v>
      </c>
      <c r="AS133" s="6">
        <f ca="1"/>
        <v>-146.26059409534025</v>
      </c>
      <c r="AU133" s="60">
        <f ca="1"/>
        <v>78.40415932133692</v>
      </c>
      <c r="AV133" s="61" t="str">
        <f ca="1"/>
        <v>p</v>
      </c>
      <c r="AW133" s="61">
        <f ca="1"/>
        <v>0.28806855196213976</v>
      </c>
      <c r="AX133" s="62">
        <f ca="1"/>
        <v>-0.30384457798117126</v>
      </c>
      <c r="AY133" s="62">
        <f ca="1"/>
        <v>9.0950463428837551E-4</v>
      </c>
      <c r="AZ133" s="62">
        <f ca="1"/>
        <v>4.6618651801374211</v>
      </c>
      <c r="BA133" s="60">
        <f ca="1"/>
        <v>-156.38701830000684</v>
      </c>
      <c r="BB133" s="60">
        <f ca="1"/>
        <v>-146.26059409534025</v>
      </c>
    </row>
    <row r="134" spans="1:54" x14ac:dyDescent="0.3">
      <c r="A134" t="s">
        <v>808</v>
      </c>
      <c r="B134" t="s">
        <v>809</v>
      </c>
      <c r="C134" t="s">
        <v>29</v>
      </c>
      <c r="D134" t="s">
        <v>114</v>
      </c>
      <c r="E134" t="s">
        <v>84</v>
      </c>
      <c r="F134" t="s">
        <v>807</v>
      </c>
      <c r="G134" t="s">
        <v>964</v>
      </c>
      <c r="H134" t="s">
        <v>965</v>
      </c>
      <c r="I134" t="s">
        <v>967</v>
      </c>
      <c r="J134" t="s">
        <v>107</v>
      </c>
      <c r="K134" t="s">
        <v>121</v>
      </c>
      <c r="L134" t="s">
        <v>307</v>
      </c>
      <c r="M134" t="s">
        <v>83</v>
      </c>
      <c r="N134" t="s">
        <v>56</v>
      </c>
      <c r="O134" t="s">
        <v>36</v>
      </c>
      <c r="P134" t="s">
        <v>84</v>
      </c>
      <c r="Q134" t="s">
        <v>84</v>
      </c>
      <c r="V134" t="s">
        <v>49</v>
      </c>
      <c r="W134" t="s">
        <v>84</v>
      </c>
      <c r="X134" t="s">
        <v>953</v>
      </c>
      <c r="Y134" t="s">
        <v>967</v>
      </c>
      <c r="Z134" t="s">
        <v>84</v>
      </c>
      <c r="AA134" t="s">
        <v>84</v>
      </c>
      <c r="AB134" t="s">
        <v>36</v>
      </c>
      <c r="AC134" t="s">
        <v>1340</v>
      </c>
      <c r="AD134" t="s">
        <v>36</v>
      </c>
      <c r="AE134" t="s">
        <v>1340</v>
      </c>
      <c r="AF134" t="s">
        <v>86</v>
      </c>
      <c r="AG134" t="s">
        <v>269</v>
      </c>
      <c r="AH134" t="s">
        <v>183</v>
      </c>
      <c r="AI134" s="4">
        <f ca="1">data[[#This Row],[Expiry Date]]-TODAY()</f>
        <v>42</v>
      </c>
      <c r="AJ134" s="4">
        <f ca="1">data[[#This Row],[Maturity ( Days)]]/365</f>
        <v>0.11506849315068493</v>
      </c>
      <c r="AK134" s="4" t="str">
        <f>IF(data[[#This Row],[Option Type]]="put","p","c")</f>
        <v>p</v>
      </c>
      <c r="AL134" s="4">
        <f>(data[[#This Row],[Bid]]*data[[#This Row],[Bidsize]]+data[[#This Row],[Ask]]*data[[#This Row],[Asksize]])/(data[[#This Row],[Bidsize]]+data[[#This Row],[Asksize]])</f>
        <v>79.582352941176481</v>
      </c>
      <c r="AM134" s="4">
        <f>VALUE(data[[#This Row],[Strike]])</f>
        <v>3770</v>
      </c>
      <c r="AN134" s="5">
        <f ca="1">impliedVol(data[[#This Row],[OptType]],Details!$B$4,VALUE(data[[#This Row],[Strike]]),VALUE(data[[#This Row],[Cnt Price]]),Details!$B$6,data[[#This Row],[T]],Details!$B$7)</f>
        <v>0.28646099446974155</v>
      </c>
      <c r="AO134" s="7">
        <f t="array" aca="1" ref="AO134:AS134" ca="1">bsGreeks(data[[#This Row],[OptType]],Details!$B$4,VALUE(data[[#This Row],[Strike]]),Details!$B$6,data[[#This Row],[T]],AN134,Details!$B$7)</f>
        <v>-0.31264189000349607</v>
      </c>
      <c r="AP134" s="7">
        <f ca="1"/>
        <v>9.2613281367849229E-4</v>
      </c>
      <c r="AQ134" s="6">
        <f ca="1"/>
        <v>4.7206055320965108</v>
      </c>
      <c r="AR134" s="6">
        <f ca="1"/>
        <v>-157.39599001463694</v>
      </c>
      <c r="AS134" s="6">
        <f ca="1"/>
        <v>-150.54186954039622</v>
      </c>
      <c r="AU134" s="60">
        <f ca="1"/>
        <v>81.079179004664638</v>
      </c>
      <c r="AV134" s="61" t="str">
        <f ca="1"/>
        <v>p</v>
      </c>
      <c r="AW134" s="61">
        <f ca="1"/>
        <v>0.28646099446974155</v>
      </c>
      <c r="AX134" s="62">
        <f ca="1"/>
        <v>-0.31264189000349607</v>
      </c>
      <c r="AY134" s="62">
        <f ca="1"/>
        <v>9.2613281367849229E-4</v>
      </c>
      <c r="AZ134" s="62">
        <f ca="1"/>
        <v>4.7206055320965108</v>
      </c>
      <c r="BA134" s="60">
        <f ca="1"/>
        <v>-157.39599001463694</v>
      </c>
      <c r="BB134" s="60">
        <f ca="1"/>
        <v>-150.54186954039622</v>
      </c>
    </row>
    <row r="135" spans="1:54" x14ac:dyDescent="0.3">
      <c r="A135" t="s">
        <v>852</v>
      </c>
      <c r="B135" t="s">
        <v>853</v>
      </c>
      <c r="C135" t="s">
        <v>29</v>
      </c>
      <c r="D135" t="s">
        <v>85</v>
      </c>
      <c r="E135" t="s">
        <v>84</v>
      </c>
      <c r="F135" t="s">
        <v>815</v>
      </c>
      <c r="G135" t="s">
        <v>1076</v>
      </c>
      <c r="H135" t="s">
        <v>1282</v>
      </c>
      <c r="I135" t="s">
        <v>1091</v>
      </c>
      <c r="J135" t="s">
        <v>111</v>
      </c>
      <c r="K135" t="s">
        <v>182</v>
      </c>
      <c r="L135" t="s">
        <v>307</v>
      </c>
      <c r="M135" t="s">
        <v>95</v>
      </c>
      <c r="N135" t="s">
        <v>56</v>
      </c>
      <c r="O135" t="s">
        <v>36</v>
      </c>
      <c r="P135" t="s">
        <v>84</v>
      </c>
      <c r="Q135" t="s">
        <v>84</v>
      </c>
      <c r="V135" t="s">
        <v>49</v>
      </c>
      <c r="W135" t="s">
        <v>84</v>
      </c>
      <c r="X135" t="s">
        <v>1158</v>
      </c>
      <c r="Y135" t="s">
        <v>1091</v>
      </c>
      <c r="Z135" t="s">
        <v>84</v>
      </c>
      <c r="AA135" t="s">
        <v>84</v>
      </c>
      <c r="AB135" t="s">
        <v>36</v>
      </c>
      <c r="AC135" t="s">
        <v>1340</v>
      </c>
      <c r="AD135" t="s">
        <v>36</v>
      </c>
      <c r="AE135" t="s">
        <v>1340</v>
      </c>
      <c r="AF135" t="s">
        <v>86</v>
      </c>
      <c r="AG135" t="s">
        <v>269</v>
      </c>
      <c r="AH135" t="s">
        <v>183</v>
      </c>
      <c r="AI135" s="4">
        <f ca="1">data[[#This Row],[Expiry Date]]-TODAY()</f>
        <v>42</v>
      </c>
      <c r="AJ135" s="4">
        <f ca="1">data[[#This Row],[Maturity ( Days)]]/365</f>
        <v>0.11506849315068493</v>
      </c>
      <c r="AK135" s="4" t="str">
        <f>IF(data[[#This Row],[Option Type]]="put","p","c")</f>
        <v>p</v>
      </c>
      <c r="AL135" s="4">
        <f>(data[[#This Row],[Bid]]*data[[#This Row],[Bidsize]]+data[[#This Row],[Ask]]*data[[#This Row],[Asksize]])/(data[[#This Row],[Bidsize]]+data[[#This Row],[Asksize]])</f>
        <v>84.984375</v>
      </c>
      <c r="AM135" s="4">
        <f>VALUE(data[[#This Row],[Strike]])</f>
        <v>3790</v>
      </c>
      <c r="AN135" s="5">
        <f ca="1">impliedVol(data[[#This Row],[OptType]],Details!$B$4,VALUE(data[[#This Row],[Strike]]),VALUE(data[[#This Row],[Cnt Price]]),Details!$B$6,data[[#This Row],[T]],Details!$B$7)</f>
        <v>0.28302559277959011</v>
      </c>
      <c r="AO135" s="7">
        <f t="array" aca="1" ref="AO135:AS135" ca="1">bsGreeks(data[[#This Row],[OptType]],Details!$B$4,VALUE(data[[#This Row],[Strike]]),Details!$B$6,data[[#This Row],[T]],AN135,Details!$B$7)</f>
        <v>-0.33068568004497123</v>
      </c>
      <c r="AP135" s="7">
        <f ca="1"/>
        <v>9.5949497754875242E-4</v>
      </c>
      <c r="AQ135" s="6">
        <f ca="1"/>
        <v>4.8320048138245122</v>
      </c>
      <c r="AR135" s="6">
        <f ca="1"/>
        <v>-159.00948453732136</v>
      </c>
      <c r="AS135" s="6">
        <f ca="1"/>
        <v>-159.32334667226465</v>
      </c>
      <c r="AU135" s="60">
        <f ca="1"/>
        <v>86.568723884447991</v>
      </c>
      <c r="AV135" s="61" t="str">
        <f ca="1"/>
        <v>p</v>
      </c>
      <c r="AW135" s="61">
        <f ca="1"/>
        <v>0.28302559277959011</v>
      </c>
      <c r="AX135" s="62">
        <f ca="1"/>
        <v>-0.33068568004497123</v>
      </c>
      <c r="AY135" s="62">
        <f ca="1"/>
        <v>9.5949497754875242E-4</v>
      </c>
      <c r="AZ135" s="62">
        <f ca="1"/>
        <v>4.8320048138245122</v>
      </c>
      <c r="BA135" s="60">
        <f ca="1"/>
        <v>-159.00948453732136</v>
      </c>
      <c r="BB135" s="60">
        <f ca="1"/>
        <v>-159.32334667226465</v>
      </c>
    </row>
    <row r="136" spans="1:54" x14ac:dyDescent="0.3">
      <c r="A136" t="s">
        <v>568</v>
      </c>
      <c r="B136" t="s">
        <v>569</v>
      </c>
      <c r="C136" t="s">
        <v>29</v>
      </c>
      <c r="D136" t="s">
        <v>85</v>
      </c>
      <c r="E136" t="s">
        <v>84</v>
      </c>
      <c r="F136" t="s">
        <v>108</v>
      </c>
      <c r="G136" t="s">
        <v>1077</v>
      </c>
      <c r="H136" t="s">
        <v>1283</v>
      </c>
      <c r="I136" t="s">
        <v>1284</v>
      </c>
      <c r="J136" t="s">
        <v>111</v>
      </c>
      <c r="K136" t="s">
        <v>182</v>
      </c>
      <c r="L136" t="s">
        <v>307</v>
      </c>
      <c r="M136" t="s">
        <v>877</v>
      </c>
      <c r="N136" t="s">
        <v>56</v>
      </c>
      <c r="O136" t="s">
        <v>36</v>
      </c>
      <c r="P136" t="s">
        <v>84</v>
      </c>
      <c r="Q136" t="s">
        <v>84</v>
      </c>
      <c r="V136" t="s">
        <v>49</v>
      </c>
      <c r="W136" t="s">
        <v>84</v>
      </c>
      <c r="X136" t="s">
        <v>1105</v>
      </c>
      <c r="Y136" t="s">
        <v>1284</v>
      </c>
      <c r="Z136" t="s">
        <v>84</v>
      </c>
      <c r="AA136" t="s">
        <v>84</v>
      </c>
      <c r="AB136" t="s">
        <v>36</v>
      </c>
      <c r="AC136" t="s">
        <v>1340</v>
      </c>
      <c r="AD136" t="s">
        <v>36</v>
      </c>
      <c r="AE136" t="s">
        <v>1340</v>
      </c>
      <c r="AF136" t="s">
        <v>86</v>
      </c>
      <c r="AG136" t="s">
        <v>269</v>
      </c>
      <c r="AH136" t="s">
        <v>183</v>
      </c>
      <c r="AI136" s="4">
        <f ca="1">data[[#This Row],[Expiry Date]]-TODAY()</f>
        <v>42</v>
      </c>
      <c r="AJ136" s="4">
        <f ca="1">data[[#This Row],[Maturity ( Days)]]/365</f>
        <v>0.11506849315068493</v>
      </c>
      <c r="AK136" s="4" t="str">
        <f>IF(data[[#This Row],[Option Type]]="put","p","c")</f>
        <v>p</v>
      </c>
      <c r="AL136" s="4">
        <f>(data[[#This Row],[Bid]]*data[[#This Row],[Bidsize]]+data[[#This Row],[Ask]]*data[[#This Row],[Asksize]])/(data[[#This Row],[Bidsize]]+data[[#This Row],[Asksize]])</f>
        <v>87.837500000000006</v>
      </c>
      <c r="AM136" s="4">
        <f>VALUE(data[[#This Row],[Strike]])</f>
        <v>3800</v>
      </c>
      <c r="AN136" s="5">
        <f ca="1">impliedVol(data[[#This Row],[OptType]],Details!$B$4,VALUE(data[[#This Row],[Strike]]),VALUE(data[[#This Row],[Cnt Price]]),Details!$B$6,data[[#This Row],[T]],Details!$B$7)</f>
        <v>0.28136639043964756</v>
      </c>
      <c r="AO136" s="7">
        <f t="array" aca="1" ref="AO136:AS136" ca="1">bsGreeks(data[[#This Row],[OptType]],Details!$B$4,VALUE(data[[#This Row],[Strike]]),Details!$B$6,data[[#This Row],[T]],AN136,Details!$B$7)</f>
        <v>-0.34001181521299428</v>
      </c>
      <c r="AP136" s="7">
        <f ca="1"/>
        <v>9.7571263140604767E-4</v>
      </c>
      <c r="AQ136" s="6">
        <f ca="1"/>
        <v>4.8848708989484262</v>
      </c>
      <c r="AR136" s="6">
        <f ca="1"/>
        <v>-159.71749088939541</v>
      </c>
      <c r="AS136" s="6">
        <f ca="1"/>
        <v>-163.86917532934842</v>
      </c>
      <c r="AU136" s="60">
        <f ca="1"/>
        <v>89.467166744363567</v>
      </c>
      <c r="AV136" s="61" t="str">
        <f ca="1"/>
        <v>p</v>
      </c>
      <c r="AW136" s="61">
        <f ca="1"/>
        <v>0.28136639043964756</v>
      </c>
      <c r="AX136" s="62">
        <f ca="1"/>
        <v>-0.34001181521299428</v>
      </c>
      <c r="AY136" s="62">
        <f ca="1"/>
        <v>9.7571263140604767E-4</v>
      </c>
      <c r="AZ136" s="62">
        <f ca="1"/>
        <v>4.8848708989484262</v>
      </c>
      <c r="BA136" s="60">
        <f ca="1"/>
        <v>-159.71749088939541</v>
      </c>
      <c r="BB136" s="60">
        <f ca="1"/>
        <v>-163.86917532934842</v>
      </c>
    </row>
    <row r="137" spans="1:54" x14ac:dyDescent="0.3">
      <c r="A137" t="s">
        <v>390</v>
      </c>
      <c r="B137" t="s">
        <v>391</v>
      </c>
      <c r="C137" t="s">
        <v>29</v>
      </c>
      <c r="D137" t="s">
        <v>110</v>
      </c>
      <c r="E137" t="s">
        <v>84</v>
      </c>
      <c r="F137" t="s">
        <v>262</v>
      </c>
      <c r="G137" t="s">
        <v>1044</v>
      </c>
      <c r="H137" t="s">
        <v>855</v>
      </c>
      <c r="I137" t="s">
        <v>969</v>
      </c>
      <c r="J137" t="s">
        <v>110</v>
      </c>
      <c r="K137" t="s">
        <v>107</v>
      </c>
      <c r="L137" t="s">
        <v>307</v>
      </c>
      <c r="M137" t="s">
        <v>237</v>
      </c>
      <c r="N137" t="s">
        <v>56</v>
      </c>
      <c r="O137" t="s">
        <v>36</v>
      </c>
      <c r="P137" t="s">
        <v>84</v>
      </c>
      <c r="Q137" t="s">
        <v>84</v>
      </c>
      <c r="V137" t="s">
        <v>49</v>
      </c>
      <c r="W137" t="s">
        <v>84</v>
      </c>
      <c r="X137" t="s">
        <v>868</v>
      </c>
      <c r="Y137" t="s">
        <v>969</v>
      </c>
      <c r="Z137" t="s">
        <v>84</v>
      </c>
      <c r="AA137" t="s">
        <v>84</v>
      </c>
      <c r="AB137" t="s">
        <v>36</v>
      </c>
      <c r="AC137" t="s">
        <v>1340</v>
      </c>
      <c r="AD137" t="s">
        <v>36</v>
      </c>
      <c r="AE137" t="s">
        <v>1340</v>
      </c>
      <c r="AF137" t="s">
        <v>86</v>
      </c>
      <c r="AG137" t="s">
        <v>269</v>
      </c>
      <c r="AH137" t="s">
        <v>183</v>
      </c>
      <c r="AI137" s="4">
        <f ca="1">data[[#This Row],[Expiry Date]]-TODAY()</f>
        <v>42</v>
      </c>
      <c r="AJ137" s="4">
        <f ca="1">data[[#This Row],[Maturity ( Days)]]/365</f>
        <v>0.11506849315068493</v>
      </c>
      <c r="AK137" s="4" t="str">
        <f>IF(data[[#This Row],[Option Type]]="put","p","c")</f>
        <v>p</v>
      </c>
      <c r="AL137" s="4">
        <f>(data[[#This Row],[Bid]]*data[[#This Row],[Bidsize]]+data[[#This Row],[Ask]]*data[[#This Row],[Asksize]])/(data[[#This Row],[Bidsize]]+data[[#This Row],[Asksize]])</f>
        <v>90.786666666666662</v>
      </c>
      <c r="AM137" s="4">
        <f>VALUE(data[[#This Row],[Strike]])</f>
        <v>3810</v>
      </c>
      <c r="AN137" s="5">
        <f ca="1">impliedVol(data[[#This Row],[OptType]],Details!$B$4,VALUE(data[[#This Row],[Strike]]),VALUE(data[[#This Row],[Cnt Price]]),Details!$B$6,data[[#This Row],[T]],Details!$B$7)</f>
        <v>0.27972814264654761</v>
      </c>
      <c r="AO137" s="7">
        <f t="array" aca="1" ref="AO137:AS137" ca="1">bsGreeks(data[[#This Row],[OptType]],Details!$B$4,VALUE(data[[#This Row],[Strike]]),Details!$B$6,data[[#This Row],[T]],AN137,Details!$B$7)</f>
        <v>-0.34952911782844998</v>
      </c>
      <c r="AP137" s="7">
        <f ca="1"/>
        <v>9.9161061204361975E-4</v>
      </c>
      <c r="AQ137" s="6">
        <f ca="1"/>
        <v>4.9355581309016596</v>
      </c>
      <c r="AR137" s="6">
        <f ca="1"/>
        <v>-160.34204811730871</v>
      </c>
      <c r="AS137" s="6">
        <f ca="1"/>
        <v>-168.51250707184278</v>
      </c>
      <c r="AU137" s="60">
        <f ca="1"/>
        <v>92.46263007677635</v>
      </c>
      <c r="AV137" s="61" t="str">
        <f ca="1"/>
        <v>p</v>
      </c>
      <c r="AW137" s="61">
        <f ca="1"/>
        <v>0.27972814264654761</v>
      </c>
      <c r="AX137" s="62">
        <f ca="1"/>
        <v>-0.34952911782844998</v>
      </c>
      <c r="AY137" s="62">
        <f ca="1"/>
        <v>9.9161061204361975E-4</v>
      </c>
      <c r="AZ137" s="62">
        <f ca="1"/>
        <v>4.9355581309016596</v>
      </c>
      <c r="BA137" s="60">
        <f ca="1"/>
        <v>-160.34204811730871</v>
      </c>
      <c r="BB137" s="60">
        <f ca="1"/>
        <v>-168.51250707184278</v>
      </c>
    </row>
    <row r="138" spans="1:54" x14ac:dyDescent="0.3">
      <c r="A138" t="s">
        <v>570</v>
      </c>
      <c r="B138" t="s">
        <v>571</v>
      </c>
      <c r="C138" t="s">
        <v>29</v>
      </c>
      <c r="D138" t="s">
        <v>85</v>
      </c>
      <c r="E138" t="s">
        <v>84</v>
      </c>
      <c r="F138" t="s">
        <v>263</v>
      </c>
      <c r="G138" t="s">
        <v>919</v>
      </c>
      <c r="H138" t="s">
        <v>1078</v>
      </c>
      <c r="I138" t="s">
        <v>1190</v>
      </c>
      <c r="J138" t="s">
        <v>110</v>
      </c>
      <c r="K138" t="s">
        <v>107</v>
      </c>
      <c r="L138" t="s">
        <v>307</v>
      </c>
      <c r="M138" t="s">
        <v>121</v>
      </c>
      <c r="N138" t="s">
        <v>56</v>
      </c>
      <c r="O138" t="s">
        <v>36</v>
      </c>
      <c r="P138" t="s">
        <v>84</v>
      </c>
      <c r="Q138" t="s">
        <v>84</v>
      </c>
      <c r="V138" t="s">
        <v>49</v>
      </c>
      <c r="W138" t="s">
        <v>84</v>
      </c>
      <c r="X138" t="s">
        <v>1158</v>
      </c>
      <c r="Y138" t="s">
        <v>1190</v>
      </c>
      <c r="Z138" t="s">
        <v>84</v>
      </c>
      <c r="AA138" t="s">
        <v>84</v>
      </c>
      <c r="AB138" t="s">
        <v>36</v>
      </c>
      <c r="AC138" t="s">
        <v>1340</v>
      </c>
      <c r="AD138" t="s">
        <v>36</v>
      </c>
      <c r="AE138" t="s">
        <v>1340</v>
      </c>
      <c r="AF138" t="s">
        <v>86</v>
      </c>
      <c r="AG138" t="s">
        <v>269</v>
      </c>
      <c r="AH138" t="s">
        <v>183</v>
      </c>
      <c r="AI138" s="4">
        <f ca="1">data[[#This Row],[Expiry Date]]-TODAY()</f>
        <v>42</v>
      </c>
      <c r="AJ138" s="4">
        <f ca="1">data[[#This Row],[Maturity ( Days)]]/365</f>
        <v>0.11506849315068493</v>
      </c>
      <c r="AK138" s="4" t="str">
        <f>IF(data[[#This Row],[Option Type]]="put","p","c")</f>
        <v>p</v>
      </c>
      <c r="AL138" s="4">
        <f>(data[[#This Row],[Bid]]*data[[#This Row],[Bidsize]]+data[[#This Row],[Ask]]*data[[#This Row],[Asksize]])/(data[[#This Row],[Bidsize]]+data[[#This Row],[Asksize]])</f>
        <v>93.786666666666662</v>
      </c>
      <c r="AM138" s="4">
        <f>VALUE(data[[#This Row],[Strike]])</f>
        <v>3820</v>
      </c>
      <c r="AN138" s="5">
        <f ca="1">impliedVol(data[[#This Row],[OptType]],Details!$B$4,VALUE(data[[#This Row],[Strike]]),VALUE(data[[#This Row],[Cnt Price]]),Details!$B$6,data[[#This Row],[T]],Details!$B$7)</f>
        <v>0.27801508411664327</v>
      </c>
      <c r="AO138" s="7">
        <f t="array" aca="1" ref="AO138:AS138" ca="1">bsGreeks(data[[#This Row],[OptType]],Details!$B$4,VALUE(data[[#This Row],[Strike]]),Details!$B$6,data[[#This Row],[T]],AN138,Details!$B$7)</f>
        <v>-0.35920046433472552</v>
      </c>
      <c r="AP138" s="7">
        <f ca="1"/>
        <v>1.0074574406959899E-3</v>
      </c>
      <c r="AQ138" s="6">
        <f ca="1"/>
        <v>4.9837243379357004</v>
      </c>
      <c r="AR138" s="6">
        <f ca="1"/>
        <v>-160.8171882020803</v>
      </c>
      <c r="AS138" s="6">
        <f ca="1"/>
        <v>-173.23135120419059</v>
      </c>
      <c r="AU138" s="60">
        <f ca="1"/>
        <v>95.509682779384548</v>
      </c>
      <c r="AV138" s="61" t="str">
        <f ca="1"/>
        <v>p</v>
      </c>
      <c r="AW138" s="61">
        <f ca="1"/>
        <v>0.27801508411664327</v>
      </c>
      <c r="AX138" s="62">
        <f ca="1"/>
        <v>-0.35920046433472552</v>
      </c>
      <c r="AY138" s="62">
        <f ca="1"/>
        <v>1.0074574406959899E-3</v>
      </c>
      <c r="AZ138" s="62">
        <f ca="1"/>
        <v>4.9837243379357004</v>
      </c>
      <c r="BA138" s="60">
        <f ca="1"/>
        <v>-160.8171882020803</v>
      </c>
      <c r="BB138" s="60">
        <f ca="1"/>
        <v>-173.23135120419059</v>
      </c>
    </row>
    <row r="139" spans="1:54" x14ac:dyDescent="0.3">
      <c r="A139" t="s">
        <v>572</v>
      </c>
      <c r="B139" t="s">
        <v>573</v>
      </c>
      <c r="C139" t="s">
        <v>29</v>
      </c>
      <c r="D139" t="s">
        <v>85</v>
      </c>
      <c r="E139" t="s">
        <v>84</v>
      </c>
      <c r="F139" t="s">
        <v>164</v>
      </c>
      <c r="G139" t="s">
        <v>1538</v>
      </c>
      <c r="H139" t="s">
        <v>1079</v>
      </c>
      <c r="I139" t="s">
        <v>1286</v>
      </c>
      <c r="J139" t="s">
        <v>110</v>
      </c>
      <c r="K139" t="s">
        <v>107</v>
      </c>
      <c r="L139" t="s">
        <v>307</v>
      </c>
      <c r="M139" t="s">
        <v>95</v>
      </c>
      <c r="N139" t="s">
        <v>56</v>
      </c>
      <c r="O139" t="s">
        <v>36</v>
      </c>
      <c r="P139" t="s">
        <v>84</v>
      </c>
      <c r="Q139" t="s">
        <v>84</v>
      </c>
      <c r="V139" t="s">
        <v>49</v>
      </c>
      <c r="W139" t="s">
        <v>84</v>
      </c>
      <c r="X139" t="s">
        <v>1243</v>
      </c>
      <c r="Y139" t="s">
        <v>1286</v>
      </c>
      <c r="Z139" t="s">
        <v>84</v>
      </c>
      <c r="AA139" t="s">
        <v>84</v>
      </c>
      <c r="AB139" t="s">
        <v>36</v>
      </c>
      <c r="AC139" t="s">
        <v>1340</v>
      </c>
      <c r="AD139" t="s">
        <v>36</v>
      </c>
      <c r="AE139" t="s">
        <v>1340</v>
      </c>
      <c r="AF139" t="s">
        <v>86</v>
      </c>
      <c r="AG139" t="s">
        <v>269</v>
      </c>
      <c r="AH139" t="s">
        <v>183</v>
      </c>
      <c r="AI139" s="4">
        <f ca="1">data[[#This Row],[Expiry Date]]-TODAY()</f>
        <v>42</v>
      </c>
      <c r="AJ139" s="4">
        <f ca="1">data[[#This Row],[Maturity ( Days)]]/365</f>
        <v>0.11506849315068493</v>
      </c>
      <c r="AK139" s="4" t="str">
        <f>IF(data[[#This Row],[Option Type]]="put","p","c")</f>
        <v>p</v>
      </c>
      <c r="AL139" s="4">
        <f>(data[[#This Row],[Bid]]*data[[#This Row],[Bidsize]]+data[[#This Row],[Ask]]*data[[#This Row],[Asksize]])/(data[[#This Row],[Bidsize]]+data[[#This Row],[Asksize]])</f>
        <v>95.286666666666662</v>
      </c>
      <c r="AM139" s="4">
        <f>VALUE(data[[#This Row],[Strike]])</f>
        <v>3825</v>
      </c>
      <c r="AN139" s="5">
        <f ca="1">impliedVol(data[[#This Row],[OptType]],Details!$B$4,VALUE(data[[#This Row],[Strike]]),VALUE(data[[#This Row],[Cnt Price]]),Details!$B$6,data[[#This Row],[T]],Details!$B$7)</f>
        <v>0.27709168586774247</v>
      </c>
      <c r="AO139" s="7">
        <f t="array" aca="1" ref="AO139:AS139" ca="1">bsGreeks(data[[#This Row],[OptType]],Details!$B$4,VALUE(data[[#This Row],[Strike]]),Details!$B$6,data[[#This Row],[T]],AN139,Details!$B$7)</f>
        <v>-0.36408215119866805</v>
      </c>
      <c r="AP139" s="7">
        <f ca="1"/>
        <v>1.0154885074493689E-3</v>
      </c>
      <c r="AQ139" s="6">
        <f ca="1"/>
        <v>5.0067678121906187</v>
      </c>
      <c r="AR139" s="6">
        <f ca="1"/>
        <v>-160.9727356531217</v>
      </c>
      <c r="AS139" s="6">
        <f ca="1"/>
        <v>-175.61158180301499</v>
      </c>
      <c r="AU139" s="60">
        <f ca="1"/>
        <v>97.033416221787775</v>
      </c>
      <c r="AV139" s="61" t="str">
        <f ca="1"/>
        <v>p</v>
      </c>
      <c r="AW139" s="61">
        <f ca="1"/>
        <v>0.27709168586774247</v>
      </c>
      <c r="AX139" s="62">
        <f ca="1"/>
        <v>-0.36408215119866805</v>
      </c>
      <c r="AY139" s="62">
        <f ca="1"/>
        <v>1.0154885074493689E-3</v>
      </c>
      <c r="AZ139" s="62">
        <f ca="1"/>
        <v>5.0067678121906187</v>
      </c>
      <c r="BA139" s="60">
        <f ca="1"/>
        <v>-160.9727356531217</v>
      </c>
      <c r="BB139" s="60">
        <f ca="1"/>
        <v>-175.61158180301499</v>
      </c>
    </row>
    <row r="140" spans="1:54" x14ac:dyDescent="0.3">
      <c r="A140" t="s">
        <v>574</v>
      </c>
      <c r="B140" t="s">
        <v>575</v>
      </c>
      <c r="C140" t="s">
        <v>29</v>
      </c>
      <c r="D140" t="s">
        <v>85</v>
      </c>
      <c r="E140" t="s">
        <v>84</v>
      </c>
      <c r="F140" t="s">
        <v>253</v>
      </c>
      <c r="G140" t="s">
        <v>293</v>
      </c>
      <c r="H140" t="s">
        <v>1285</v>
      </c>
      <c r="I140" t="s">
        <v>285</v>
      </c>
      <c r="J140" t="s">
        <v>113</v>
      </c>
      <c r="K140" t="s">
        <v>111</v>
      </c>
      <c r="L140" t="s">
        <v>307</v>
      </c>
      <c r="M140" t="s">
        <v>1032</v>
      </c>
      <c r="N140" t="s">
        <v>56</v>
      </c>
      <c r="O140" t="s">
        <v>36</v>
      </c>
      <c r="P140" t="s">
        <v>84</v>
      </c>
      <c r="Q140" t="s">
        <v>84</v>
      </c>
      <c r="V140" t="s">
        <v>49</v>
      </c>
      <c r="W140" t="s">
        <v>84</v>
      </c>
      <c r="X140" t="s">
        <v>1243</v>
      </c>
      <c r="Y140" t="s">
        <v>285</v>
      </c>
      <c r="Z140" t="s">
        <v>84</v>
      </c>
      <c r="AA140" t="s">
        <v>84</v>
      </c>
      <c r="AB140" t="s">
        <v>36</v>
      </c>
      <c r="AC140" t="s">
        <v>1340</v>
      </c>
      <c r="AD140" t="s">
        <v>36</v>
      </c>
      <c r="AE140" t="s">
        <v>1340</v>
      </c>
      <c r="AF140" t="s">
        <v>86</v>
      </c>
      <c r="AG140" t="s">
        <v>269</v>
      </c>
      <c r="AH140" t="s">
        <v>183</v>
      </c>
      <c r="AI140" s="4">
        <f ca="1">data[[#This Row],[Expiry Date]]-TODAY()</f>
        <v>42</v>
      </c>
      <c r="AJ140" s="4">
        <f ca="1">data[[#This Row],[Maturity ( Days)]]/365</f>
        <v>0.11506849315068493</v>
      </c>
      <c r="AK140" s="4" t="str">
        <f>IF(data[[#This Row],[Option Type]]="put","p","c")</f>
        <v>p</v>
      </c>
      <c r="AL140" s="4">
        <f>(data[[#This Row],[Bid]]*data[[#This Row],[Bidsize]]+data[[#This Row],[Ask]]*data[[#This Row],[Asksize]])/(data[[#This Row],[Bidsize]]+data[[#This Row],[Asksize]])</f>
        <v>96.842857142857156</v>
      </c>
      <c r="AM140" s="4">
        <f>VALUE(data[[#This Row],[Strike]])</f>
        <v>3830</v>
      </c>
      <c r="AN140" s="5">
        <f ca="1">impliedVol(data[[#This Row],[OptType]],Details!$B$4,VALUE(data[[#This Row],[Strike]]),VALUE(data[[#This Row],[Cnt Price]]),Details!$B$6,data[[#This Row],[T]],Details!$B$7)</f>
        <v>0.27623604477742825</v>
      </c>
      <c r="AO140" s="7">
        <f t="array" aca="1" ref="AO140:AS140" ca="1">bsGreeks(data[[#This Row],[OptType]],Details!$B$4,VALUE(data[[#This Row],[Strike]]),Details!$B$6,data[[#This Row],[T]],AN140,Details!$B$7)</f>
        <v>-0.36903386328190635</v>
      </c>
      <c r="AP140" s="7">
        <f ca="1"/>
        <v>1.0232136316874968E-3</v>
      </c>
      <c r="AQ140" s="6">
        <f ca="1"/>
        <v>5.0292776033352933</v>
      </c>
      <c r="AR140" s="6">
        <f ca="1"/>
        <v>-161.14532966611668</v>
      </c>
      <c r="AS140" s="6">
        <f ca="1"/>
        <v>-178.02994590442199</v>
      </c>
      <c r="AU140" s="60">
        <f ca="1"/>
        <v>98.613724801102308</v>
      </c>
      <c r="AV140" s="61" t="str">
        <f ca="1"/>
        <v>p</v>
      </c>
      <c r="AW140" s="61">
        <f ca="1"/>
        <v>0.27623604477742825</v>
      </c>
      <c r="AX140" s="62">
        <f ca="1"/>
        <v>-0.36903386328190635</v>
      </c>
      <c r="AY140" s="62">
        <f ca="1"/>
        <v>1.0232136316874968E-3</v>
      </c>
      <c r="AZ140" s="62">
        <f ca="1"/>
        <v>5.0292776033352933</v>
      </c>
      <c r="BA140" s="60">
        <f ca="1"/>
        <v>-161.14532966611668</v>
      </c>
      <c r="BB140" s="60">
        <f ca="1"/>
        <v>-178.02994590442199</v>
      </c>
    </row>
    <row r="141" spans="1:54" x14ac:dyDescent="0.3">
      <c r="A141" t="s">
        <v>398</v>
      </c>
      <c r="B141" t="s">
        <v>399</v>
      </c>
      <c r="C141" t="s">
        <v>29</v>
      </c>
      <c r="D141" t="s">
        <v>85</v>
      </c>
      <c r="E141" t="s">
        <v>84</v>
      </c>
      <c r="F141" t="s">
        <v>255</v>
      </c>
      <c r="G141" t="s">
        <v>988</v>
      </c>
      <c r="H141" t="s">
        <v>1287</v>
      </c>
      <c r="I141" t="s">
        <v>855</v>
      </c>
      <c r="J141" t="s">
        <v>113</v>
      </c>
      <c r="K141" t="s">
        <v>111</v>
      </c>
      <c r="L141" t="s">
        <v>307</v>
      </c>
      <c r="M141" t="s">
        <v>160</v>
      </c>
      <c r="N141" t="s">
        <v>56</v>
      </c>
      <c r="O141" t="s">
        <v>36</v>
      </c>
      <c r="P141" t="s">
        <v>84</v>
      </c>
      <c r="Q141" t="s">
        <v>84</v>
      </c>
      <c r="V141" t="s">
        <v>49</v>
      </c>
      <c r="W141" t="s">
        <v>84</v>
      </c>
      <c r="X141" t="s">
        <v>818</v>
      </c>
      <c r="Y141" t="s">
        <v>855</v>
      </c>
      <c r="Z141" t="s">
        <v>84</v>
      </c>
      <c r="AA141" t="s">
        <v>84</v>
      </c>
      <c r="AB141" t="s">
        <v>36</v>
      </c>
      <c r="AC141" t="s">
        <v>1340</v>
      </c>
      <c r="AD141" t="s">
        <v>36</v>
      </c>
      <c r="AE141" t="s">
        <v>1340</v>
      </c>
      <c r="AF141" t="s">
        <v>86</v>
      </c>
      <c r="AG141" t="s">
        <v>269</v>
      </c>
      <c r="AH141" t="s">
        <v>183</v>
      </c>
      <c r="AI141" s="4">
        <f ca="1">data[[#This Row],[Expiry Date]]-TODAY()</f>
        <v>42</v>
      </c>
      <c r="AJ141" s="4">
        <f ca="1">data[[#This Row],[Maturity ( Days)]]/365</f>
        <v>0.11506849315068493</v>
      </c>
      <c r="AK141" s="4" t="str">
        <f>IF(data[[#This Row],[Option Type]]="put","p","c")</f>
        <v>p</v>
      </c>
      <c r="AL141" s="4">
        <f>(data[[#This Row],[Bid]]*data[[#This Row],[Bidsize]]+data[[#This Row],[Ask]]*data[[#This Row],[Asksize]])/(data[[#This Row],[Bidsize]]+data[[#This Row],[Asksize]])</f>
        <v>100.04285714285713</v>
      </c>
      <c r="AM141" s="4">
        <f>VALUE(data[[#This Row],[Strike]])</f>
        <v>3840</v>
      </c>
      <c r="AN141" s="5">
        <f ca="1">impliedVol(data[[#This Row],[OptType]],Details!$B$4,VALUE(data[[#This Row],[Strike]]),VALUE(data[[#This Row],[Cnt Price]]),Details!$B$6,data[[#This Row],[T]],Details!$B$7)</f>
        <v>0.27456211433049782</v>
      </c>
      <c r="AO141" s="7">
        <f t="array" aca="1" ref="AO141:AS141" ca="1">bsGreeks(data[[#This Row],[OptType]],Details!$B$4,VALUE(data[[#This Row],[Strike]]),Details!$B$6,data[[#This Row],[T]],AN141,Details!$B$7)</f>
        <v>-0.37908482626133666</v>
      </c>
      <c r="AP141" s="7">
        <f ca="1"/>
        <v>1.0382597217213042E-3</v>
      </c>
      <c r="AQ141" s="6">
        <f ca="1"/>
        <v>5.0723073443169451</v>
      </c>
      <c r="AR141" s="6">
        <f ca="1"/>
        <v>-161.43245322560327</v>
      </c>
      <c r="AS141" s="6">
        <f ca="1"/>
        <v>-182.94347800808069</v>
      </c>
      <c r="AU141" s="60">
        <f ca="1"/>
        <v>101.86273357440814</v>
      </c>
      <c r="AV141" s="61" t="str">
        <f ca="1"/>
        <v>p</v>
      </c>
      <c r="AW141" s="61">
        <f ca="1"/>
        <v>0.27456211433049782</v>
      </c>
      <c r="AX141" s="62">
        <f ca="1"/>
        <v>-0.37908482626133666</v>
      </c>
      <c r="AY141" s="62">
        <f ca="1"/>
        <v>1.0382597217213042E-3</v>
      </c>
      <c r="AZ141" s="62">
        <f ca="1"/>
        <v>5.0723073443169451</v>
      </c>
      <c r="BA141" s="60">
        <f ca="1"/>
        <v>-161.43245322560327</v>
      </c>
      <c r="BB141" s="60">
        <f ca="1"/>
        <v>-182.94347800808069</v>
      </c>
    </row>
    <row r="142" spans="1:54" x14ac:dyDescent="0.3">
      <c r="A142" t="s">
        <v>400</v>
      </c>
      <c r="B142" t="s">
        <v>401</v>
      </c>
      <c r="C142" t="s">
        <v>57</v>
      </c>
      <c r="D142" t="s">
        <v>85</v>
      </c>
      <c r="E142" t="s">
        <v>84</v>
      </c>
      <c r="F142" t="s">
        <v>255</v>
      </c>
      <c r="G142" t="s">
        <v>304</v>
      </c>
      <c r="H142" t="s">
        <v>1539</v>
      </c>
      <c r="I142" t="s">
        <v>973</v>
      </c>
      <c r="J142" t="s">
        <v>117</v>
      </c>
      <c r="K142" t="s">
        <v>117</v>
      </c>
      <c r="L142" t="s">
        <v>307</v>
      </c>
      <c r="M142" t="s">
        <v>98</v>
      </c>
      <c r="N142" t="s">
        <v>56</v>
      </c>
      <c r="O142" t="s">
        <v>36</v>
      </c>
      <c r="P142" t="s">
        <v>84</v>
      </c>
      <c r="Q142" t="s">
        <v>84</v>
      </c>
      <c r="V142" t="s">
        <v>49</v>
      </c>
      <c r="W142" t="s">
        <v>84</v>
      </c>
      <c r="X142" t="s">
        <v>953</v>
      </c>
      <c r="Y142" t="s">
        <v>973</v>
      </c>
      <c r="Z142" t="s">
        <v>84</v>
      </c>
      <c r="AA142" t="s">
        <v>84</v>
      </c>
      <c r="AB142" t="s">
        <v>36</v>
      </c>
      <c r="AC142" t="s">
        <v>1340</v>
      </c>
      <c r="AD142" t="s">
        <v>36</v>
      </c>
      <c r="AE142" t="s">
        <v>1340</v>
      </c>
      <c r="AF142" t="s">
        <v>86</v>
      </c>
      <c r="AG142" t="s">
        <v>269</v>
      </c>
      <c r="AH142" t="s">
        <v>183</v>
      </c>
      <c r="AI142" s="4">
        <f ca="1">data[[#This Row],[Expiry Date]]-TODAY()</f>
        <v>42</v>
      </c>
      <c r="AJ142" s="4">
        <f ca="1">data[[#This Row],[Maturity ( Days)]]/365</f>
        <v>0.11506849315068493</v>
      </c>
      <c r="AK142" s="4" t="str">
        <f>IF(data[[#This Row],[Option Type]]="put","p","c")</f>
        <v>c</v>
      </c>
      <c r="AL142" s="4">
        <f>(data[[#This Row],[Bid]]*data[[#This Row],[Bidsize]]+data[[#This Row],[Ask]]*data[[#This Row],[Asksize]])/(data[[#This Row],[Bidsize]]+data[[#This Row],[Asksize]])</f>
        <v>230.84999999999997</v>
      </c>
      <c r="AM142" s="4">
        <f>VALUE(data[[#This Row],[Strike]])</f>
        <v>3840</v>
      </c>
      <c r="AN142" s="5">
        <f ca="1">impliedVol(data[[#This Row],[OptType]],Details!$B$4,VALUE(data[[#This Row],[Strike]]),VALUE(data[[#This Row],[Cnt Price]]),Details!$B$6,data[[#This Row],[T]],Details!$B$7)</f>
        <v>0.33727545633423467</v>
      </c>
      <c r="AO142" s="7">
        <f t="array" aca="1" ref="AO142:AS142" ca="1">bsGreeks(data[[#This Row],[OptType]],Details!$B$4,VALUE(data[[#This Row],[Strike]]),Details!$B$6,data[[#This Row],[T]],AN142,Details!$B$7)</f>
        <v>0.60639387236199538</v>
      </c>
      <c r="AP142" s="7">
        <f ca="1"/>
        <v>8.5452323979291441E-4</v>
      </c>
      <c r="AQ142" s="6">
        <f ca="1"/>
        <v>5.1282307771007538</v>
      </c>
      <c r="AR142" s="6">
        <f ca="1"/>
        <v>-211.81149979909301</v>
      </c>
      <c r="AS142" s="6">
        <f ca="1"/>
        <v>247.66596437187536</v>
      </c>
      <c r="AU142" s="60">
        <f ca="1"/>
        <v>228.36317820943395</v>
      </c>
      <c r="AV142" s="61" t="str">
        <f ca="1"/>
        <v>c</v>
      </c>
      <c r="AW142" s="61">
        <f ca="1"/>
        <v>0.33727545633423467</v>
      </c>
      <c r="AX142" s="62">
        <f ca="1"/>
        <v>0.60639387236199538</v>
      </c>
      <c r="AY142" s="62">
        <f ca="1"/>
        <v>8.5452323979291441E-4</v>
      </c>
      <c r="AZ142" s="62">
        <f ca="1"/>
        <v>5.1282307771007538</v>
      </c>
      <c r="BA142" s="60">
        <f ca="1"/>
        <v>-211.81149979909301</v>
      </c>
      <c r="BB142" s="60">
        <f ca="1"/>
        <v>247.66596437187536</v>
      </c>
    </row>
    <row r="143" spans="1:54" x14ac:dyDescent="0.3">
      <c r="A143" t="s">
        <v>576</v>
      </c>
      <c r="B143" t="s">
        <v>577</v>
      </c>
      <c r="C143" t="s">
        <v>29</v>
      </c>
      <c r="D143" t="s">
        <v>85</v>
      </c>
      <c r="E143" t="s">
        <v>84</v>
      </c>
      <c r="F143" t="s">
        <v>133</v>
      </c>
      <c r="G143" t="s">
        <v>1332</v>
      </c>
      <c r="H143" t="s">
        <v>972</v>
      </c>
      <c r="I143" t="s">
        <v>1288</v>
      </c>
      <c r="J143" t="s">
        <v>113</v>
      </c>
      <c r="K143" t="s">
        <v>111</v>
      </c>
      <c r="L143" t="s">
        <v>307</v>
      </c>
      <c r="M143" t="s">
        <v>873</v>
      </c>
      <c r="N143" t="s">
        <v>56</v>
      </c>
      <c r="O143" t="s">
        <v>36</v>
      </c>
      <c r="P143" t="s">
        <v>84</v>
      </c>
      <c r="Q143" t="s">
        <v>84</v>
      </c>
      <c r="V143" t="s">
        <v>49</v>
      </c>
      <c r="W143" t="s">
        <v>84</v>
      </c>
      <c r="X143" t="s">
        <v>1105</v>
      </c>
      <c r="Y143" t="s">
        <v>1288</v>
      </c>
      <c r="Z143" t="s">
        <v>84</v>
      </c>
      <c r="AA143" t="s">
        <v>84</v>
      </c>
      <c r="AB143" t="s">
        <v>36</v>
      </c>
      <c r="AC143" t="s">
        <v>1340</v>
      </c>
      <c r="AD143" t="s">
        <v>36</v>
      </c>
      <c r="AE143" t="s">
        <v>1340</v>
      </c>
      <c r="AF143" t="s">
        <v>86</v>
      </c>
      <c r="AG143" t="s">
        <v>269</v>
      </c>
      <c r="AH143" t="s">
        <v>183</v>
      </c>
      <c r="AI143" s="4">
        <f ca="1">data[[#This Row],[Expiry Date]]-TODAY()</f>
        <v>42</v>
      </c>
      <c r="AJ143" s="4">
        <f ca="1">data[[#This Row],[Maturity ( Days)]]/365</f>
        <v>0.11506849315068493</v>
      </c>
      <c r="AK143" s="4" t="str">
        <f>IF(data[[#This Row],[Option Type]]="put","p","c")</f>
        <v>p</v>
      </c>
      <c r="AL143" s="4">
        <f>(data[[#This Row],[Bid]]*data[[#This Row],[Bidsize]]+data[[#This Row],[Ask]]*data[[#This Row],[Asksize]])/(data[[#This Row],[Bidsize]]+data[[#This Row],[Asksize]])</f>
        <v>103.24285714285715</v>
      </c>
      <c r="AM143" s="4">
        <f>VALUE(data[[#This Row],[Strike]])</f>
        <v>3850</v>
      </c>
      <c r="AN143" s="5">
        <f ca="1">impliedVol(data[[#This Row],[OptType]],Details!$B$4,VALUE(data[[#This Row],[Strike]]),VALUE(data[[#This Row],[Cnt Price]]),Details!$B$6,data[[#This Row],[T]],Details!$B$7)</f>
        <v>0.27270427379190892</v>
      </c>
      <c r="AO143" s="7">
        <f t="array" aca="1" ref="AO143:AS143" ca="1">bsGreeks(data[[#This Row],[OptType]],Details!$B$4,VALUE(data[[#This Row],[Strike]]),Details!$B$6,data[[#This Row],[T]],AN143,Details!$B$7)</f>
        <v>-0.38926481787550937</v>
      </c>
      <c r="AP143" s="7">
        <f ca="1"/>
        <v>1.0535710874124142E-3</v>
      </c>
      <c r="AQ143" s="6">
        <f ca="1"/>
        <v>5.1122811759632016</v>
      </c>
      <c r="AR143" s="6">
        <f ca="1"/>
        <v>-161.48983122669824</v>
      </c>
      <c r="AS143" s="6">
        <f ca="1"/>
        <v>-187.91536020591988</v>
      </c>
      <c r="AU143" s="60">
        <f ca="1"/>
        <v>105.11232343185748</v>
      </c>
      <c r="AV143" s="61" t="str">
        <f ca="1"/>
        <v>p</v>
      </c>
      <c r="AW143" s="61">
        <f ca="1"/>
        <v>0.27270427379190892</v>
      </c>
      <c r="AX143" s="62">
        <f ca="1"/>
        <v>-0.38926481787550937</v>
      </c>
      <c r="AY143" s="62">
        <f ca="1"/>
        <v>1.0535710874124142E-3</v>
      </c>
      <c r="AZ143" s="62">
        <f ca="1"/>
        <v>5.1122811759632016</v>
      </c>
      <c r="BA143" s="60">
        <f ca="1"/>
        <v>-161.48983122669824</v>
      </c>
      <c r="BB143" s="60">
        <f ca="1"/>
        <v>-187.91536020591988</v>
      </c>
    </row>
    <row r="144" spans="1:54" x14ac:dyDescent="0.3">
      <c r="A144" t="s">
        <v>578</v>
      </c>
      <c r="B144" t="s">
        <v>579</v>
      </c>
      <c r="C144" t="s">
        <v>29</v>
      </c>
      <c r="D144" t="s">
        <v>85</v>
      </c>
      <c r="E144" t="s">
        <v>84</v>
      </c>
      <c r="F144" t="s">
        <v>264</v>
      </c>
      <c r="G144" t="s">
        <v>1371</v>
      </c>
      <c r="H144" t="s">
        <v>893</v>
      </c>
      <c r="I144" t="s">
        <v>1289</v>
      </c>
      <c r="J144" t="s">
        <v>83</v>
      </c>
      <c r="K144" t="s">
        <v>83</v>
      </c>
      <c r="L144" t="s">
        <v>307</v>
      </c>
      <c r="M144" t="s">
        <v>107</v>
      </c>
      <c r="N144" t="s">
        <v>56</v>
      </c>
      <c r="O144" t="s">
        <v>36</v>
      </c>
      <c r="P144" t="s">
        <v>84</v>
      </c>
      <c r="Q144" t="s">
        <v>84</v>
      </c>
      <c r="V144" t="s">
        <v>49</v>
      </c>
      <c r="W144" t="s">
        <v>84</v>
      </c>
      <c r="X144" t="s">
        <v>1105</v>
      </c>
      <c r="Y144" t="s">
        <v>1289</v>
      </c>
      <c r="Z144" t="s">
        <v>84</v>
      </c>
      <c r="AA144" t="s">
        <v>84</v>
      </c>
      <c r="AB144" t="s">
        <v>36</v>
      </c>
      <c r="AC144" t="s">
        <v>1340</v>
      </c>
      <c r="AD144" t="s">
        <v>36</v>
      </c>
      <c r="AE144" t="s">
        <v>1340</v>
      </c>
      <c r="AF144" t="s">
        <v>86</v>
      </c>
      <c r="AG144" t="s">
        <v>269</v>
      </c>
      <c r="AH144" t="s">
        <v>183</v>
      </c>
      <c r="AI144" s="4">
        <f ca="1">data[[#This Row],[Expiry Date]]-TODAY()</f>
        <v>42</v>
      </c>
      <c r="AJ144" s="4">
        <f ca="1">data[[#This Row],[Maturity ( Days)]]/365</f>
        <v>0.11506849315068493</v>
      </c>
      <c r="AK144" s="4" t="str">
        <f>IF(data[[#This Row],[Option Type]]="put","p","c")</f>
        <v>p</v>
      </c>
      <c r="AL144" s="4">
        <f>(data[[#This Row],[Bid]]*data[[#This Row],[Bidsize]]+data[[#This Row],[Ask]]*data[[#This Row],[Asksize]])/(data[[#This Row],[Bidsize]]+data[[#This Row],[Asksize]])</f>
        <v>106.55</v>
      </c>
      <c r="AM144" s="4">
        <f>VALUE(data[[#This Row],[Strike]])</f>
        <v>3860</v>
      </c>
      <c r="AN144" s="5">
        <f ca="1">impliedVol(data[[#This Row],[OptType]],Details!$B$4,VALUE(data[[#This Row],[Strike]]),VALUE(data[[#This Row],[Cnt Price]]),Details!$B$6,data[[#This Row],[T]],Details!$B$7)</f>
        <v>0.27087146800950207</v>
      </c>
      <c r="AO144" s="7">
        <f t="array" aca="1" ref="AO144:AS144" ca="1">bsGreeks(data[[#This Row],[OptType]],Details!$B$4,VALUE(data[[#This Row],[Strike]]),Details!$B$6,data[[#This Row],[T]],AN144,Details!$B$7)</f>
        <v>-0.39963836278993392</v>
      </c>
      <c r="AP144" s="7">
        <f ca="1"/>
        <v>1.068382407509016E-3</v>
      </c>
      <c r="AQ144" s="6">
        <f ca="1"/>
        <v>5.1493087581965256</v>
      </c>
      <c r="AR144" s="6">
        <f ca="1"/>
        <v>-161.44749561005392</v>
      </c>
      <c r="AS144" s="6">
        <f ca="1"/>
        <v>-192.98710204803302</v>
      </c>
      <c r="AU144" s="60">
        <f ca="1"/>
        <v>108.47006036720359</v>
      </c>
      <c r="AV144" s="61" t="str">
        <f ca="1"/>
        <v>p</v>
      </c>
      <c r="AW144" s="61">
        <f ca="1"/>
        <v>0.27087146800950207</v>
      </c>
      <c r="AX144" s="62">
        <f ca="1"/>
        <v>-0.39963836278993392</v>
      </c>
      <c r="AY144" s="62">
        <f ca="1"/>
        <v>1.068382407509016E-3</v>
      </c>
      <c r="AZ144" s="62">
        <f ca="1"/>
        <v>5.1493087581965256</v>
      </c>
      <c r="BA144" s="60">
        <f ca="1"/>
        <v>-161.44749561005392</v>
      </c>
      <c r="BB144" s="60">
        <f ca="1"/>
        <v>-192.98710204803302</v>
      </c>
    </row>
    <row r="145" spans="1:54" x14ac:dyDescent="0.3">
      <c r="A145" t="s">
        <v>410</v>
      </c>
      <c r="B145" t="s">
        <v>411</v>
      </c>
      <c r="C145" t="s">
        <v>57</v>
      </c>
      <c r="D145" t="s">
        <v>117</v>
      </c>
      <c r="E145" t="s">
        <v>84</v>
      </c>
      <c r="F145" t="s">
        <v>134</v>
      </c>
      <c r="G145" t="s">
        <v>1369</v>
      </c>
      <c r="H145" t="s">
        <v>1025</v>
      </c>
      <c r="I145" t="s">
        <v>950</v>
      </c>
      <c r="J145" t="s">
        <v>100</v>
      </c>
      <c r="K145" t="s">
        <v>100</v>
      </c>
      <c r="L145" t="s">
        <v>307</v>
      </c>
      <c r="M145" t="s">
        <v>117</v>
      </c>
      <c r="N145" t="s">
        <v>56</v>
      </c>
      <c r="O145" t="s">
        <v>36</v>
      </c>
      <c r="P145" t="s">
        <v>84</v>
      </c>
      <c r="Q145" t="s">
        <v>84</v>
      </c>
      <c r="V145" t="s">
        <v>49</v>
      </c>
      <c r="W145" t="s">
        <v>84</v>
      </c>
      <c r="X145" t="s">
        <v>953</v>
      </c>
      <c r="Y145" t="s">
        <v>950</v>
      </c>
      <c r="Z145" t="s">
        <v>84</v>
      </c>
      <c r="AA145" t="s">
        <v>84</v>
      </c>
      <c r="AB145" t="s">
        <v>36</v>
      </c>
      <c r="AC145" t="s">
        <v>1340</v>
      </c>
      <c r="AD145" t="s">
        <v>36</v>
      </c>
      <c r="AE145" t="s">
        <v>1340</v>
      </c>
      <c r="AF145" t="s">
        <v>86</v>
      </c>
      <c r="AG145" t="s">
        <v>269</v>
      </c>
      <c r="AH145" t="s">
        <v>183</v>
      </c>
      <c r="AI145" s="4">
        <f ca="1">data[[#This Row],[Expiry Date]]-TODAY()</f>
        <v>42</v>
      </c>
      <c r="AJ145" s="4">
        <f ca="1">data[[#This Row],[Maturity ( Days)]]/365</f>
        <v>0.11506849315068493</v>
      </c>
      <c r="AK145" s="4" t="str">
        <f>IF(data[[#This Row],[Option Type]]="put","p","c")</f>
        <v>c</v>
      </c>
      <c r="AL145" s="4">
        <f>(data[[#This Row],[Bid]]*data[[#This Row],[Bidsize]]+data[[#This Row],[Ask]]*data[[#This Row],[Asksize]])/(data[[#This Row],[Bidsize]]+data[[#This Row],[Asksize]])</f>
        <v>207.6</v>
      </c>
      <c r="AM145" s="4">
        <f>VALUE(data[[#This Row],[Strike]])</f>
        <v>3875</v>
      </c>
      <c r="AN145" s="5">
        <f ca="1">impliedVol(data[[#This Row],[OptType]],Details!$B$4,VALUE(data[[#This Row],[Strike]]),VALUE(data[[#This Row],[Cnt Price]]),Details!$B$6,data[[#This Row],[T]],Details!$B$7)</f>
        <v>0.32951967581055741</v>
      </c>
      <c r="AO145" s="7">
        <f t="array" aca="1" ref="AO145:AS145" ca="1">bsGreeks(data[[#This Row],[OptType]],Details!$B$4,VALUE(data[[#This Row],[Strike]]),Details!$B$6,data[[#This Row],[T]],AN145,Details!$B$7)</f>
        <v>0.57630591109390961</v>
      </c>
      <c r="AP145" s="7">
        <f ca="1"/>
        <v>8.9044423320947951E-4</v>
      </c>
      <c r="AQ145" s="6">
        <f ca="1"/>
        <v>5.220919790338975</v>
      </c>
      <c r="AR145" s="6">
        <f ca="1"/>
        <v>-210.45205397269078</v>
      </c>
      <c r="AS145" s="6">
        <f ca="1"/>
        <v>236.73471926418802</v>
      </c>
      <c r="AU145" s="60">
        <f ca="1"/>
        <v>205.22218409687321</v>
      </c>
      <c r="AV145" s="61" t="str">
        <f ca="1"/>
        <v>c</v>
      </c>
      <c r="AW145" s="61">
        <f ca="1"/>
        <v>0.32951967581055741</v>
      </c>
      <c r="AX145" s="62">
        <f ca="1"/>
        <v>0.57630591109390961</v>
      </c>
      <c r="AY145" s="62">
        <f ca="1"/>
        <v>8.9044423320947951E-4</v>
      </c>
      <c r="AZ145" s="62">
        <f ca="1"/>
        <v>5.220919790338975</v>
      </c>
      <c r="BA145" s="60">
        <f ca="1"/>
        <v>-210.45205397269078</v>
      </c>
      <c r="BB145" s="60">
        <f ca="1"/>
        <v>236.73471926418802</v>
      </c>
    </row>
    <row r="146" spans="1:54" x14ac:dyDescent="0.3">
      <c r="A146" t="s">
        <v>580</v>
      </c>
      <c r="B146" t="s">
        <v>581</v>
      </c>
      <c r="C146" t="s">
        <v>29</v>
      </c>
      <c r="D146" t="s">
        <v>109</v>
      </c>
      <c r="E146" t="s">
        <v>84</v>
      </c>
      <c r="F146" t="s">
        <v>134</v>
      </c>
      <c r="G146" t="s">
        <v>971</v>
      </c>
      <c r="H146" t="s">
        <v>916</v>
      </c>
      <c r="I146" t="s">
        <v>1291</v>
      </c>
      <c r="J146" t="s">
        <v>83</v>
      </c>
      <c r="K146" t="s">
        <v>83</v>
      </c>
      <c r="L146" t="s">
        <v>307</v>
      </c>
      <c r="M146" t="s">
        <v>849</v>
      </c>
      <c r="N146" t="s">
        <v>56</v>
      </c>
      <c r="O146" t="s">
        <v>36</v>
      </c>
      <c r="P146" t="s">
        <v>84</v>
      </c>
      <c r="Q146" t="s">
        <v>84</v>
      </c>
      <c r="V146" t="s">
        <v>49</v>
      </c>
      <c r="W146" t="s">
        <v>84</v>
      </c>
      <c r="X146" t="s">
        <v>1105</v>
      </c>
      <c r="Y146" t="s">
        <v>1291</v>
      </c>
      <c r="Z146" t="s">
        <v>84</v>
      </c>
      <c r="AA146" t="s">
        <v>84</v>
      </c>
      <c r="AB146" t="s">
        <v>36</v>
      </c>
      <c r="AC146" t="s">
        <v>1340</v>
      </c>
      <c r="AD146" t="s">
        <v>36</v>
      </c>
      <c r="AE146" t="s">
        <v>1340</v>
      </c>
      <c r="AF146" t="s">
        <v>86</v>
      </c>
      <c r="AG146" t="s">
        <v>269</v>
      </c>
      <c r="AH146" t="s">
        <v>183</v>
      </c>
      <c r="AI146" s="4">
        <f ca="1">data[[#This Row],[Expiry Date]]-TODAY()</f>
        <v>42</v>
      </c>
      <c r="AJ146" s="4">
        <f ca="1">data[[#This Row],[Maturity ( Days)]]/365</f>
        <v>0.11506849315068493</v>
      </c>
      <c r="AK146" s="4" t="str">
        <f>IF(data[[#This Row],[Option Type]]="put","p","c")</f>
        <v>p</v>
      </c>
      <c r="AL146" s="4">
        <f>(data[[#This Row],[Bid]]*data[[#This Row],[Bidsize]]+data[[#This Row],[Ask]]*data[[#This Row],[Asksize]])/(data[[#This Row],[Bidsize]]+data[[#This Row],[Asksize]])</f>
        <v>111.69999999999999</v>
      </c>
      <c r="AM146" s="4">
        <f>VALUE(data[[#This Row],[Strike]])</f>
        <v>3875</v>
      </c>
      <c r="AN146" s="5">
        <f ca="1">impliedVol(data[[#This Row],[OptType]],Details!$B$4,VALUE(data[[#This Row],[Strike]]),VALUE(data[[#This Row],[Cnt Price]]),Details!$B$6,data[[#This Row],[T]],Details!$B$7)</f>
        <v>0.26813646002635905</v>
      </c>
      <c r="AO146" s="7">
        <f t="array" aca="1" ref="AO146:AS146" ca="1">bsGreeks(data[[#This Row],[OptType]],Details!$B$4,VALUE(data[[#This Row],[Strike]]),Details!$B$6,data[[#This Row],[T]],AN146,Details!$B$7)</f>
        <v>-0.4155451310312841</v>
      </c>
      <c r="AP146" s="7">
        <f ca="1"/>
        <v>1.0896700346512832E-3</v>
      </c>
      <c r="AQ146" s="6">
        <f ca="1"/>
        <v>5.1988803624739433</v>
      </c>
      <c r="AR146" s="6">
        <f ca="1"/>
        <v>-161.16767979066577</v>
      </c>
      <c r="AS146" s="6">
        <f ca="1"/>
        <v>-200.77317162993137</v>
      </c>
      <c r="AU146" s="60">
        <f ca="1"/>
        <v>113.69774646568703</v>
      </c>
      <c r="AV146" s="61" t="str">
        <f ca="1"/>
        <v>p</v>
      </c>
      <c r="AW146" s="61">
        <f ca="1"/>
        <v>0.26813646002635905</v>
      </c>
      <c r="AX146" s="62">
        <f ca="1"/>
        <v>-0.4155451310312841</v>
      </c>
      <c r="AY146" s="62">
        <f ca="1"/>
        <v>1.0896700346512832E-3</v>
      </c>
      <c r="AZ146" s="62">
        <f ca="1"/>
        <v>5.1988803624739433</v>
      </c>
      <c r="BA146" s="60">
        <f ca="1"/>
        <v>-161.16767979066577</v>
      </c>
      <c r="BB146" s="60">
        <f ca="1"/>
        <v>-200.77317162993137</v>
      </c>
    </row>
    <row r="147" spans="1:54" x14ac:dyDescent="0.3">
      <c r="A147" t="s">
        <v>582</v>
      </c>
      <c r="B147" t="s">
        <v>583</v>
      </c>
      <c r="C147" t="s">
        <v>29</v>
      </c>
      <c r="D147" t="s">
        <v>116</v>
      </c>
      <c r="E147" t="s">
        <v>84</v>
      </c>
      <c r="F147" t="s">
        <v>265</v>
      </c>
      <c r="G147" t="s">
        <v>1302</v>
      </c>
      <c r="H147" t="s">
        <v>1540</v>
      </c>
      <c r="I147" t="s">
        <v>288</v>
      </c>
      <c r="J147" t="s">
        <v>83</v>
      </c>
      <c r="K147" t="s">
        <v>83</v>
      </c>
      <c r="L147" t="s">
        <v>307</v>
      </c>
      <c r="M147" t="s">
        <v>114</v>
      </c>
      <c r="N147" t="s">
        <v>56</v>
      </c>
      <c r="O147" t="s">
        <v>36</v>
      </c>
      <c r="P147" t="s">
        <v>84</v>
      </c>
      <c r="Q147" t="s">
        <v>84</v>
      </c>
      <c r="V147" t="s">
        <v>49</v>
      </c>
      <c r="W147" t="s">
        <v>84</v>
      </c>
      <c r="X147" t="s">
        <v>274</v>
      </c>
      <c r="Y147" t="s">
        <v>288</v>
      </c>
      <c r="Z147" t="s">
        <v>84</v>
      </c>
      <c r="AA147" t="s">
        <v>84</v>
      </c>
      <c r="AB147" t="s">
        <v>36</v>
      </c>
      <c r="AC147" t="s">
        <v>1340</v>
      </c>
      <c r="AD147" t="s">
        <v>36</v>
      </c>
      <c r="AE147" t="s">
        <v>1340</v>
      </c>
      <c r="AF147" t="s">
        <v>86</v>
      </c>
      <c r="AG147" t="s">
        <v>269</v>
      </c>
      <c r="AH147" t="s">
        <v>183</v>
      </c>
      <c r="AI147" s="4">
        <f ca="1">data[[#This Row],[Expiry Date]]-TODAY()</f>
        <v>42</v>
      </c>
      <c r="AJ147" s="4">
        <f ca="1">data[[#This Row],[Maturity ( Days)]]/365</f>
        <v>0.11506849315068493</v>
      </c>
      <c r="AK147" s="4" t="str">
        <f>IF(data[[#This Row],[Option Type]]="put","p","c")</f>
        <v>p</v>
      </c>
      <c r="AL147" s="4">
        <f>(data[[#This Row],[Bid]]*data[[#This Row],[Bidsize]]+data[[#This Row],[Ask]]*data[[#This Row],[Asksize]])/(data[[#This Row],[Bidsize]]+data[[#This Row],[Asksize]])</f>
        <v>113.5</v>
      </c>
      <c r="AM147" s="4">
        <f>VALUE(data[[#This Row],[Strike]])</f>
        <v>3880</v>
      </c>
      <c r="AN147" s="5">
        <f ca="1">impliedVol(data[[#This Row],[OptType]],Details!$B$4,VALUE(data[[#This Row],[Strike]]),VALUE(data[[#This Row],[Cnt Price]]),Details!$B$6,data[[#This Row],[T]],Details!$B$7)</f>
        <v>0.26728960449156614</v>
      </c>
      <c r="AO147" s="7">
        <f t="array" aca="1" ref="AO147:AS147" ca="1">bsGreeks(data[[#This Row],[OptType]],Details!$B$4,VALUE(data[[#This Row],[Strike]]),Details!$B$6,data[[#This Row],[T]],AN147,Details!$B$7)</f>
        <v>-0.42094769005795374</v>
      </c>
      <c r="AP147" s="7">
        <f ca="1"/>
        <v>1.0962478942674553E-3</v>
      </c>
      <c r="AQ147" s="6">
        <f ca="1"/>
        <v>5.2137449759327543</v>
      </c>
      <c r="AR147" s="6">
        <f ca="1"/>
        <v>-161.05336842822797</v>
      </c>
      <c r="AS147" s="6">
        <f ca="1"/>
        <v>-203.42347764304341</v>
      </c>
      <c r="AU147" s="60">
        <f ca="1"/>
        <v>115.52419690489705</v>
      </c>
      <c r="AV147" s="61" t="str">
        <f ca="1"/>
        <v>p</v>
      </c>
      <c r="AW147" s="61">
        <f ca="1"/>
        <v>0.26728960449156614</v>
      </c>
      <c r="AX147" s="62">
        <f ca="1"/>
        <v>-0.42094769005795374</v>
      </c>
      <c r="AY147" s="62">
        <f ca="1"/>
        <v>1.0962478942674553E-3</v>
      </c>
      <c r="AZ147" s="62">
        <f ca="1"/>
        <v>5.2137449759327543</v>
      </c>
      <c r="BA147" s="60">
        <f ca="1"/>
        <v>-161.05336842822797</v>
      </c>
      <c r="BB147" s="60">
        <f ca="1"/>
        <v>-203.42347764304341</v>
      </c>
    </row>
    <row r="148" spans="1:54" x14ac:dyDescent="0.3">
      <c r="A148" t="s">
        <v>416</v>
      </c>
      <c r="B148" t="s">
        <v>417</v>
      </c>
      <c r="C148" t="s">
        <v>29</v>
      </c>
      <c r="D148" t="s">
        <v>99</v>
      </c>
      <c r="E148" t="s">
        <v>84</v>
      </c>
      <c r="F148" t="s">
        <v>257</v>
      </c>
      <c r="G148" t="s">
        <v>1541</v>
      </c>
      <c r="H148" t="s">
        <v>1290</v>
      </c>
      <c r="I148" t="s">
        <v>749</v>
      </c>
      <c r="J148" t="s">
        <v>114</v>
      </c>
      <c r="K148" t="s">
        <v>114</v>
      </c>
      <c r="L148" t="s">
        <v>307</v>
      </c>
      <c r="M148" t="s">
        <v>101</v>
      </c>
      <c r="N148" t="s">
        <v>56</v>
      </c>
      <c r="O148" t="s">
        <v>36</v>
      </c>
      <c r="P148" t="s">
        <v>84</v>
      </c>
      <c r="Q148" t="s">
        <v>84</v>
      </c>
      <c r="V148" t="s">
        <v>49</v>
      </c>
      <c r="W148" t="s">
        <v>84</v>
      </c>
      <c r="X148" t="s">
        <v>1243</v>
      </c>
      <c r="Y148" t="s">
        <v>749</v>
      </c>
      <c r="Z148" t="s">
        <v>84</v>
      </c>
      <c r="AA148" t="s">
        <v>84</v>
      </c>
      <c r="AB148" t="s">
        <v>36</v>
      </c>
      <c r="AC148" t="s">
        <v>1340</v>
      </c>
      <c r="AD148" t="s">
        <v>36</v>
      </c>
      <c r="AE148" t="s">
        <v>1340</v>
      </c>
      <c r="AF148" t="s">
        <v>86</v>
      </c>
      <c r="AG148" t="s">
        <v>269</v>
      </c>
      <c r="AH148" t="s">
        <v>183</v>
      </c>
      <c r="AI148" s="4">
        <f ca="1">data[[#This Row],[Expiry Date]]-TODAY()</f>
        <v>42</v>
      </c>
      <c r="AJ148" s="4">
        <f ca="1">data[[#This Row],[Maturity ( Days)]]/365</f>
        <v>0.11506849315068493</v>
      </c>
      <c r="AK148" s="4" t="str">
        <f>IF(data[[#This Row],[Option Type]]="put","p","c")</f>
        <v>p</v>
      </c>
      <c r="AL148" s="4">
        <f>(data[[#This Row],[Bid]]*data[[#This Row],[Bidsize]]+data[[#This Row],[Ask]]*data[[#This Row],[Asksize]])/(data[[#This Row],[Bidsize]]+data[[#This Row],[Asksize]])</f>
        <v>117.1</v>
      </c>
      <c r="AM148" s="4">
        <f>VALUE(data[[#This Row],[Strike]])</f>
        <v>3890</v>
      </c>
      <c r="AN148" s="5">
        <f ca="1">impliedVol(data[[#This Row],[OptType]],Details!$B$4,VALUE(data[[#This Row],[Strike]]),VALUE(data[[#This Row],[Cnt Price]]),Details!$B$6,data[[#This Row],[T]],Details!$B$7)</f>
        <v>0.26544935193307378</v>
      </c>
      <c r="AO148" s="7">
        <f t="array" aca="1" ref="AO148:AS148" ca="1">bsGreeks(data[[#This Row],[OptType]],Details!$B$4,VALUE(data[[#This Row],[Strike]]),Details!$B$6,data[[#This Row],[T]],AN148,Details!$B$7)</f>
        <v>-0.43186014098826075</v>
      </c>
      <c r="AP148" s="7">
        <f ca="1"/>
        <v>1.1095626001578669E-3</v>
      </c>
      <c r="AQ148" s="6">
        <f ca="1"/>
        <v>5.2407376894311417</v>
      </c>
      <c r="AR148" s="6">
        <f ca="1"/>
        <v>-160.63664567419644</v>
      </c>
      <c r="AS148" s="6">
        <f ca="1"/>
        <v>-208.77262845131094</v>
      </c>
      <c r="AU148" s="60">
        <f ca="1"/>
        <v>119.17758178705799</v>
      </c>
      <c r="AV148" s="61" t="str">
        <f ca="1"/>
        <v>p</v>
      </c>
      <c r="AW148" s="61">
        <f ca="1"/>
        <v>0.26544935193307378</v>
      </c>
      <c r="AX148" s="62">
        <f ca="1"/>
        <v>-0.43186014098826075</v>
      </c>
      <c r="AY148" s="62">
        <f ca="1"/>
        <v>1.1095626001578669E-3</v>
      </c>
      <c r="AZ148" s="62">
        <f ca="1"/>
        <v>5.2407376894311417</v>
      </c>
      <c r="BA148" s="60">
        <f ca="1"/>
        <v>-160.63664567419644</v>
      </c>
      <c r="BB148" s="60">
        <f ca="1"/>
        <v>-208.77262845131094</v>
      </c>
    </row>
    <row r="149" spans="1:54" x14ac:dyDescent="0.3">
      <c r="A149" t="s">
        <v>584</v>
      </c>
      <c r="B149" t="s">
        <v>585</v>
      </c>
      <c r="C149" t="s">
        <v>29</v>
      </c>
      <c r="D149" t="s">
        <v>116</v>
      </c>
      <c r="E149" t="s">
        <v>84</v>
      </c>
      <c r="F149" t="s">
        <v>112</v>
      </c>
      <c r="G149" t="s">
        <v>1083</v>
      </c>
      <c r="H149" t="s">
        <v>1090</v>
      </c>
      <c r="I149" t="s">
        <v>1292</v>
      </c>
      <c r="J149" t="s">
        <v>114</v>
      </c>
      <c r="K149" t="s">
        <v>114</v>
      </c>
      <c r="L149" t="s">
        <v>307</v>
      </c>
      <c r="M149" t="s">
        <v>104</v>
      </c>
      <c r="N149" t="s">
        <v>56</v>
      </c>
      <c r="O149" t="s">
        <v>36</v>
      </c>
      <c r="P149" t="s">
        <v>84</v>
      </c>
      <c r="Q149" t="s">
        <v>84</v>
      </c>
      <c r="V149" t="s">
        <v>49</v>
      </c>
      <c r="W149" t="s">
        <v>84</v>
      </c>
      <c r="X149" t="s">
        <v>1105</v>
      </c>
      <c r="Y149" t="s">
        <v>1292</v>
      </c>
      <c r="Z149" t="s">
        <v>84</v>
      </c>
      <c r="AA149" t="s">
        <v>84</v>
      </c>
      <c r="AB149" t="s">
        <v>36</v>
      </c>
      <c r="AC149" t="s">
        <v>1340</v>
      </c>
      <c r="AD149" t="s">
        <v>36</v>
      </c>
      <c r="AE149" t="s">
        <v>1340</v>
      </c>
      <c r="AF149" t="s">
        <v>86</v>
      </c>
      <c r="AG149" t="s">
        <v>269</v>
      </c>
      <c r="AH149" t="s">
        <v>183</v>
      </c>
      <c r="AI149" s="4">
        <f ca="1">data[[#This Row],[Expiry Date]]-TODAY()</f>
        <v>42</v>
      </c>
      <c r="AJ149" s="4">
        <f ca="1">data[[#This Row],[Maturity ( Days)]]/365</f>
        <v>0.11506849315068493</v>
      </c>
      <c r="AK149" s="4" t="str">
        <f>IF(data[[#This Row],[Option Type]]="put","p","c")</f>
        <v>p</v>
      </c>
      <c r="AL149" s="4">
        <f>(data[[#This Row],[Bid]]*data[[#This Row],[Bidsize]]+data[[#This Row],[Ask]]*data[[#This Row],[Asksize]])/(data[[#This Row],[Bidsize]]+data[[#This Row],[Asksize]])</f>
        <v>120.80000000000001</v>
      </c>
      <c r="AM149" s="4">
        <f>VALUE(data[[#This Row],[Strike]])</f>
        <v>3900</v>
      </c>
      <c r="AN149" s="5">
        <f ca="1">impliedVol(data[[#This Row],[OptType]],Details!$B$4,VALUE(data[[#This Row],[Strike]]),VALUE(data[[#This Row],[Cnt Price]]),Details!$B$6,data[[#This Row],[T]],Details!$B$7)</f>
        <v>0.2636031794670845</v>
      </c>
      <c r="AO149" s="7">
        <f t="array" aca="1" ref="AO149:AS149" ca="1">bsGreeks(data[[#This Row],[OptType]],Details!$B$4,VALUE(data[[#This Row],[Strike]]),Details!$B$6,data[[#This Row],[T]],AN149,Details!$B$7)</f>
        <v>-0.44294687588399884</v>
      </c>
      <c r="AP149" s="7">
        <f ca="1"/>
        <v>1.1222985667140493E-3</v>
      </c>
      <c r="AQ149" s="6">
        <f ca="1"/>
        <v>5.2640256444099744</v>
      </c>
      <c r="AR149" s="6">
        <f ca="1"/>
        <v>-160.08597018726624</v>
      </c>
      <c r="AS149" s="6">
        <f ca="1"/>
        <v>-214.21210293856572</v>
      </c>
      <c r="AU149" s="60">
        <f ca="1"/>
        <v>122.93187628069245</v>
      </c>
      <c r="AV149" s="61" t="str">
        <f ca="1"/>
        <v>p</v>
      </c>
      <c r="AW149" s="61">
        <f ca="1"/>
        <v>0.2636031794670845</v>
      </c>
      <c r="AX149" s="62">
        <f ca="1"/>
        <v>-0.44294687588399884</v>
      </c>
      <c r="AY149" s="62">
        <f ca="1"/>
        <v>1.1222985667140493E-3</v>
      </c>
      <c r="AZ149" s="62">
        <f ca="1"/>
        <v>5.2640256444099744</v>
      </c>
      <c r="BA149" s="60">
        <f ca="1"/>
        <v>-160.08597018726624</v>
      </c>
      <c r="BB149" s="60">
        <f ca="1"/>
        <v>-214.21210293856572</v>
      </c>
    </row>
    <row r="150" spans="1:54" x14ac:dyDescent="0.3">
      <c r="A150" t="s">
        <v>422</v>
      </c>
      <c r="B150" t="s">
        <v>423</v>
      </c>
      <c r="C150" t="s">
        <v>29</v>
      </c>
      <c r="D150" t="s">
        <v>98</v>
      </c>
      <c r="E150" t="s">
        <v>84</v>
      </c>
      <c r="F150" t="s">
        <v>185</v>
      </c>
      <c r="G150" t="s">
        <v>1404</v>
      </c>
      <c r="H150" t="s">
        <v>1384</v>
      </c>
      <c r="I150" t="s">
        <v>1293</v>
      </c>
      <c r="J150" t="s">
        <v>114</v>
      </c>
      <c r="K150" t="s">
        <v>114</v>
      </c>
      <c r="L150" t="s">
        <v>307</v>
      </c>
      <c r="M150" t="s">
        <v>101</v>
      </c>
      <c r="N150" t="s">
        <v>56</v>
      </c>
      <c r="O150" t="s">
        <v>36</v>
      </c>
      <c r="P150" t="s">
        <v>84</v>
      </c>
      <c r="Q150" t="s">
        <v>84</v>
      </c>
      <c r="V150" t="s">
        <v>49</v>
      </c>
      <c r="W150" t="s">
        <v>84</v>
      </c>
      <c r="X150" t="s">
        <v>1243</v>
      </c>
      <c r="Y150" t="s">
        <v>1293</v>
      </c>
      <c r="Z150" t="s">
        <v>84</v>
      </c>
      <c r="AA150" t="s">
        <v>84</v>
      </c>
      <c r="AB150" t="s">
        <v>36</v>
      </c>
      <c r="AC150" t="s">
        <v>1340</v>
      </c>
      <c r="AD150" t="s">
        <v>36</v>
      </c>
      <c r="AE150" t="s">
        <v>1340</v>
      </c>
      <c r="AF150" t="s">
        <v>86</v>
      </c>
      <c r="AG150" t="s">
        <v>269</v>
      </c>
      <c r="AH150" t="s">
        <v>183</v>
      </c>
      <c r="AI150" s="4">
        <f ca="1">data[[#This Row],[Expiry Date]]-TODAY()</f>
        <v>42</v>
      </c>
      <c r="AJ150" s="4">
        <f ca="1">data[[#This Row],[Maturity ( Days)]]/365</f>
        <v>0.11506849315068493</v>
      </c>
      <c r="AK150" s="4" t="str">
        <f>IF(data[[#This Row],[Option Type]]="put","p","c")</f>
        <v>p</v>
      </c>
      <c r="AL150" s="4">
        <f>(data[[#This Row],[Bid]]*data[[#This Row],[Bidsize]]+data[[#This Row],[Ask]]*data[[#This Row],[Asksize]])/(data[[#This Row],[Bidsize]]+data[[#This Row],[Asksize]])</f>
        <v>124.5</v>
      </c>
      <c r="AM150" s="4">
        <f>VALUE(data[[#This Row],[Strike]])</f>
        <v>3910</v>
      </c>
      <c r="AN150" s="5">
        <f ca="1">impliedVol(data[[#This Row],[OptType]],Details!$B$4,VALUE(data[[#This Row],[Strike]]),VALUE(data[[#This Row],[Cnt Price]]),Details!$B$6,data[[#This Row],[T]],Details!$B$7)</f>
        <v>0.26155748377181576</v>
      </c>
      <c r="AO150" s="7">
        <f t="array" aca="1" ref="AO150:AS150" ca="1">bsGreeks(data[[#This Row],[OptType]],Details!$B$4,VALUE(data[[#This Row],[Strike]]),Details!$B$6,data[[#This Row],[T]],AN150,Details!$B$7)</f>
        <v>-0.45419672485371709</v>
      </c>
      <c r="AP150" s="7">
        <f ca="1"/>
        <v>1.1352422506616623E-3</v>
      </c>
      <c r="AQ150" s="6">
        <f ca="1"/>
        <v>5.2834139747183784</v>
      </c>
      <c r="AR150" s="6">
        <f ca="1"/>
        <v>-159.27628577642861</v>
      </c>
      <c r="AS150" s="6">
        <f ca="1"/>
        <v>-219.72534198851909</v>
      </c>
      <c r="AU150" s="60">
        <f ca="1"/>
        <v>126.68690666048087</v>
      </c>
      <c r="AV150" s="61" t="str">
        <f ca="1"/>
        <v>p</v>
      </c>
      <c r="AW150" s="61">
        <f ca="1"/>
        <v>0.26155748377181576</v>
      </c>
      <c r="AX150" s="62">
        <f ca="1"/>
        <v>-0.45419672485371709</v>
      </c>
      <c r="AY150" s="62">
        <f ca="1"/>
        <v>1.1352422506616623E-3</v>
      </c>
      <c r="AZ150" s="62">
        <f ca="1"/>
        <v>5.2834139747183784</v>
      </c>
      <c r="BA150" s="60">
        <f ca="1"/>
        <v>-159.27628577642861</v>
      </c>
      <c r="BB150" s="60">
        <f ca="1"/>
        <v>-219.72534198851909</v>
      </c>
    </row>
    <row r="151" spans="1:54" x14ac:dyDescent="0.3">
      <c r="A151" t="s">
        <v>587</v>
      </c>
      <c r="B151" t="s">
        <v>588</v>
      </c>
      <c r="C151" t="s">
        <v>29</v>
      </c>
      <c r="D151" t="s">
        <v>100</v>
      </c>
      <c r="E151" t="s">
        <v>84</v>
      </c>
      <c r="F151" t="s">
        <v>186</v>
      </c>
      <c r="G151" t="s">
        <v>1300</v>
      </c>
      <c r="H151" t="s">
        <v>874</v>
      </c>
      <c r="I151" t="s">
        <v>1235</v>
      </c>
      <c r="J151" t="s">
        <v>114</v>
      </c>
      <c r="K151" t="s">
        <v>114</v>
      </c>
      <c r="L151" t="s">
        <v>307</v>
      </c>
      <c r="M151" t="s">
        <v>834</v>
      </c>
      <c r="N151" t="s">
        <v>56</v>
      </c>
      <c r="O151" t="s">
        <v>36</v>
      </c>
      <c r="P151" t="s">
        <v>84</v>
      </c>
      <c r="Q151" t="s">
        <v>84</v>
      </c>
      <c r="V151" t="s">
        <v>49</v>
      </c>
      <c r="W151" t="s">
        <v>84</v>
      </c>
      <c r="X151" t="s">
        <v>1105</v>
      </c>
      <c r="Y151" t="s">
        <v>1235</v>
      </c>
      <c r="Z151" t="s">
        <v>84</v>
      </c>
      <c r="AA151" t="s">
        <v>84</v>
      </c>
      <c r="AB151" t="s">
        <v>36</v>
      </c>
      <c r="AC151" t="s">
        <v>1340</v>
      </c>
      <c r="AD151" t="s">
        <v>36</v>
      </c>
      <c r="AE151" t="s">
        <v>1340</v>
      </c>
      <c r="AF151" t="s">
        <v>86</v>
      </c>
      <c r="AG151" t="s">
        <v>269</v>
      </c>
      <c r="AH151" t="s">
        <v>183</v>
      </c>
      <c r="AI151" s="4">
        <f ca="1">data[[#This Row],[Expiry Date]]-TODAY()</f>
        <v>42</v>
      </c>
      <c r="AJ151" s="4">
        <f ca="1">data[[#This Row],[Maturity ( Days)]]/365</f>
        <v>0.11506849315068493</v>
      </c>
      <c r="AK151" s="4" t="str">
        <f>IF(data[[#This Row],[Option Type]]="put","p","c")</f>
        <v>p</v>
      </c>
      <c r="AL151" s="4">
        <f>(data[[#This Row],[Bid]]*data[[#This Row],[Bidsize]]+data[[#This Row],[Ask]]*data[[#This Row],[Asksize]])/(data[[#This Row],[Bidsize]]+data[[#This Row],[Asksize]])</f>
        <v>128.4</v>
      </c>
      <c r="AM151" s="4">
        <f>VALUE(data[[#This Row],[Strike]])</f>
        <v>3920</v>
      </c>
      <c r="AN151" s="5">
        <f ca="1">impliedVol(data[[#This Row],[OptType]],Details!$B$4,VALUE(data[[#This Row],[Strike]]),VALUE(data[[#This Row],[Cnt Price]]),Details!$B$6,data[[#This Row],[T]],Details!$B$7)</f>
        <v>0.25968804060796263</v>
      </c>
      <c r="AO151" s="7">
        <f t="array" aca="1" ref="AO151:AS151" ca="1">bsGreeks(data[[#This Row],[OptType]],Details!$B$4,VALUE(data[[#This Row],[Strike]]),Details!$B$6,data[[#This Row],[T]],AN151,Details!$B$7)</f>
        <v>-0.46562943898109233</v>
      </c>
      <c r="AP151" s="7">
        <f ca="1"/>
        <v>1.1467347924171061E-3</v>
      </c>
      <c r="AQ151" s="6">
        <f ca="1"/>
        <v>5.2987555294122259</v>
      </c>
      <c r="AR151" s="6">
        <f ca="1"/>
        <v>-158.44079673073304</v>
      </c>
      <c r="AS151" s="6">
        <f ca="1"/>
        <v>-225.34429325120718</v>
      </c>
      <c r="AU151" s="60">
        <f ca="1"/>
        <v>130.64300953984548</v>
      </c>
      <c r="AV151" s="61" t="str">
        <f ca="1"/>
        <v>p</v>
      </c>
      <c r="AW151" s="61">
        <f ca="1"/>
        <v>0.25968804060796263</v>
      </c>
      <c r="AX151" s="62">
        <f ca="1"/>
        <v>-0.46562943898109233</v>
      </c>
      <c r="AY151" s="62">
        <f ca="1"/>
        <v>1.1467347924171061E-3</v>
      </c>
      <c r="AZ151" s="62">
        <f ca="1"/>
        <v>5.2987555294122259</v>
      </c>
      <c r="BA151" s="60">
        <f ca="1"/>
        <v>-158.44079673073304</v>
      </c>
      <c r="BB151" s="60">
        <f ca="1"/>
        <v>-225.34429325120718</v>
      </c>
    </row>
    <row r="152" spans="1:54" x14ac:dyDescent="0.3">
      <c r="A152" t="s">
        <v>590</v>
      </c>
      <c r="B152" t="s">
        <v>591</v>
      </c>
      <c r="C152" t="s">
        <v>57</v>
      </c>
      <c r="D152" t="s">
        <v>85</v>
      </c>
      <c r="E152" t="s">
        <v>84</v>
      </c>
      <c r="F152" t="s">
        <v>135</v>
      </c>
      <c r="G152" t="s">
        <v>1542</v>
      </c>
      <c r="H152" t="s">
        <v>1267</v>
      </c>
      <c r="I152" t="s">
        <v>592</v>
      </c>
      <c r="J152" t="s">
        <v>100</v>
      </c>
      <c r="K152" t="s">
        <v>100</v>
      </c>
      <c r="L152" t="s">
        <v>307</v>
      </c>
      <c r="M152" t="s">
        <v>85</v>
      </c>
      <c r="N152" t="s">
        <v>56</v>
      </c>
      <c r="O152" t="s">
        <v>36</v>
      </c>
      <c r="P152" t="s">
        <v>84</v>
      </c>
      <c r="Q152" t="s">
        <v>84</v>
      </c>
      <c r="V152" t="s">
        <v>49</v>
      </c>
      <c r="W152" t="s">
        <v>84</v>
      </c>
      <c r="X152" t="s">
        <v>220</v>
      </c>
      <c r="Y152" t="s">
        <v>592</v>
      </c>
      <c r="Z152" t="s">
        <v>84</v>
      </c>
      <c r="AA152" t="s">
        <v>84</v>
      </c>
      <c r="AB152" t="s">
        <v>36</v>
      </c>
      <c r="AC152" t="s">
        <v>1340</v>
      </c>
      <c r="AD152" t="s">
        <v>36</v>
      </c>
      <c r="AE152" t="s">
        <v>1340</v>
      </c>
      <c r="AF152" t="s">
        <v>86</v>
      </c>
      <c r="AG152" t="s">
        <v>269</v>
      </c>
      <c r="AH152" t="s">
        <v>183</v>
      </c>
      <c r="AI152" s="4">
        <f ca="1">data[[#This Row],[Expiry Date]]-TODAY()</f>
        <v>42</v>
      </c>
      <c r="AJ152" s="4">
        <f ca="1">data[[#This Row],[Maturity ( Days)]]/365</f>
        <v>0.11506849315068493</v>
      </c>
      <c r="AK152" s="4" t="str">
        <f>IF(data[[#This Row],[Option Type]]="put","p","c")</f>
        <v>c</v>
      </c>
      <c r="AL152" s="4">
        <f>(data[[#This Row],[Bid]]*data[[#This Row],[Bidsize]]+data[[#This Row],[Ask]]*data[[#This Row],[Asksize]])/(data[[#This Row],[Bidsize]]+data[[#This Row],[Asksize]])</f>
        <v>176.35</v>
      </c>
      <c r="AM152" s="4">
        <f>VALUE(data[[#This Row],[Strike]])</f>
        <v>3925</v>
      </c>
      <c r="AN152" s="5">
        <f ca="1">impliedVol(data[[#This Row],[OptType]],Details!$B$4,VALUE(data[[#This Row],[Strike]]),VALUE(data[[#This Row],[Cnt Price]]),Details!$B$6,data[[#This Row],[T]],Details!$B$7)</f>
        <v>0.31887183260589236</v>
      </c>
      <c r="AO152" s="7">
        <f t="array" aca="1" ref="AO152:AS152" ca="1">bsGreeks(data[[#This Row],[OptType]],Details!$B$4,VALUE(data[[#This Row],[Strike]]),Details!$B$6,data[[#This Row],[T]],AN152,Details!$B$7)</f>
        <v>0.5305606361424926</v>
      </c>
      <c r="AP152" s="7">
        <f ca="1"/>
        <v>9.3462588853485812E-4</v>
      </c>
      <c r="AQ152" s="6">
        <f ca="1"/>
        <v>5.3028935365248966</v>
      </c>
      <c r="AR152" s="6">
        <f ca="1"/>
        <v>-206.53840801512993</v>
      </c>
      <c r="AS152" s="6">
        <f ca="1"/>
        <v>219.64335034571806</v>
      </c>
      <c r="AU152" s="60">
        <f ca="1"/>
        <v>174.14274062523236</v>
      </c>
      <c r="AV152" s="61" t="str">
        <f ca="1"/>
        <v>c</v>
      </c>
      <c r="AW152" s="61">
        <f ca="1"/>
        <v>0.31887183260589236</v>
      </c>
      <c r="AX152" s="62">
        <f ca="1"/>
        <v>0.5305606361424926</v>
      </c>
      <c r="AY152" s="62">
        <f ca="1"/>
        <v>9.3462588853485812E-4</v>
      </c>
      <c r="AZ152" s="62">
        <f ca="1"/>
        <v>5.3028935365248966</v>
      </c>
      <c r="BA152" s="60">
        <f ca="1"/>
        <v>-206.53840801512993</v>
      </c>
      <c r="BB152" s="60">
        <f ca="1"/>
        <v>219.64335034571806</v>
      </c>
    </row>
    <row r="153" spans="1:54" x14ac:dyDescent="0.3">
      <c r="A153" t="s">
        <v>426</v>
      </c>
      <c r="B153" t="s">
        <v>427</v>
      </c>
      <c r="C153" t="s">
        <v>29</v>
      </c>
      <c r="D153" t="s">
        <v>85</v>
      </c>
      <c r="E153" t="s">
        <v>84</v>
      </c>
      <c r="F153" t="s">
        <v>135</v>
      </c>
      <c r="G153" t="s">
        <v>1085</v>
      </c>
      <c r="H153" t="s">
        <v>975</v>
      </c>
      <c r="I153" t="s">
        <v>1051</v>
      </c>
      <c r="J153" t="s">
        <v>116</v>
      </c>
      <c r="K153" t="s">
        <v>116</v>
      </c>
      <c r="L153" t="s">
        <v>307</v>
      </c>
      <c r="M153" t="s">
        <v>111</v>
      </c>
      <c r="N153" t="s">
        <v>56</v>
      </c>
      <c r="O153" t="s">
        <v>36</v>
      </c>
      <c r="P153" t="s">
        <v>84</v>
      </c>
      <c r="Q153" t="s">
        <v>84</v>
      </c>
      <c r="V153" t="s">
        <v>49</v>
      </c>
      <c r="W153" t="s">
        <v>84</v>
      </c>
      <c r="X153" t="s">
        <v>1156</v>
      </c>
      <c r="Y153" t="s">
        <v>1051</v>
      </c>
      <c r="Z153" t="s">
        <v>84</v>
      </c>
      <c r="AA153" t="s">
        <v>84</v>
      </c>
      <c r="AB153" t="s">
        <v>36</v>
      </c>
      <c r="AC153" t="s">
        <v>1340</v>
      </c>
      <c r="AD153" t="s">
        <v>36</v>
      </c>
      <c r="AE153" t="s">
        <v>1340</v>
      </c>
      <c r="AF153" t="s">
        <v>86</v>
      </c>
      <c r="AG153" t="s">
        <v>269</v>
      </c>
      <c r="AH153" t="s">
        <v>183</v>
      </c>
      <c r="AI153" s="4">
        <f ca="1">data[[#This Row],[Expiry Date]]-TODAY()</f>
        <v>42</v>
      </c>
      <c r="AJ153" s="4">
        <f ca="1">data[[#This Row],[Maturity ( Days)]]/365</f>
        <v>0.11506849315068493</v>
      </c>
      <c r="AK153" s="4" t="str">
        <f>IF(data[[#This Row],[Option Type]]="put","p","c")</f>
        <v>p</v>
      </c>
      <c r="AL153" s="4">
        <f>(data[[#This Row],[Bid]]*data[[#This Row],[Bidsize]]+data[[#This Row],[Ask]]*data[[#This Row],[Asksize]])/(data[[#This Row],[Bidsize]]+data[[#This Row],[Asksize]])</f>
        <v>130.4</v>
      </c>
      <c r="AM153" s="4">
        <f>VALUE(data[[#This Row],[Strike]])</f>
        <v>3925</v>
      </c>
      <c r="AN153" s="5">
        <f ca="1">impliedVol(data[[#This Row],[OptType]],Details!$B$4,VALUE(data[[#This Row],[Strike]]),VALUE(data[[#This Row],[Cnt Price]]),Details!$B$6,data[[#This Row],[T]],Details!$B$7)</f>
        <v>0.25877038819077525</v>
      </c>
      <c r="AO153" s="7">
        <f t="array" aca="1" ref="AO153:AS153" ca="1">bsGreeks(data[[#This Row],[OptType]],Details!$B$4,VALUE(data[[#This Row],[Strike]]),Details!$B$6,data[[#This Row],[T]],AN153,Details!$B$7)</f>
        <v>-0.47140697907877827</v>
      </c>
      <c r="AP153" s="7">
        <f ca="1"/>
        <v>1.1521228062947777E-3</v>
      </c>
      <c r="AQ153" s="6">
        <f ca="1"/>
        <v>5.3048400624360008</v>
      </c>
      <c r="AR153" s="6">
        <f ca="1"/>
        <v>-157.98161183602005</v>
      </c>
      <c r="AS153" s="6">
        <f ca="1"/>
        <v>-228.18719143058564</v>
      </c>
      <c r="AU153" s="60">
        <f ca="1"/>
        <v>132.6713990370381</v>
      </c>
      <c r="AV153" s="61" t="str">
        <f ca="1"/>
        <v>p</v>
      </c>
      <c r="AW153" s="61">
        <f ca="1"/>
        <v>0.25877038819077525</v>
      </c>
      <c r="AX153" s="62">
        <f ca="1"/>
        <v>-0.47140697907877827</v>
      </c>
      <c r="AY153" s="62">
        <f ca="1"/>
        <v>1.1521228062947777E-3</v>
      </c>
      <c r="AZ153" s="62">
        <f ca="1"/>
        <v>5.3048400624360008</v>
      </c>
      <c r="BA153" s="60">
        <f ca="1"/>
        <v>-157.98161183602005</v>
      </c>
      <c r="BB153" s="60">
        <f ca="1"/>
        <v>-228.18719143058564</v>
      </c>
    </row>
    <row r="154" spans="1:54" x14ac:dyDescent="0.3">
      <c r="A154" t="s">
        <v>593</v>
      </c>
      <c r="B154" t="s">
        <v>594</v>
      </c>
      <c r="C154" t="s">
        <v>29</v>
      </c>
      <c r="D154" t="s">
        <v>100</v>
      </c>
      <c r="E154" t="s">
        <v>84</v>
      </c>
      <c r="F154" t="s">
        <v>184</v>
      </c>
      <c r="G154" t="s">
        <v>283</v>
      </c>
      <c r="H154" t="s">
        <v>1263</v>
      </c>
      <c r="I154" t="s">
        <v>1294</v>
      </c>
      <c r="J154" t="s">
        <v>116</v>
      </c>
      <c r="K154" t="s">
        <v>116</v>
      </c>
      <c r="L154" t="s">
        <v>307</v>
      </c>
      <c r="M154" t="s">
        <v>123</v>
      </c>
      <c r="N154" t="s">
        <v>56</v>
      </c>
      <c r="O154" t="s">
        <v>36</v>
      </c>
      <c r="P154" t="s">
        <v>84</v>
      </c>
      <c r="Q154" t="s">
        <v>84</v>
      </c>
      <c r="V154" t="s">
        <v>49</v>
      </c>
      <c r="W154" t="s">
        <v>84</v>
      </c>
      <c r="X154" t="s">
        <v>1243</v>
      </c>
      <c r="Y154" t="s">
        <v>1294</v>
      </c>
      <c r="Z154" t="s">
        <v>84</v>
      </c>
      <c r="AA154" t="s">
        <v>84</v>
      </c>
      <c r="AB154" t="s">
        <v>36</v>
      </c>
      <c r="AC154" t="s">
        <v>1340</v>
      </c>
      <c r="AD154" t="s">
        <v>36</v>
      </c>
      <c r="AE154" t="s">
        <v>1340</v>
      </c>
      <c r="AF154" t="s">
        <v>86</v>
      </c>
      <c r="AG154" t="s">
        <v>269</v>
      </c>
      <c r="AH154" t="s">
        <v>183</v>
      </c>
      <c r="AI154" s="4">
        <f ca="1">data[[#This Row],[Expiry Date]]-TODAY()</f>
        <v>42</v>
      </c>
      <c r="AJ154" s="4">
        <f ca="1">data[[#This Row],[Maturity ( Days)]]/365</f>
        <v>0.11506849315068493</v>
      </c>
      <c r="AK154" s="4" t="str">
        <f>IF(data[[#This Row],[Option Type]]="put","p","c")</f>
        <v>p</v>
      </c>
      <c r="AL154" s="4">
        <f>(data[[#This Row],[Bid]]*data[[#This Row],[Bidsize]]+data[[#This Row],[Ask]]*data[[#This Row],[Asksize]])/(data[[#This Row],[Bidsize]]+data[[#This Row],[Asksize]])</f>
        <v>132.4</v>
      </c>
      <c r="AM154" s="4">
        <f>VALUE(data[[#This Row],[Strike]])</f>
        <v>3930</v>
      </c>
      <c r="AN154" s="5">
        <f ca="1">impliedVol(data[[#This Row],[OptType]],Details!$B$4,VALUE(data[[#This Row],[Strike]]),VALUE(data[[#This Row],[Cnt Price]]),Details!$B$6,data[[#This Row],[T]],Details!$B$7)</f>
        <v>0.25780055644352201</v>
      </c>
      <c r="AO154" s="7">
        <f t="array" aca="1" ref="AO154:AS154" ca="1">bsGreeks(data[[#This Row],[OptType]],Details!$B$4,VALUE(data[[#This Row],[Strike]]),Details!$B$6,data[[#This Row],[T]],AN154,Details!$B$7)</f>
        <v>-0.47722634202498448</v>
      </c>
      <c r="AP154" s="7">
        <f ca="1"/>
        <v>1.1575466068351596E-3</v>
      </c>
      <c r="AQ154" s="6">
        <f ca="1"/>
        <v>5.3098381132714856</v>
      </c>
      <c r="AR154" s="6">
        <f ca="1"/>
        <v>-157.45431143949426</v>
      </c>
      <c r="AS154" s="6">
        <f ca="1"/>
        <v>-231.04900304516113</v>
      </c>
      <c r="AU154" s="60">
        <f ca="1"/>
        <v>134.69997739518931</v>
      </c>
      <c r="AV154" s="61" t="str">
        <f ca="1"/>
        <v>p</v>
      </c>
      <c r="AW154" s="61">
        <f ca="1"/>
        <v>0.25780055644352201</v>
      </c>
      <c r="AX154" s="62">
        <f ca="1"/>
        <v>-0.47722634202498448</v>
      </c>
      <c r="AY154" s="62">
        <f ca="1"/>
        <v>1.1575466068351596E-3</v>
      </c>
      <c r="AZ154" s="62">
        <f ca="1"/>
        <v>5.3098381132714856</v>
      </c>
      <c r="BA154" s="60">
        <f ca="1"/>
        <v>-157.45431143949426</v>
      </c>
      <c r="BB154" s="60">
        <f ca="1"/>
        <v>-231.04900304516113</v>
      </c>
    </row>
    <row r="155" spans="1:54" x14ac:dyDescent="0.3">
      <c r="A155" t="s">
        <v>431</v>
      </c>
      <c r="B155" t="s">
        <v>432</v>
      </c>
      <c r="C155" t="s">
        <v>29</v>
      </c>
      <c r="D155" t="s">
        <v>117</v>
      </c>
      <c r="E155" t="s">
        <v>84</v>
      </c>
      <c r="F155" t="s">
        <v>187</v>
      </c>
      <c r="G155" t="s">
        <v>896</v>
      </c>
      <c r="H155" t="s">
        <v>1543</v>
      </c>
      <c r="I155" t="s">
        <v>1295</v>
      </c>
      <c r="J155" t="s">
        <v>116</v>
      </c>
      <c r="K155" t="s">
        <v>106</v>
      </c>
      <c r="L155" t="s">
        <v>307</v>
      </c>
      <c r="M155" t="s">
        <v>83</v>
      </c>
      <c r="N155" t="s">
        <v>56</v>
      </c>
      <c r="O155" t="s">
        <v>36</v>
      </c>
      <c r="P155" t="s">
        <v>84</v>
      </c>
      <c r="Q155" t="s">
        <v>84</v>
      </c>
      <c r="V155" t="s">
        <v>49</v>
      </c>
      <c r="W155" t="s">
        <v>84</v>
      </c>
      <c r="X155" t="s">
        <v>1105</v>
      </c>
      <c r="Y155" t="s">
        <v>1295</v>
      </c>
      <c r="Z155" t="s">
        <v>84</v>
      </c>
      <c r="AA155" t="s">
        <v>84</v>
      </c>
      <c r="AB155" t="s">
        <v>36</v>
      </c>
      <c r="AC155" t="s">
        <v>1340</v>
      </c>
      <c r="AD155" t="s">
        <v>36</v>
      </c>
      <c r="AE155" t="s">
        <v>1340</v>
      </c>
      <c r="AF155" t="s">
        <v>86</v>
      </c>
      <c r="AG155" t="s">
        <v>269</v>
      </c>
      <c r="AH155" t="s">
        <v>183</v>
      </c>
      <c r="AI155" s="4">
        <f ca="1">data[[#This Row],[Expiry Date]]-TODAY()</f>
        <v>42</v>
      </c>
      <c r="AJ155" s="4">
        <f ca="1">data[[#This Row],[Maturity ( Days)]]/365</f>
        <v>0.11506849315068493</v>
      </c>
      <c r="AK155" s="4" t="str">
        <f>IF(data[[#This Row],[Option Type]]="put","p","c")</f>
        <v>p</v>
      </c>
      <c r="AL155" s="4">
        <f>(data[[#This Row],[Bid]]*data[[#This Row],[Bidsize]]+data[[#This Row],[Ask]]*data[[#This Row],[Asksize]])/(data[[#This Row],[Bidsize]]+data[[#This Row],[Asksize]])</f>
        <v>136.65172413793104</v>
      </c>
      <c r="AM155" s="4">
        <f>VALUE(data[[#This Row],[Strike]])</f>
        <v>3940</v>
      </c>
      <c r="AN155" s="5">
        <f ca="1">impliedVol(data[[#This Row],[OptType]],Details!$B$4,VALUE(data[[#This Row],[Strike]]),VALUE(data[[#This Row],[Cnt Price]]),Details!$B$6,data[[#This Row],[T]],Details!$B$7)</f>
        <v>0.25617659003541865</v>
      </c>
      <c r="AO155" s="7">
        <f t="array" aca="1" ref="AO155:AS155" ca="1">bsGreeks(data[[#This Row],[OptType]],Details!$B$4,VALUE(data[[#This Row],[Strike]]),Details!$B$6,data[[#This Row],[T]],AN155,Details!$B$7)</f>
        <v>-0.48895808475785996</v>
      </c>
      <c r="AP155" s="7">
        <f ca="1"/>
        <v>1.166339255199858E-3</v>
      </c>
      <c r="AQ155" s="6">
        <f ca="1"/>
        <v>5.316468892673643</v>
      </c>
      <c r="AR155" s="6">
        <f ca="1"/>
        <v>-156.49185741482776</v>
      </c>
      <c r="AS155" s="6">
        <f ca="1"/>
        <v>-236.84365906054916</v>
      </c>
      <c r="AU155" s="60">
        <f ca="1"/>
        <v>139.0095899613616</v>
      </c>
      <c r="AV155" s="61" t="str">
        <f ca="1"/>
        <v>p</v>
      </c>
      <c r="AW155" s="61">
        <f ca="1"/>
        <v>0.25617659003541865</v>
      </c>
      <c r="AX155" s="62">
        <f ca="1"/>
        <v>-0.48895808475785996</v>
      </c>
      <c r="AY155" s="62">
        <f ca="1"/>
        <v>1.166339255199858E-3</v>
      </c>
      <c r="AZ155" s="62">
        <f ca="1"/>
        <v>5.316468892673643</v>
      </c>
      <c r="BA155" s="60">
        <f ca="1"/>
        <v>-156.49185741482776</v>
      </c>
      <c r="BB155" s="60">
        <f ca="1"/>
        <v>-236.84365906054916</v>
      </c>
    </row>
    <row r="156" spans="1:54" x14ac:dyDescent="0.3">
      <c r="A156" t="s">
        <v>596</v>
      </c>
      <c r="B156" t="s">
        <v>597</v>
      </c>
      <c r="C156" t="s">
        <v>57</v>
      </c>
      <c r="D156" t="s">
        <v>85</v>
      </c>
      <c r="E156" t="s">
        <v>84</v>
      </c>
      <c r="F156" t="s">
        <v>187</v>
      </c>
      <c r="G156" t="s">
        <v>1050</v>
      </c>
      <c r="H156" t="s">
        <v>1236</v>
      </c>
      <c r="I156" t="s">
        <v>1194</v>
      </c>
      <c r="J156" t="s">
        <v>182</v>
      </c>
      <c r="K156" t="s">
        <v>116</v>
      </c>
      <c r="L156" t="s">
        <v>307</v>
      </c>
      <c r="M156" t="s">
        <v>97</v>
      </c>
      <c r="N156" t="s">
        <v>56</v>
      </c>
      <c r="O156" t="s">
        <v>36</v>
      </c>
      <c r="P156" t="s">
        <v>84</v>
      </c>
      <c r="Q156" t="s">
        <v>84</v>
      </c>
      <c r="V156" t="s">
        <v>49</v>
      </c>
      <c r="W156" t="s">
        <v>84</v>
      </c>
      <c r="X156" t="s">
        <v>1158</v>
      </c>
      <c r="Y156" t="s">
        <v>1194</v>
      </c>
      <c r="Z156" t="s">
        <v>84</v>
      </c>
      <c r="AA156" t="s">
        <v>84</v>
      </c>
      <c r="AB156" t="s">
        <v>36</v>
      </c>
      <c r="AC156" t="s">
        <v>1340</v>
      </c>
      <c r="AD156" t="s">
        <v>36</v>
      </c>
      <c r="AE156" t="s">
        <v>1340</v>
      </c>
      <c r="AF156" t="s">
        <v>86</v>
      </c>
      <c r="AG156" t="s">
        <v>269</v>
      </c>
      <c r="AH156" t="s">
        <v>183</v>
      </c>
      <c r="AI156" s="4">
        <f ca="1">data[[#This Row],[Expiry Date]]-TODAY()</f>
        <v>42</v>
      </c>
      <c r="AJ156" s="4">
        <f ca="1">data[[#This Row],[Maturity ( Days)]]/365</f>
        <v>0.11506849315068493</v>
      </c>
      <c r="AK156" s="4" t="str">
        <f>IF(data[[#This Row],[Option Type]]="put","p","c")</f>
        <v>c</v>
      </c>
      <c r="AL156" s="4">
        <f>(data[[#This Row],[Bid]]*data[[#This Row],[Bidsize]]+data[[#This Row],[Ask]]*data[[#This Row],[Asksize]])/(data[[#This Row],[Bidsize]]+data[[#This Row],[Asksize]])</f>
        <v>167.28148148148151</v>
      </c>
      <c r="AM156" s="4">
        <f>VALUE(data[[#This Row],[Strike]])</f>
        <v>3940</v>
      </c>
      <c r="AN156" s="5">
        <f ca="1">impliedVol(data[[#This Row],[OptType]],Details!$B$4,VALUE(data[[#This Row],[Strike]]),VALUE(data[[#This Row],[Cnt Price]]),Details!$B$6,data[[#This Row],[T]],Details!$B$7)</f>
        <v>0.3154536937563423</v>
      </c>
      <c r="AO156" s="7">
        <f t="array" aca="1" ref="AO156:AS156" ca="1">bsGreeks(data[[#This Row],[OptType]],Details!$B$4,VALUE(data[[#This Row],[Strike]]),Details!$B$6,data[[#This Row],[T]],AN156,Details!$B$7)</f>
        <v>0.5162318525970846</v>
      </c>
      <c r="AP156" s="7">
        <f ca="1"/>
        <v>9.4675026178909496E-4</v>
      </c>
      <c r="AQ156" s="6">
        <f ca="1"/>
        <v>5.3141033299652465</v>
      </c>
      <c r="AR156" s="6">
        <f ca="1"/>
        <v>-204.67193408847194</v>
      </c>
      <c r="AS156" s="6">
        <f ca="1"/>
        <v>214.20698289874744</v>
      </c>
      <c r="AU156" s="60">
        <f ca="1"/>
        <v>165.12849181387423</v>
      </c>
      <c r="AV156" s="61" t="str">
        <f ca="1"/>
        <v>c</v>
      </c>
      <c r="AW156" s="61">
        <f ca="1"/>
        <v>0.3154536937563423</v>
      </c>
      <c r="AX156" s="62">
        <f ca="1"/>
        <v>0.5162318525970846</v>
      </c>
      <c r="AY156" s="62">
        <f ca="1"/>
        <v>9.4675026178909496E-4</v>
      </c>
      <c r="AZ156" s="62">
        <f ca="1"/>
        <v>5.3141033299652465</v>
      </c>
      <c r="BA156" s="60">
        <f ca="1"/>
        <v>-204.67193408847194</v>
      </c>
      <c r="BB156" s="60">
        <f ca="1"/>
        <v>214.20698289874744</v>
      </c>
    </row>
    <row r="157" spans="1:54" x14ac:dyDescent="0.3">
      <c r="A157" t="s">
        <v>599</v>
      </c>
      <c r="B157" t="s">
        <v>600</v>
      </c>
      <c r="C157" t="s">
        <v>29</v>
      </c>
      <c r="D157" t="s">
        <v>85</v>
      </c>
      <c r="E157" t="s">
        <v>84</v>
      </c>
      <c r="F157" t="s">
        <v>136</v>
      </c>
      <c r="G157" t="s">
        <v>881</v>
      </c>
      <c r="H157" t="s">
        <v>1049</v>
      </c>
      <c r="I157" t="s">
        <v>1297</v>
      </c>
      <c r="J157" t="s">
        <v>116</v>
      </c>
      <c r="K157" t="s">
        <v>116</v>
      </c>
      <c r="L157" t="s">
        <v>307</v>
      </c>
      <c r="M157" t="s">
        <v>97</v>
      </c>
      <c r="N157" t="s">
        <v>56</v>
      </c>
      <c r="O157" t="s">
        <v>36</v>
      </c>
      <c r="P157" t="s">
        <v>84</v>
      </c>
      <c r="Q157" t="s">
        <v>84</v>
      </c>
      <c r="V157" t="s">
        <v>49</v>
      </c>
      <c r="W157" t="s">
        <v>84</v>
      </c>
      <c r="X157" t="s">
        <v>1105</v>
      </c>
      <c r="Y157" t="s">
        <v>1297</v>
      </c>
      <c r="Z157" t="s">
        <v>84</v>
      </c>
      <c r="AA157" t="s">
        <v>84</v>
      </c>
      <c r="AB157" t="s">
        <v>36</v>
      </c>
      <c r="AC157" t="s">
        <v>1340</v>
      </c>
      <c r="AD157" t="s">
        <v>36</v>
      </c>
      <c r="AE157" t="s">
        <v>1340</v>
      </c>
      <c r="AF157" t="s">
        <v>86</v>
      </c>
      <c r="AG157" t="s">
        <v>269</v>
      </c>
      <c r="AH157" t="s">
        <v>183</v>
      </c>
      <c r="AI157" s="4">
        <f ca="1">data[[#This Row],[Expiry Date]]-TODAY()</f>
        <v>42</v>
      </c>
      <c r="AJ157" s="4">
        <f ca="1">data[[#This Row],[Maturity ( Days)]]/365</f>
        <v>0.11506849315068493</v>
      </c>
      <c r="AK157" s="4" t="str">
        <f>IF(data[[#This Row],[Option Type]]="put","p","c")</f>
        <v>p</v>
      </c>
      <c r="AL157" s="4">
        <f>(data[[#This Row],[Bid]]*data[[#This Row],[Bidsize]]+data[[#This Row],[Ask]]*data[[#This Row],[Asksize]])/(data[[#This Row],[Bidsize]]+data[[#This Row],[Asksize]])</f>
        <v>140.6</v>
      </c>
      <c r="AM157" s="4">
        <f>VALUE(data[[#This Row],[Strike]])</f>
        <v>3950</v>
      </c>
      <c r="AN157" s="5">
        <f ca="1">impliedVol(data[[#This Row],[OptType]],Details!$B$4,VALUE(data[[#This Row],[Strike]]),VALUE(data[[#This Row],[Cnt Price]]),Details!$B$6,data[[#This Row],[T]],Details!$B$7)</f>
        <v>0.25376758193261811</v>
      </c>
      <c r="AO157" s="7">
        <f t="array" aca="1" ref="AO157:AS157" ca="1">bsGreeks(data[[#This Row],[OptType]],Details!$B$4,VALUE(data[[#This Row],[Strike]]),Details!$B$6,data[[#This Row],[T]],AN157,Details!$B$7)</f>
        <v>-0.50092698807446234</v>
      </c>
      <c r="AP157" s="7">
        <f ca="1"/>
        <v>1.1778592908866009E-3</v>
      </c>
      <c r="AQ157" s="6">
        <f ca="1"/>
        <v>5.3184918400510357</v>
      </c>
      <c r="AR157" s="6">
        <f ca="1"/>
        <v>-154.88842808084502</v>
      </c>
      <c r="AS157" s="6">
        <f ca="1"/>
        <v>-242.71064526754549</v>
      </c>
      <c r="AU157" s="60">
        <f ca="1"/>
        <v>143.01644998688698</v>
      </c>
      <c r="AV157" s="61" t="str">
        <f ca="1"/>
        <v>p</v>
      </c>
      <c r="AW157" s="61">
        <f ca="1"/>
        <v>0.25376758193261811</v>
      </c>
      <c r="AX157" s="62">
        <f ca="1"/>
        <v>-0.50092698807446234</v>
      </c>
      <c r="AY157" s="62">
        <f ca="1"/>
        <v>1.1778592908866009E-3</v>
      </c>
      <c r="AZ157" s="62">
        <f ca="1"/>
        <v>5.3184918400510357</v>
      </c>
      <c r="BA157" s="60">
        <f ca="1"/>
        <v>-154.88842808084502</v>
      </c>
      <c r="BB157" s="60">
        <f ca="1"/>
        <v>-242.71064526754549</v>
      </c>
    </row>
    <row r="158" spans="1:54" x14ac:dyDescent="0.3">
      <c r="A158" t="s">
        <v>602</v>
      </c>
      <c r="B158" t="s">
        <v>603</v>
      </c>
      <c r="C158" t="s">
        <v>57</v>
      </c>
      <c r="D158" t="s">
        <v>85</v>
      </c>
      <c r="E158" t="s">
        <v>84</v>
      </c>
      <c r="F158" t="s">
        <v>136</v>
      </c>
      <c r="G158" t="s">
        <v>983</v>
      </c>
      <c r="H158" t="s">
        <v>1069</v>
      </c>
      <c r="I158" t="s">
        <v>1298</v>
      </c>
      <c r="J158" t="s">
        <v>121</v>
      </c>
      <c r="K158" t="s">
        <v>116</v>
      </c>
      <c r="L158" t="s">
        <v>307</v>
      </c>
      <c r="M158" t="s">
        <v>1034</v>
      </c>
      <c r="N158" t="s">
        <v>56</v>
      </c>
      <c r="O158" t="s">
        <v>36</v>
      </c>
      <c r="P158" t="s">
        <v>84</v>
      </c>
      <c r="Q158" t="s">
        <v>84</v>
      </c>
      <c r="V158" t="s">
        <v>49</v>
      </c>
      <c r="W158" t="s">
        <v>84</v>
      </c>
      <c r="X158" t="s">
        <v>1105</v>
      </c>
      <c r="Y158" t="s">
        <v>1298</v>
      </c>
      <c r="Z158" t="s">
        <v>84</v>
      </c>
      <c r="AA158" t="s">
        <v>84</v>
      </c>
      <c r="AB158" t="s">
        <v>36</v>
      </c>
      <c r="AC158" t="s">
        <v>1340</v>
      </c>
      <c r="AD158" t="s">
        <v>36</v>
      </c>
      <c r="AE158" t="s">
        <v>1340</v>
      </c>
      <c r="AF158" t="s">
        <v>86</v>
      </c>
      <c r="AG158" t="s">
        <v>269</v>
      </c>
      <c r="AH158" t="s">
        <v>183</v>
      </c>
      <c r="AI158" s="4">
        <f ca="1">data[[#This Row],[Expiry Date]]-TODAY()</f>
        <v>42</v>
      </c>
      <c r="AJ158" s="4">
        <f ca="1">data[[#This Row],[Maturity ( Days)]]/365</f>
        <v>0.11506849315068493</v>
      </c>
      <c r="AK158" s="4" t="str">
        <f>IF(data[[#This Row],[Option Type]]="put","p","c")</f>
        <v>c</v>
      </c>
      <c r="AL158" s="4">
        <f>(data[[#This Row],[Bid]]*data[[#This Row],[Bidsize]]+data[[#This Row],[Ask]]*data[[#This Row],[Asksize]])/(data[[#This Row],[Bidsize]]+data[[#This Row],[Asksize]])</f>
        <v>161.42857142857142</v>
      </c>
      <c r="AM158" s="4">
        <f>VALUE(data[[#This Row],[Strike]])</f>
        <v>3950</v>
      </c>
      <c r="AN158" s="5">
        <f ca="1">impliedVol(data[[#This Row],[OptType]],Details!$B$4,VALUE(data[[#This Row],[Strike]]),VALUE(data[[#This Row],[Cnt Price]]),Details!$B$6,data[[#This Row],[T]],Details!$B$7)</f>
        <v>0.31332356330579714</v>
      </c>
      <c r="AO158" s="7">
        <f t="array" aca="1" ref="AO158:AS158" ca="1">bsGreeks(data[[#This Row],[OptType]],Details!$B$4,VALUE(data[[#This Row],[Strike]]),Details!$B$6,data[[#This Row],[T]],AN158,Details!$B$7)</f>
        <v>0.5065425439777349</v>
      </c>
      <c r="AP158" s="7">
        <f ca="1"/>
        <v>9.5384819384679005E-4</v>
      </c>
      <c r="AQ158" s="6">
        <f ca="1"/>
        <v>5.3177909730344775</v>
      </c>
      <c r="AR158" s="6">
        <f ca="1"/>
        <v>-203.37350325097452</v>
      </c>
      <c r="AS158" s="6">
        <f ca="1"/>
        <v>210.49869651833495</v>
      </c>
      <c r="AU158" s="60">
        <f ca="1"/>
        <v>159.31261249891804</v>
      </c>
      <c r="AV158" s="61" t="str">
        <f ca="1"/>
        <v>c</v>
      </c>
      <c r="AW158" s="61">
        <f ca="1"/>
        <v>0.31332356330579714</v>
      </c>
      <c r="AX158" s="62">
        <f ca="1"/>
        <v>0.5065425439777349</v>
      </c>
      <c r="AY158" s="62">
        <f ca="1"/>
        <v>9.5384819384679005E-4</v>
      </c>
      <c r="AZ158" s="62">
        <f ca="1"/>
        <v>5.3177909730344775</v>
      </c>
      <c r="BA158" s="60">
        <f ca="1"/>
        <v>-203.37350325097452</v>
      </c>
      <c r="BB158" s="60">
        <f ca="1"/>
        <v>210.49869651833495</v>
      </c>
    </row>
    <row r="159" spans="1:54" x14ac:dyDescent="0.3">
      <c r="A159" t="s">
        <v>604</v>
      </c>
      <c r="B159" t="s">
        <v>605</v>
      </c>
      <c r="C159" t="s">
        <v>57</v>
      </c>
      <c r="D159" t="s">
        <v>85</v>
      </c>
      <c r="E159" t="s">
        <v>84</v>
      </c>
      <c r="F159" t="s">
        <v>188</v>
      </c>
      <c r="G159" t="s">
        <v>1195</v>
      </c>
      <c r="H159" t="s">
        <v>1088</v>
      </c>
      <c r="I159" t="s">
        <v>1086</v>
      </c>
      <c r="J159" t="s">
        <v>116</v>
      </c>
      <c r="K159" t="s">
        <v>116</v>
      </c>
      <c r="L159" t="s">
        <v>307</v>
      </c>
      <c r="M159" t="s">
        <v>99</v>
      </c>
      <c r="N159" t="s">
        <v>56</v>
      </c>
      <c r="O159" t="s">
        <v>36</v>
      </c>
      <c r="P159" t="s">
        <v>84</v>
      </c>
      <c r="Q159" t="s">
        <v>84</v>
      </c>
      <c r="V159" t="s">
        <v>49</v>
      </c>
      <c r="W159" t="s">
        <v>84</v>
      </c>
      <c r="X159" t="s">
        <v>1158</v>
      </c>
      <c r="Y159" t="s">
        <v>1086</v>
      </c>
      <c r="Z159" t="s">
        <v>84</v>
      </c>
      <c r="AA159" t="s">
        <v>84</v>
      </c>
      <c r="AB159" t="s">
        <v>36</v>
      </c>
      <c r="AC159" t="s">
        <v>1340</v>
      </c>
      <c r="AD159" t="s">
        <v>36</v>
      </c>
      <c r="AE159" t="s">
        <v>1340</v>
      </c>
      <c r="AF159" t="s">
        <v>86</v>
      </c>
      <c r="AG159" t="s">
        <v>269</v>
      </c>
      <c r="AH159" t="s">
        <v>183</v>
      </c>
      <c r="AI159" s="4">
        <f ca="1">data[[#This Row],[Expiry Date]]-TODAY()</f>
        <v>42</v>
      </c>
      <c r="AJ159" s="4">
        <f ca="1">data[[#This Row],[Maturity ( Days)]]/365</f>
        <v>0.11506849315068493</v>
      </c>
      <c r="AK159" s="4" t="str">
        <f>IF(data[[#This Row],[Option Type]]="put","p","c")</f>
        <v>c</v>
      </c>
      <c r="AL159" s="4">
        <f>(data[[#This Row],[Bid]]*data[[#This Row],[Bidsize]]+data[[#This Row],[Ask]]*data[[#This Row],[Asksize]])/(data[[#This Row],[Bidsize]]+data[[#This Row],[Asksize]])</f>
        <v>155.9</v>
      </c>
      <c r="AM159" s="4">
        <f>VALUE(data[[#This Row],[Strike]])</f>
        <v>3960</v>
      </c>
      <c r="AN159" s="5">
        <f ca="1">impliedVol(data[[#This Row],[OptType]],Details!$B$4,VALUE(data[[#This Row],[Strike]]),VALUE(data[[#This Row],[Cnt Price]]),Details!$B$6,data[[#This Row],[T]],Details!$B$7)</f>
        <v>0.31162835656428745</v>
      </c>
      <c r="AO159" s="7">
        <f t="array" aca="1" ref="AO159:AS159" ca="1">bsGreeks(data[[#This Row],[OptType]],Details!$B$4,VALUE(data[[#This Row],[Strike]]),Details!$B$6,data[[#This Row],[T]],AN159,Details!$B$7)</f>
        <v>0.49680622764384952</v>
      </c>
      <c r="AP159" s="7">
        <f ca="1"/>
        <v>9.5913522108516218E-4</v>
      </c>
      <c r="AQ159" s="6">
        <f ca="1"/>
        <v>5.3183357663905007</v>
      </c>
      <c r="AR159" s="6">
        <f ca="1"/>
        <v>-202.23073860554197</v>
      </c>
      <c r="AS159" s="6">
        <f ca="1"/>
        <v>206.73182862916804</v>
      </c>
      <c r="AU159" s="60">
        <f ca="1"/>
        <v>153.82167646451353</v>
      </c>
      <c r="AV159" s="61" t="str">
        <f ca="1"/>
        <v>c</v>
      </c>
      <c r="AW159" s="61">
        <f ca="1"/>
        <v>0.31162835656428745</v>
      </c>
      <c r="AX159" s="62">
        <f ca="1"/>
        <v>0.49680622764384952</v>
      </c>
      <c r="AY159" s="62">
        <f ca="1"/>
        <v>9.5913522108516218E-4</v>
      </c>
      <c r="AZ159" s="62">
        <f ca="1"/>
        <v>5.3183357663905007</v>
      </c>
      <c r="BA159" s="60">
        <f ca="1"/>
        <v>-202.23073860554197</v>
      </c>
      <c r="BB159" s="60">
        <f ca="1"/>
        <v>206.73182862916804</v>
      </c>
    </row>
    <row r="160" spans="1:54" x14ac:dyDescent="0.3">
      <c r="A160" t="s">
        <v>607</v>
      </c>
      <c r="B160" t="s">
        <v>608</v>
      </c>
      <c r="C160" t="s">
        <v>29</v>
      </c>
      <c r="D160" t="s">
        <v>85</v>
      </c>
      <c r="E160" t="s">
        <v>84</v>
      </c>
      <c r="F160" t="s">
        <v>188</v>
      </c>
      <c r="G160" t="s">
        <v>1544</v>
      </c>
      <c r="H160" t="s">
        <v>1299</v>
      </c>
      <c r="I160" t="s">
        <v>860</v>
      </c>
      <c r="J160" t="s">
        <v>116</v>
      </c>
      <c r="K160" t="s">
        <v>121</v>
      </c>
      <c r="L160" t="s">
        <v>307</v>
      </c>
      <c r="M160" t="s">
        <v>920</v>
      </c>
      <c r="N160" t="s">
        <v>56</v>
      </c>
      <c r="O160" t="s">
        <v>36</v>
      </c>
      <c r="P160" t="s">
        <v>84</v>
      </c>
      <c r="Q160" t="s">
        <v>84</v>
      </c>
      <c r="V160" t="s">
        <v>49</v>
      </c>
      <c r="W160" t="s">
        <v>84</v>
      </c>
      <c r="X160" t="s">
        <v>1105</v>
      </c>
      <c r="Y160" t="s">
        <v>860</v>
      </c>
      <c r="Z160" t="s">
        <v>84</v>
      </c>
      <c r="AA160" t="s">
        <v>84</v>
      </c>
      <c r="AB160" t="s">
        <v>36</v>
      </c>
      <c r="AC160" t="s">
        <v>1340</v>
      </c>
      <c r="AD160" t="s">
        <v>36</v>
      </c>
      <c r="AE160" t="s">
        <v>1340</v>
      </c>
      <c r="AF160" t="s">
        <v>86</v>
      </c>
      <c r="AG160" t="s">
        <v>269</v>
      </c>
      <c r="AH160" t="s">
        <v>183</v>
      </c>
      <c r="AI160" s="4">
        <f ca="1">data[[#This Row],[Expiry Date]]-TODAY()</f>
        <v>42</v>
      </c>
      <c r="AJ160" s="4">
        <f ca="1">data[[#This Row],[Maturity ( Days)]]/365</f>
        <v>0.11506849315068493</v>
      </c>
      <c r="AK160" s="4" t="str">
        <f>IF(data[[#This Row],[Option Type]]="put","p","c")</f>
        <v>p</v>
      </c>
      <c r="AL160" s="4">
        <f>(data[[#This Row],[Bid]]*data[[#This Row],[Bidsize]]+data[[#This Row],[Ask]]*data[[#This Row],[Asksize]])/(data[[#This Row],[Bidsize]]+data[[#This Row],[Asksize]])</f>
        <v>145.07142857142858</v>
      </c>
      <c r="AM160" s="4">
        <f>VALUE(data[[#This Row],[Strike]])</f>
        <v>3960</v>
      </c>
      <c r="AN160" s="5">
        <f ca="1">impliedVol(data[[#This Row],[OptType]],Details!$B$4,VALUE(data[[#This Row],[Strike]]),VALUE(data[[#This Row],[Cnt Price]]),Details!$B$6,data[[#This Row],[T]],Details!$B$7)</f>
        <v>0.25212446791602172</v>
      </c>
      <c r="AO160" s="7">
        <f t="array" aca="1" ref="AO160:AS160" ca="1">bsGreeks(data[[#This Row],[OptType]],Details!$B$4,VALUE(data[[#This Row],[Strike]]),Details!$B$6,data[[#This Row],[T]],AN160,Details!$B$7)</f>
        <v>-0.51294809769663585</v>
      </c>
      <c r="AP160" s="7">
        <f ca="1"/>
        <v>1.1849142125803819E-3</v>
      </c>
      <c r="AQ160" s="6">
        <f ca="1"/>
        <v>5.3157047044211856</v>
      </c>
      <c r="AR160" s="6">
        <f ca="1"/>
        <v>-153.62258002495898</v>
      </c>
      <c r="AS160" s="6">
        <f ca="1"/>
        <v>-248.66144429268866</v>
      </c>
      <c r="AU160" s="60">
        <f ca="1"/>
        <v>147.54734696615196</v>
      </c>
      <c r="AV160" s="61" t="str">
        <f ca="1"/>
        <v>p</v>
      </c>
      <c r="AW160" s="61">
        <f ca="1"/>
        <v>0.25212446791602172</v>
      </c>
      <c r="AX160" s="62">
        <f ca="1"/>
        <v>-0.51294809769663585</v>
      </c>
      <c r="AY160" s="62">
        <f ca="1"/>
        <v>1.1849142125803819E-3</v>
      </c>
      <c r="AZ160" s="62">
        <f ca="1"/>
        <v>5.3157047044211856</v>
      </c>
      <c r="BA160" s="60">
        <f ca="1"/>
        <v>-153.62258002495898</v>
      </c>
      <c r="BB160" s="60">
        <f ca="1"/>
        <v>-248.66144429268866</v>
      </c>
    </row>
    <row r="161" spans="1:54" x14ac:dyDescent="0.3">
      <c r="A161" t="s">
        <v>610</v>
      </c>
      <c r="B161" t="s">
        <v>611</v>
      </c>
      <c r="C161" t="s">
        <v>57</v>
      </c>
      <c r="D161" t="s">
        <v>85</v>
      </c>
      <c r="E161" t="s">
        <v>84</v>
      </c>
      <c r="F161" t="s">
        <v>214</v>
      </c>
      <c r="G161" t="s">
        <v>977</v>
      </c>
      <c r="H161" t="s">
        <v>1418</v>
      </c>
      <c r="I161" t="s">
        <v>612</v>
      </c>
      <c r="J161" t="s">
        <v>121</v>
      </c>
      <c r="K161" t="s">
        <v>116</v>
      </c>
      <c r="L161" t="s">
        <v>307</v>
      </c>
      <c r="M161" t="s">
        <v>100</v>
      </c>
      <c r="N161" t="s">
        <v>56</v>
      </c>
      <c r="O161" t="s">
        <v>36</v>
      </c>
      <c r="P161" t="s">
        <v>84</v>
      </c>
      <c r="Q161" t="s">
        <v>84</v>
      </c>
      <c r="V161" t="s">
        <v>49</v>
      </c>
      <c r="W161" t="s">
        <v>84</v>
      </c>
      <c r="X161" t="s">
        <v>274</v>
      </c>
      <c r="Y161" t="s">
        <v>612</v>
      </c>
      <c r="Z161" t="s">
        <v>84</v>
      </c>
      <c r="AA161" t="s">
        <v>84</v>
      </c>
      <c r="AB161" t="s">
        <v>36</v>
      </c>
      <c r="AC161" t="s">
        <v>1340</v>
      </c>
      <c r="AD161" t="s">
        <v>36</v>
      </c>
      <c r="AE161" t="s">
        <v>1340</v>
      </c>
      <c r="AF161" t="s">
        <v>86</v>
      </c>
      <c r="AG161" t="s">
        <v>269</v>
      </c>
      <c r="AH161" t="s">
        <v>183</v>
      </c>
      <c r="AI161" s="4">
        <f ca="1">data[[#This Row],[Expiry Date]]-TODAY()</f>
        <v>42</v>
      </c>
      <c r="AJ161" s="4">
        <f ca="1">data[[#This Row],[Maturity ( Days)]]/365</f>
        <v>0.11506849315068493</v>
      </c>
      <c r="AK161" s="4" t="str">
        <f>IF(data[[#This Row],[Option Type]]="put","p","c")</f>
        <v>c</v>
      </c>
      <c r="AL161" s="4">
        <f>(data[[#This Row],[Bid]]*data[[#This Row],[Bidsize]]+data[[#This Row],[Ask]]*data[[#This Row],[Asksize]])/(data[[#This Row],[Bidsize]]+data[[#This Row],[Asksize]])</f>
        <v>150.06428571428569</v>
      </c>
      <c r="AM161" s="4">
        <f>VALUE(data[[#This Row],[Strike]])</f>
        <v>3970</v>
      </c>
      <c r="AN161" s="5">
        <f ca="1">impliedVol(data[[#This Row],[OptType]],Details!$B$4,VALUE(data[[#This Row],[Strike]]),VALUE(data[[#This Row],[Cnt Price]]),Details!$B$6,data[[#This Row],[T]],Details!$B$7)</f>
        <v>0.30917787864079516</v>
      </c>
      <c r="AO161" s="7">
        <f t="array" aca="1" ref="AO161:AS161" ca="1">bsGreeks(data[[#This Row],[OptType]],Details!$B$4,VALUE(data[[#This Row],[Strike]]),Details!$B$6,data[[#This Row],[T]],AN161,Details!$B$7)</f>
        <v>0.48685675060446049</v>
      </c>
      <c r="AP161" s="7">
        <f ca="1"/>
        <v>9.662433952127179E-4</v>
      </c>
      <c r="AQ161" s="6">
        <f ca="1"/>
        <v>5.3156196129939124</v>
      </c>
      <c r="AR161" s="6">
        <f ca="1"/>
        <v>-200.4880356885557</v>
      </c>
      <c r="AS161" s="6">
        <f ca="1"/>
        <v>202.90390803389221</v>
      </c>
      <c r="AU161" s="60">
        <f ca="1"/>
        <v>148.02418977188472</v>
      </c>
      <c r="AV161" s="61" t="str">
        <f ca="1"/>
        <v>c</v>
      </c>
      <c r="AW161" s="61">
        <f ca="1"/>
        <v>0.30917787864079516</v>
      </c>
      <c r="AX161" s="62">
        <f ca="1"/>
        <v>0.48685675060446049</v>
      </c>
      <c r="AY161" s="62">
        <f ca="1"/>
        <v>9.662433952127179E-4</v>
      </c>
      <c r="AZ161" s="62">
        <f ca="1"/>
        <v>5.3156196129939124</v>
      </c>
      <c r="BA161" s="60">
        <f ca="1"/>
        <v>-200.4880356885557</v>
      </c>
      <c r="BB161" s="60">
        <f ca="1"/>
        <v>202.90390803389221</v>
      </c>
    </row>
    <row r="162" spans="1:54" x14ac:dyDescent="0.3">
      <c r="A162" t="s">
        <v>613</v>
      </c>
      <c r="B162" t="s">
        <v>614</v>
      </c>
      <c r="C162" t="s">
        <v>29</v>
      </c>
      <c r="D162" t="s">
        <v>85</v>
      </c>
      <c r="E162" t="s">
        <v>84</v>
      </c>
      <c r="F162" t="s">
        <v>214</v>
      </c>
      <c r="G162" t="s">
        <v>1545</v>
      </c>
      <c r="H162" t="s">
        <v>1399</v>
      </c>
      <c r="I162" t="s">
        <v>763</v>
      </c>
      <c r="J162" t="s">
        <v>116</v>
      </c>
      <c r="K162" t="s">
        <v>121</v>
      </c>
      <c r="L162" t="s">
        <v>307</v>
      </c>
      <c r="M162" t="s">
        <v>83</v>
      </c>
      <c r="N162" t="s">
        <v>56</v>
      </c>
      <c r="O162" t="s">
        <v>36</v>
      </c>
      <c r="P162" t="s">
        <v>84</v>
      </c>
      <c r="Q162" t="s">
        <v>84</v>
      </c>
      <c r="V162" t="s">
        <v>49</v>
      </c>
      <c r="W162" t="s">
        <v>84</v>
      </c>
      <c r="X162" t="s">
        <v>868</v>
      </c>
      <c r="Y162" t="s">
        <v>763</v>
      </c>
      <c r="Z162" t="s">
        <v>84</v>
      </c>
      <c r="AA162" t="s">
        <v>84</v>
      </c>
      <c r="AB162" t="s">
        <v>36</v>
      </c>
      <c r="AC162" t="s">
        <v>1340</v>
      </c>
      <c r="AD162" t="s">
        <v>36</v>
      </c>
      <c r="AE162" t="s">
        <v>1340</v>
      </c>
      <c r="AF162" t="s">
        <v>86</v>
      </c>
      <c r="AG162" t="s">
        <v>269</v>
      </c>
      <c r="AH162" t="s">
        <v>183</v>
      </c>
      <c r="AI162" s="4">
        <f ca="1">data[[#This Row],[Expiry Date]]-TODAY()</f>
        <v>42</v>
      </c>
      <c r="AJ162" s="4">
        <f ca="1">data[[#This Row],[Maturity ( Days)]]/365</f>
        <v>0.11506849315068493</v>
      </c>
      <c r="AK162" s="4" t="str">
        <f>IF(data[[#This Row],[Option Type]]="put","p","c")</f>
        <v>p</v>
      </c>
      <c r="AL162" s="4">
        <f>(data[[#This Row],[Bid]]*data[[#This Row],[Bidsize]]+data[[#This Row],[Ask]]*data[[#This Row],[Asksize]])/(data[[#This Row],[Bidsize]]+data[[#This Row],[Asksize]])</f>
        <v>149.43571428571431</v>
      </c>
      <c r="AM162" s="4">
        <f>VALUE(data[[#This Row],[Strike]])</f>
        <v>3970</v>
      </c>
      <c r="AN162" s="5">
        <f ca="1">impliedVol(data[[#This Row],[OptType]],Details!$B$4,VALUE(data[[#This Row],[Strike]]),VALUE(data[[#This Row],[Cnt Price]]),Details!$B$6,data[[#This Row],[T]],Details!$B$7)</f>
        <v>0.25005776178102052</v>
      </c>
      <c r="AO162" s="7">
        <f t="array" aca="1" ref="AO162:AS162" ca="1">bsGreeks(data[[#This Row],[OptType]],Details!$B$4,VALUE(data[[#This Row],[Strike]]),Details!$B$6,data[[#This Row],[T]],AN162,Details!$B$7)</f>
        <v>-0.52518324075977985</v>
      </c>
      <c r="AP162" s="7">
        <f ca="1"/>
        <v>1.1929547025448302E-3</v>
      </c>
      <c r="AQ162" s="6">
        <f ca="1"/>
        <v>5.3079061676889969</v>
      </c>
      <c r="AR162" s="6">
        <f ca="1"/>
        <v>-151.93870786803456</v>
      </c>
      <c r="AS162" s="6">
        <f ca="1"/>
        <v>-254.69670537791927</v>
      </c>
      <c r="AU162" s="60">
        <f ca="1"/>
        <v>151.97193602864945</v>
      </c>
      <c r="AV162" s="61" t="str">
        <f ca="1"/>
        <v>p</v>
      </c>
      <c r="AW162" s="61">
        <f ca="1"/>
        <v>0.25005776178102052</v>
      </c>
      <c r="AX162" s="62">
        <f ca="1"/>
        <v>-0.52518324075977985</v>
      </c>
      <c r="AY162" s="62">
        <f ca="1"/>
        <v>1.1929547025448302E-3</v>
      </c>
      <c r="AZ162" s="62">
        <f ca="1"/>
        <v>5.3079061676889969</v>
      </c>
      <c r="BA162" s="60">
        <f ca="1"/>
        <v>-151.93870786803456</v>
      </c>
      <c r="BB162" s="60">
        <f ca="1"/>
        <v>-254.69670537791927</v>
      </c>
    </row>
    <row r="163" spans="1:54" x14ac:dyDescent="0.3">
      <c r="A163" t="s">
        <v>616</v>
      </c>
      <c r="B163" t="s">
        <v>617</v>
      </c>
      <c r="C163" t="s">
        <v>57</v>
      </c>
      <c r="D163" t="s">
        <v>85</v>
      </c>
      <c r="E163" t="s">
        <v>84</v>
      </c>
      <c r="F163" t="s">
        <v>137</v>
      </c>
      <c r="G163" t="s">
        <v>1192</v>
      </c>
      <c r="H163" t="s">
        <v>1046</v>
      </c>
      <c r="I163" t="s">
        <v>1196</v>
      </c>
      <c r="J163" t="s">
        <v>116</v>
      </c>
      <c r="K163" t="s">
        <v>116</v>
      </c>
      <c r="L163" t="s">
        <v>307</v>
      </c>
      <c r="M163" t="s">
        <v>110</v>
      </c>
      <c r="N163" t="s">
        <v>56</v>
      </c>
      <c r="O163" t="s">
        <v>36</v>
      </c>
      <c r="P163" t="s">
        <v>84</v>
      </c>
      <c r="Q163" t="s">
        <v>84</v>
      </c>
      <c r="V163" t="s">
        <v>49</v>
      </c>
      <c r="W163" t="s">
        <v>84</v>
      </c>
      <c r="X163" t="s">
        <v>1105</v>
      </c>
      <c r="Y163" t="s">
        <v>1196</v>
      </c>
      <c r="Z163" t="s">
        <v>84</v>
      </c>
      <c r="AA163" t="s">
        <v>84</v>
      </c>
      <c r="AB163" t="s">
        <v>36</v>
      </c>
      <c r="AC163" t="s">
        <v>1340</v>
      </c>
      <c r="AD163" t="s">
        <v>36</v>
      </c>
      <c r="AE163" t="s">
        <v>1340</v>
      </c>
      <c r="AF163" t="s">
        <v>86</v>
      </c>
      <c r="AG163" t="s">
        <v>269</v>
      </c>
      <c r="AH163" t="s">
        <v>183</v>
      </c>
      <c r="AI163" s="4">
        <f ca="1">data[[#This Row],[Expiry Date]]-TODAY()</f>
        <v>42</v>
      </c>
      <c r="AJ163" s="4">
        <f ca="1">data[[#This Row],[Maturity ( Days)]]/365</f>
        <v>0.11506849315068493</v>
      </c>
      <c r="AK163" s="4" t="str">
        <f>IF(data[[#This Row],[Option Type]]="put","p","c")</f>
        <v>c</v>
      </c>
      <c r="AL163" s="4">
        <f>(data[[#This Row],[Bid]]*data[[#This Row],[Bidsize]]+data[[#This Row],[Ask]]*data[[#This Row],[Asksize]])/(data[[#This Row],[Bidsize]]+data[[#This Row],[Asksize]])</f>
        <v>147.5</v>
      </c>
      <c r="AM163" s="4">
        <f>VALUE(data[[#This Row],[Strike]])</f>
        <v>3975</v>
      </c>
      <c r="AN163" s="5">
        <f ca="1">impliedVol(data[[#This Row],[OptType]],Details!$B$4,VALUE(data[[#This Row],[Strike]]),VALUE(data[[#This Row],[Cnt Price]]),Details!$B$6,data[[#This Row],[T]],Details!$B$7)</f>
        <v>0.30855015078671666</v>
      </c>
      <c r="AO163" s="7">
        <f t="array" aca="1" ref="AO163:AS163" ca="1">bsGreeks(data[[#This Row],[OptType]],Details!$B$4,VALUE(data[[#This Row],[Strike]]),Details!$B$6,data[[#This Row],[T]],AN163,Details!$B$7)</f>
        <v>0.48195128402108889</v>
      </c>
      <c r="AP163" s="7">
        <f ca="1"/>
        <v>9.6774337159820584E-4</v>
      </c>
      <c r="AQ163" s="6">
        <f ca="1"/>
        <v>5.3130623463695539</v>
      </c>
      <c r="AR163" s="6">
        <f ca="1"/>
        <v>-199.95102205048212</v>
      </c>
      <c r="AS163" s="6">
        <f ca="1"/>
        <v>200.98058712154182</v>
      </c>
      <c r="AU163" s="60">
        <f ca="1"/>
        <v>145.47913253638512</v>
      </c>
      <c r="AV163" s="61" t="str">
        <f ca="1"/>
        <v>c</v>
      </c>
      <c r="AW163" s="61">
        <f ca="1"/>
        <v>0.30855015078671666</v>
      </c>
      <c r="AX163" s="62">
        <f ca="1"/>
        <v>0.48195128402108889</v>
      </c>
      <c r="AY163" s="62">
        <f ca="1"/>
        <v>9.6774337159820584E-4</v>
      </c>
      <c r="AZ163" s="62">
        <f ca="1"/>
        <v>5.3130623463695539</v>
      </c>
      <c r="BA163" s="60">
        <f ca="1"/>
        <v>-199.95102205048212</v>
      </c>
      <c r="BB163" s="60">
        <f ca="1"/>
        <v>200.98058712154182</v>
      </c>
    </row>
    <row r="164" spans="1:54" x14ac:dyDescent="0.3">
      <c r="A164" t="s">
        <v>434</v>
      </c>
      <c r="B164" t="s">
        <v>435</v>
      </c>
      <c r="C164" t="s">
        <v>29</v>
      </c>
      <c r="D164" t="s">
        <v>116</v>
      </c>
      <c r="E164" t="s">
        <v>84</v>
      </c>
      <c r="F164" t="s">
        <v>137</v>
      </c>
      <c r="G164" t="s">
        <v>1418</v>
      </c>
      <c r="H164" t="s">
        <v>1546</v>
      </c>
      <c r="I164" t="s">
        <v>1197</v>
      </c>
      <c r="J164" t="s">
        <v>116</v>
      </c>
      <c r="K164" t="s">
        <v>121</v>
      </c>
      <c r="L164" t="s">
        <v>307</v>
      </c>
      <c r="M164" t="s">
        <v>106</v>
      </c>
      <c r="N164" t="s">
        <v>56</v>
      </c>
      <c r="O164" t="s">
        <v>36</v>
      </c>
      <c r="P164" t="s">
        <v>84</v>
      </c>
      <c r="Q164" t="s">
        <v>84</v>
      </c>
      <c r="V164" t="s">
        <v>49</v>
      </c>
      <c r="W164" t="s">
        <v>84</v>
      </c>
      <c r="X164" t="s">
        <v>1156</v>
      </c>
      <c r="Y164" t="s">
        <v>1197</v>
      </c>
      <c r="Z164" t="s">
        <v>84</v>
      </c>
      <c r="AA164" t="s">
        <v>84</v>
      </c>
      <c r="AB164" t="s">
        <v>36</v>
      </c>
      <c r="AC164" t="s">
        <v>1340</v>
      </c>
      <c r="AD164" t="s">
        <v>36</v>
      </c>
      <c r="AE164" t="s">
        <v>1340</v>
      </c>
      <c r="AF164" t="s">
        <v>86</v>
      </c>
      <c r="AG164" t="s">
        <v>269</v>
      </c>
      <c r="AH164" t="s">
        <v>183</v>
      </c>
      <c r="AI164" s="4">
        <f ca="1">data[[#This Row],[Expiry Date]]-TODAY()</f>
        <v>42</v>
      </c>
      <c r="AJ164" s="4">
        <f ca="1">data[[#This Row],[Maturity ( Days)]]/365</f>
        <v>0.11506849315068493</v>
      </c>
      <c r="AK164" s="4" t="str">
        <f>IF(data[[#This Row],[Option Type]]="put","p","c")</f>
        <v>p</v>
      </c>
      <c r="AL164" s="4">
        <f>(data[[#This Row],[Bid]]*data[[#This Row],[Bidsize]]+data[[#This Row],[Ask]]*data[[#This Row],[Asksize]])/(data[[#This Row],[Bidsize]]+data[[#This Row],[Asksize]])</f>
        <v>151.67142857142855</v>
      </c>
      <c r="AM164" s="4">
        <f>VALUE(data[[#This Row],[Strike]])</f>
        <v>3975</v>
      </c>
      <c r="AN164" s="5">
        <f ca="1">impliedVol(data[[#This Row],[OptType]],Details!$B$4,VALUE(data[[#This Row],[Strike]]),VALUE(data[[#This Row],[Cnt Price]]),Details!$B$6,data[[#This Row],[T]],Details!$B$7)</f>
        <v>0.24904052680444863</v>
      </c>
      <c r="AO164" s="7">
        <f t="array" aca="1" ref="AO164:AS164" ca="1">bsGreeks(data[[#This Row],[OptType]],Details!$B$4,VALUE(data[[#This Row],[Strike]]),Details!$B$6,data[[#This Row],[T]],AN164,Details!$B$7)</f>
        <v>-0.5313523719703479</v>
      </c>
      <c r="AP164" s="7">
        <f ca="1"/>
        <v>1.1965112554561969E-3</v>
      </c>
      <c r="AQ164" s="6">
        <f ca="1"/>
        <v>5.3020736790728415</v>
      </c>
      <c r="AR164" s="6">
        <f ca="1"/>
        <v>-151.0503700175008</v>
      </c>
      <c r="AS164" s="6">
        <f ca="1"/>
        <v>-257.74381759773036</v>
      </c>
      <c r="AU164" s="60">
        <f ca="1"/>
        <v>154.23810169685294</v>
      </c>
      <c r="AV164" s="61" t="str">
        <f ca="1"/>
        <v>p</v>
      </c>
      <c r="AW164" s="61">
        <f ca="1"/>
        <v>0.24904052680444863</v>
      </c>
      <c r="AX164" s="62">
        <f ca="1"/>
        <v>-0.5313523719703479</v>
      </c>
      <c r="AY164" s="62">
        <f ca="1"/>
        <v>1.1965112554561969E-3</v>
      </c>
      <c r="AZ164" s="62">
        <f ca="1"/>
        <v>5.3020736790728415</v>
      </c>
      <c r="BA164" s="60">
        <f ca="1"/>
        <v>-151.0503700175008</v>
      </c>
      <c r="BB164" s="60">
        <f ca="1"/>
        <v>-257.74381759773036</v>
      </c>
    </row>
    <row r="165" spans="1:54" x14ac:dyDescent="0.3">
      <c r="A165" t="s">
        <v>436</v>
      </c>
      <c r="B165" t="s">
        <v>437</v>
      </c>
      <c r="C165" t="s">
        <v>57</v>
      </c>
      <c r="D165" t="s">
        <v>85</v>
      </c>
      <c r="E165" t="s">
        <v>84</v>
      </c>
      <c r="F165" t="s">
        <v>207</v>
      </c>
      <c r="G165" t="s">
        <v>1547</v>
      </c>
      <c r="H165" t="s">
        <v>1293</v>
      </c>
      <c r="I165" t="s">
        <v>1198</v>
      </c>
      <c r="J165" t="s">
        <v>121</v>
      </c>
      <c r="K165" t="s">
        <v>116</v>
      </c>
      <c r="L165" t="s">
        <v>307</v>
      </c>
      <c r="M165" t="s">
        <v>94</v>
      </c>
      <c r="N165" t="s">
        <v>56</v>
      </c>
      <c r="O165" t="s">
        <v>36</v>
      </c>
      <c r="P165" t="s">
        <v>84</v>
      </c>
      <c r="Q165" t="s">
        <v>84</v>
      </c>
      <c r="V165" t="s">
        <v>49</v>
      </c>
      <c r="W165" t="s">
        <v>84</v>
      </c>
      <c r="X165" t="s">
        <v>1158</v>
      </c>
      <c r="Y165" t="s">
        <v>1198</v>
      </c>
      <c r="Z165" t="s">
        <v>84</v>
      </c>
      <c r="AA165" t="s">
        <v>84</v>
      </c>
      <c r="AB165" t="s">
        <v>36</v>
      </c>
      <c r="AC165" t="s">
        <v>1340</v>
      </c>
      <c r="AD165" t="s">
        <v>36</v>
      </c>
      <c r="AE165" t="s">
        <v>1340</v>
      </c>
      <c r="AF165" t="s">
        <v>86</v>
      </c>
      <c r="AG165" t="s">
        <v>269</v>
      </c>
      <c r="AH165" t="s">
        <v>183</v>
      </c>
      <c r="AI165" s="4">
        <f ca="1">data[[#This Row],[Expiry Date]]-TODAY()</f>
        <v>42</v>
      </c>
      <c r="AJ165" s="4">
        <f ca="1">data[[#This Row],[Maturity ( Days)]]/365</f>
        <v>0.11506849315068493</v>
      </c>
      <c r="AK165" s="4" t="str">
        <f>IF(data[[#This Row],[Option Type]]="put","p","c")</f>
        <v>c</v>
      </c>
      <c r="AL165" s="4">
        <f>(data[[#This Row],[Bid]]*data[[#This Row],[Bidsize]]+data[[#This Row],[Ask]]*data[[#This Row],[Asksize]])/(data[[#This Row],[Bidsize]]+data[[#This Row],[Asksize]])</f>
        <v>144.56428571428572</v>
      </c>
      <c r="AM165" s="4">
        <f>VALUE(data[[#This Row],[Strike]])</f>
        <v>3980</v>
      </c>
      <c r="AN165" s="5">
        <f ca="1">impliedVol(data[[#This Row],[OptType]],Details!$B$4,VALUE(data[[#This Row],[Strike]]),VALUE(data[[#This Row],[Cnt Price]]),Details!$B$6,data[[#This Row],[T]],Details!$B$7)</f>
        <v>0.30717817944518189</v>
      </c>
      <c r="AO165" s="7">
        <f t="array" aca="1" ref="AO165:AS165" ca="1">bsGreeks(data[[#This Row],[OptType]],Details!$B$4,VALUE(data[[#This Row],[Strike]]),Details!$B$6,data[[#This Row],[T]],AN165,Details!$B$7)</f>
        <v>0.47687852195393649</v>
      </c>
      <c r="AP165" s="7">
        <f ca="1"/>
        <v>9.714269470733844E-4</v>
      </c>
      <c r="AQ165" s="6">
        <f ca="1"/>
        <v>5.3095712427784827</v>
      </c>
      <c r="AR165" s="6">
        <f ca="1"/>
        <v>-198.90894378179291</v>
      </c>
      <c r="AS165" s="6">
        <f ca="1"/>
        <v>199.02435274344791</v>
      </c>
      <c r="AU165" s="60">
        <f ca="1"/>
        <v>142.56295368047313</v>
      </c>
      <c r="AV165" s="61" t="str">
        <f ca="1"/>
        <v>c</v>
      </c>
      <c r="AW165" s="61">
        <f ca="1"/>
        <v>0.30717817944518189</v>
      </c>
      <c r="AX165" s="62">
        <f ca="1"/>
        <v>0.47687852195393649</v>
      </c>
      <c r="AY165" s="62">
        <f ca="1"/>
        <v>9.714269470733844E-4</v>
      </c>
      <c r="AZ165" s="62">
        <f ca="1"/>
        <v>5.3095712427784827</v>
      </c>
      <c r="BA165" s="60">
        <f ca="1"/>
        <v>-198.90894378179291</v>
      </c>
      <c r="BB165" s="60">
        <f ca="1"/>
        <v>199.02435274344791</v>
      </c>
    </row>
    <row r="166" spans="1:54" x14ac:dyDescent="0.3">
      <c r="A166" t="s">
        <v>438</v>
      </c>
      <c r="B166" t="s">
        <v>439</v>
      </c>
      <c r="C166" t="s">
        <v>29</v>
      </c>
      <c r="D166" t="s">
        <v>85</v>
      </c>
      <c r="E166" t="s">
        <v>84</v>
      </c>
      <c r="F166" t="s">
        <v>207</v>
      </c>
      <c r="G166" t="s">
        <v>1047</v>
      </c>
      <c r="H166" t="s">
        <v>1548</v>
      </c>
      <c r="I166" t="s">
        <v>1199</v>
      </c>
      <c r="J166" t="s">
        <v>116</v>
      </c>
      <c r="K166" t="s">
        <v>100</v>
      </c>
      <c r="L166" t="s">
        <v>307</v>
      </c>
      <c r="M166" t="s">
        <v>101</v>
      </c>
      <c r="N166" t="s">
        <v>56</v>
      </c>
      <c r="O166" t="s">
        <v>36</v>
      </c>
      <c r="P166" t="s">
        <v>84</v>
      </c>
      <c r="Q166" t="s">
        <v>84</v>
      </c>
      <c r="V166" t="s">
        <v>49</v>
      </c>
      <c r="W166" t="s">
        <v>84</v>
      </c>
      <c r="X166" t="s">
        <v>1156</v>
      </c>
      <c r="Y166" t="s">
        <v>1199</v>
      </c>
      <c r="Z166" t="s">
        <v>84</v>
      </c>
      <c r="AA166" t="s">
        <v>84</v>
      </c>
      <c r="AB166" t="s">
        <v>36</v>
      </c>
      <c r="AC166" t="s">
        <v>1340</v>
      </c>
      <c r="AD166" t="s">
        <v>36</v>
      </c>
      <c r="AE166" t="s">
        <v>1340</v>
      </c>
      <c r="AF166" t="s">
        <v>86</v>
      </c>
      <c r="AG166" t="s">
        <v>269</v>
      </c>
      <c r="AH166" t="s">
        <v>183</v>
      </c>
      <c r="AI166" s="4">
        <f ca="1">data[[#This Row],[Expiry Date]]-TODAY()</f>
        <v>42</v>
      </c>
      <c r="AJ166" s="4">
        <f ca="1">data[[#This Row],[Maturity ( Days)]]/365</f>
        <v>0.11506849315068493</v>
      </c>
      <c r="AK166" s="4" t="str">
        <f>IF(data[[#This Row],[Option Type]]="put","p","c")</f>
        <v>p</v>
      </c>
      <c r="AL166" s="4">
        <f>(data[[#This Row],[Bid]]*data[[#This Row],[Bidsize]]+data[[#This Row],[Ask]]*data[[#This Row],[Asksize]])/(data[[#This Row],[Bidsize]]+data[[#This Row],[Asksize]])</f>
        <v>153.63333333333333</v>
      </c>
      <c r="AM166" s="4">
        <f>VALUE(data[[#This Row],[Strike]])</f>
        <v>3980</v>
      </c>
      <c r="AN166" s="5">
        <f ca="1">impliedVol(data[[#This Row],[OptType]],Details!$B$4,VALUE(data[[#This Row],[Strike]]),VALUE(data[[#This Row],[Cnt Price]]),Details!$B$6,data[[#This Row],[T]],Details!$B$7)</f>
        <v>0.24744949578373185</v>
      </c>
      <c r="AO166" s="7">
        <f t="array" aca="1" ref="AO166:AS166" ca="1">bsGreeks(data[[#This Row],[OptType]],Details!$B$4,VALUE(data[[#This Row],[Strike]]),Details!$B$6,data[[#This Row],[T]],AN166,Details!$B$7)</f>
        <v>-0.53772068224430591</v>
      </c>
      <c r="AP166" s="7">
        <f ca="1"/>
        <v>1.2025331084447976E-3</v>
      </c>
      <c r="AQ166" s="6">
        <f ca="1"/>
        <v>5.2947146483990597</v>
      </c>
      <c r="AR166" s="6">
        <f ca="1"/>
        <v>-149.75529827383448</v>
      </c>
      <c r="AS166" s="6">
        <f ca="1"/>
        <v>-260.84949448318008</v>
      </c>
      <c r="AU166" s="60">
        <f ca="1"/>
        <v>156.23101852767695</v>
      </c>
      <c r="AV166" s="61" t="str">
        <f ca="1"/>
        <v>p</v>
      </c>
      <c r="AW166" s="61">
        <f ca="1"/>
        <v>0.24744949578373185</v>
      </c>
      <c r="AX166" s="62">
        <f ca="1"/>
        <v>-0.53772068224430591</v>
      </c>
      <c r="AY166" s="62">
        <f ca="1"/>
        <v>1.2025331084447976E-3</v>
      </c>
      <c r="AZ166" s="62">
        <f ca="1"/>
        <v>5.2947146483990597</v>
      </c>
      <c r="BA166" s="60">
        <f ca="1"/>
        <v>-149.75529827383448</v>
      </c>
      <c r="BB166" s="60">
        <f ca="1"/>
        <v>-260.84949448318008</v>
      </c>
    </row>
    <row r="167" spans="1:54" x14ac:dyDescent="0.3">
      <c r="A167" t="s">
        <v>441</v>
      </c>
      <c r="B167" t="s">
        <v>442</v>
      </c>
      <c r="C167" t="s">
        <v>57</v>
      </c>
      <c r="D167" t="s">
        <v>94</v>
      </c>
      <c r="E167" t="s">
        <v>84</v>
      </c>
      <c r="F167" t="s">
        <v>208</v>
      </c>
      <c r="G167" t="s">
        <v>1549</v>
      </c>
      <c r="H167" t="s">
        <v>881</v>
      </c>
      <c r="I167" t="s">
        <v>1200</v>
      </c>
      <c r="J167" t="s">
        <v>116</v>
      </c>
      <c r="K167" t="s">
        <v>116</v>
      </c>
      <c r="L167" t="s">
        <v>307</v>
      </c>
      <c r="M167" t="s">
        <v>117</v>
      </c>
      <c r="N167" t="s">
        <v>56</v>
      </c>
      <c r="O167" t="s">
        <v>36</v>
      </c>
      <c r="P167" t="s">
        <v>84</v>
      </c>
      <c r="Q167" t="s">
        <v>84</v>
      </c>
      <c r="V167" t="s">
        <v>49</v>
      </c>
      <c r="W167" t="s">
        <v>84</v>
      </c>
      <c r="X167" t="s">
        <v>1156</v>
      </c>
      <c r="Y167" t="s">
        <v>1200</v>
      </c>
      <c r="Z167" t="s">
        <v>84</v>
      </c>
      <c r="AA167" t="s">
        <v>84</v>
      </c>
      <c r="AB167" t="s">
        <v>36</v>
      </c>
      <c r="AC167" t="s">
        <v>1340</v>
      </c>
      <c r="AD167" t="s">
        <v>36</v>
      </c>
      <c r="AE167" t="s">
        <v>1340</v>
      </c>
      <c r="AF167" t="s">
        <v>86</v>
      </c>
      <c r="AG167" t="s">
        <v>269</v>
      </c>
      <c r="AH167" t="s">
        <v>183</v>
      </c>
      <c r="AI167" s="4">
        <f ca="1">data[[#This Row],[Expiry Date]]-TODAY()</f>
        <v>42</v>
      </c>
      <c r="AJ167" s="4">
        <f ca="1">data[[#This Row],[Maturity ( Days)]]/365</f>
        <v>0.11506849315068493</v>
      </c>
      <c r="AK167" s="4" t="str">
        <f>IF(data[[#This Row],[Option Type]]="put","p","c")</f>
        <v>c</v>
      </c>
      <c r="AL167" s="4">
        <f>(data[[#This Row],[Bid]]*data[[#This Row],[Bidsize]]+data[[#This Row],[Ask]]*data[[#This Row],[Asksize]])/(data[[#This Row],[Bidsize]]+data[[#This Row],[Asksize]])</f>
        <v>139.35</v>
      </c>
      <c r="AM167" s="4">
        <f>VALUE(data[[#This Row],[Strike]])</f>
        <v>3990</v>
      </c>
      <c r="AN167" s="5">
        <f ca="1">impliedVol(data[[#This Row],[OptType]],Details!$B$4,VALUE(data[[#This Row],[Strike]]),VALUE(data[[#This Row],[Cnt Price]]),Details!$B$6,data[[#This Row],[T]],Details!$B$7)</f>
        <v>0.30553359316419892</v>
      </c>
      <c r="AO167" s="7">
        <f t="array" aca="1" ref="AO167:AS167" ca="1">bsGreeks(data[[#This Row],[OptType]],Details!$B$4,VALUE(data[[#This Row],[Strike]]),Details!$B$6,data[[#This Row],[T]],AN167,Details!$B$7)</f>
        <v>0.46689667844923405</v>
      </c>
      <c r="AP167" s="7">
        <f ca="1"/>
        <v>9.7492945614160976E-4</v>
      </c>
      <c r="AQ167" s="6">
        <f ca="1"/>
        <v>5.3001859137414131</v>
      </c>
      <c r="AR167" s="6">
        <f ca="1"/>
        <v>-197.43474183394298</v>
      </c>
      <c r="AS167" s="6">
        <f ca="1"/>
        <v>195.11028402340102</v>
      </c>
      <c r="AU167" s="60">
        <f ca="1"/>
        <v>137.38779439410723</v>
      </c>
      <c r="AV167" s="61" t="str">
        <f ca="1"/>
        <v>c</v>
      </c>
      <c r="AW167" s="61">
        <f ca="1"/>
        <v>0.30553359316419892</v>
      </c>
      <c r="AX167" s="62">
        <f ca="1"/>
        <v>0.46689667844923405</v>
      </c>
      <c r="AY167" s="62">
        <f ca="1"/>
        <v>9.7492945614160976E-4</v>
      </c>
      <c r="AZ167" s="62">
        <f ca="1"/>
        <v>5.3001859137414131</v>
      </c>
      <c r="BA167" s="60">
        <f ca="1"/>
        <v>-197.43474183394298</v>
      </c>
      <c r="BB167" s="60">
        <f ca="1"/>
        <v>195.11028402340102</v>
      </c>
    </row>
    <row r="168" spans="1:54" x14ac:dyDescent="0.3">
      <c r="A168" t="s">
        <v>312</v>
      </c>
      <c r="B168" t="s">
        <v>313</v>
      </c>
      <c r="C168" t="s">
        <v>29</v>
      </c>
      <c r="D168" t="s">
        <v>85</v>
      </c>
      <c r="E168" t="s">
        <v>84</v>
      </c>
      <c r="F168" t="s">
        <v>208</v>
      </c>
      <c r="G168" t="s">
        <v>1135</v>
      </c>
      <c r="H168" t="s">
        <v>979</v>
      </c>
      <c r="I168" t="s">
        <v>981</v>
      </c>
      <c r="J168" t="s">
        <v>116</v>
      </c>
      <c r="K168" t="s">
        <v>121</v>
      </c>
      <c r="L168" t="s">
        <v>307</v>
      </c>
      <c r="M168" t="s">
        <v>110</v>
      </c>
      <c r="N168" t="s">
        <v>56</v>
      </c>
      <c r="O168" t="s">
        <v>36</v>
      </c>
      <c r="P168" t="s">
        <v>84</v>
      </c>
      <c r="Q168" t="s">
        <v>84</v>
      </c>
      <c r="V168" t="s">
        <v>49</v>
      </c>
      <c r="W168" t="s">
        <v>84</v>
      </c>
      <c r="X168" t="s">
        <v>956</v>
      </c>
      <c r="Y168" t="s">
        <v>981</v>
      </c>
      <c r="Z168" t="s">
        <v>84</v>
      </c>
      <c r="AA168" t="s">
        <v>84</v>
      </c>
      <c r="AB168" t="s">
        <v>36</v>
      </c>
      <c r="AC168" t="s">
        <v>1340</v>
      </c>
      <c r="AD168" t="s">
        <v>36</v>
      </c>
      <c r="AE168" t="s">
        <v>1340</v>
      </c>
      <c r="AF168" t="s">
        <v>86</v>
      </c>
      <c r="AG168" t="s">
        <v>269</v>
      </c>
      <c r="AH168" t="s">
        <v>183</v>
      </c>
      <c r="AI168" s="4">
        <f ca="1">data[[#This Row],[Expiry Date]]-TODAY()</f>
        <v>42</v>
      </c>
      <c r="AJ168" s="4">
        <f ca="1">data[[#This Row],[Maturity ( Days)]]/365</f>
        <v>0.11506849315068493</v>
      </c>
      <c r="AK168" s="4" t="str">
        <f>IF(data[[#This Row],[Option Type]]="put","p","c")</f>
        <v>p</v>
      </c>
      <c r="AL168" s="4">
        <f>(data[[#This Row],[Bid]]*data[[#This Row],[Bidsize]]+data[[#This Row],[Ask]]*data[[#This Row],[Asksize]])/(data[[#This Row],[Bidsize]]+data[[#This Row],[Asksize]])</f>
        <v>158.47142857142859</v>
      </c>
      <c r="AM168" s="4">
        <f>VALUE(data[[#This Row],[Strike]])</f>
        <v>3990</v>
      </c>
      <c r="AN168" s="5">
        <f ca="1">impliedVol(data[[#This Row],[OptType]],Details!$B$4,VALUE(data[[#This Row],[Strike]]),VALUE(data[[#This Row],[Cnt Price]]),Details!$B$6,data[[#This Row],[T]],Details!$B$7)</f>
        <v>0.24581768047674279</v>
      </c>
      <c r="AO168" s="7">
        <f t="array" aca="1" ref="AO168:AS168" ca="1">bsGreeks(data[[#This Row],[OptType]],Details!$B$4,VALUE(data[[#This Row],[Strike]]),Details!$B$6,data[[#This Row],[T]],AN168,Details!$B$7)</f>
        <v>-0.55012259114802142</v>
      </c>
      <c r="AP168" s="7">
        <f ca="1"/>
        <v>1.2063456493438839E-3</v>
      </c>
      <c r="AQ168" s="6">
        <f ca="1"/>
        <v>5.2764742430043263</v>
      </c>
      <c r="AR168" s="6">
        <f ca="1"/>
        <v>-148.04598032365925</v>
      </c>
      <c r="AS168" s="6">
        <f ca="1"/>
        <v>-267.01469732893304</v>
      </c>
      <c r="AU168" s="60">
        <f ca="1"/>
        <v>161.13076043693218</v>
      </c>
      <c r="AV168" s="61" t="str">
        <f ca="1"/>
        <v>p</v>
      </c>
      <c r="AW168" s="61">
        <f ca="1"/>
        <v>0.24581768047674279</v>
      </c>
      <c r="AX168" s="62">
        <f ca="1"/>
        <v>-0.55012259114802142</v>
      </c>
      <c r="AY168" s="62">
        <f ca="1"/>
        <v>1.2063456493438839E-3</v>
      </c>
      <c r="AZ168" s="62">
        <f ca="1"/>
        <v>5.2764742430043263</v>
      </c>
      <c r="BA168" s="60">
        <f ca="1"/>
        <v>-148.04598032365925</v>
      </c>
      <c r="BB168" s="60">
        <f ca="1"/>
        <v>-267.01469732893304</v>
      </c>
    </row>
    <row r="169" spans="1:54" x14ac:dyDescent="0.3">
      <c r="A169" t="s">
        <v>619</v>
      </c>
      <c r="B169" t="s">
        <v>620</v>
      </c>
      <c r="C169" t="s">
        <v>57</v>
      </c>
      <c r="D169" t="s">
        <v>85</v>
      </c>
      <c r="E169" t="s">
        <v>84</v>
      </c>
      <c r="F169" t="s">
        <v>138</v>
      </c>
      <c r="G169" t="s">
        <v>1550</v>
      </c>
      <c r="H169" t="s">
        <v>858</v>
      </c>
      <c r="I169" t="s">
        <v>1201</v>
      </c>
      <c r="J169" t="s">
        <v>116</v>
      </c>
      <c r="K169" t="s">
        <v>116</v>
      </c>
      <c r="L169" t="s">
        <v>307</v>
      </c>
      <c r="M169" t="s">
        <v>106</v>
      </c>
      <c r="N169" t="s">
        <v>56</v>
      </c>
      <c r="O169" t="s">
        <v>36</v>
      </c>
      <c r="P169" t="s">
        <v>84</v>
      </c>
      <c r="Q169" t="s">
        <v>84</v>
      </c>
      <c r="V169" t="s">
        <v>49</v>
      </c>
      <c r="W169" t="s">
        <v>84</v>
      </c>
      <c r="X169" t="s">
        <v>1105</v>
      </c>
      <c r="Y169" t="s">
        <v>1201</v>
      </c>
      <c r="Z169" t="s">
        <v>84</v>
      </c>
      <c r="AA169" t="s">
        <v>84</v>
      </c>
      <c r="AB169" t="s">
        <v>36</v>
      </c>
      <c r="AC169" t="s">
        <v>1340</v>
      </c>
      <c r="AD169" t="s">
        <v>36</v>
      </c>
      <c r="AE169" t="s">
        <v>1340</v>
      </c>
      <c r="AF169" t="s">
        <v>86</v>
      </c>
      <c r="AG169" t="s">
        <v>269</v>
      </c>
      <c r="AH169" t="s">
        <v>183</v>
      </c>
      <c r="AI169" s="4">
        <f ca="1">data[[#This Row],[Expiry Date]]-TODAY()</f>
        <v>42</v>
      </c>
      <c r="AJ169" s="4">
        <f ca="1">data[[#This Row],[Maturity ( Days)]]/365</f>
        <v>0.11506849315068493</v>
      </c>
      <c r="AK169" s="4" t="str">
        <f>IF(data[[#This Row],[Option Type]]="put","p","c")</f>
        <v>c</v>
      </c>
      <c r="AL169" s="4">
        <f>(data[[#This Row],[Bid]]*data[[#This Row],[Bidsize]]+data[[#This Row],[Ask]]*data[[#This Row],[Asksize]])/(data[[#This Row],[Bidsize]]+data[[#This Row],[Asksize]])</f>
        <v>134</v>
      </c>
      <c r="AM169" s="4">
        <f>VALUE(data[[#This Row],[Strike]])</f>
        <v>4000</v>
      </c>
      <c r="AN169" s="5">
        <f ca="1">impliedVol(data[[#This Row],[OptType]],Details!$B$4,VALUE(data[[#This Row],[Strike]]),VALUE(data[[#This Row],[Cnt Price]]),Details!$B$6,data[[#This Row],[T]],Details!$B$7)</f>
        <v>0.30344772997553304</v>
      </c>
      <c r="AO169" s="7">
        <f t="array" aca="1" ref="AO169:AS169" ca="1">bsGreeks(data[[#This Row],[OptType]],Details!$B$4,VALUE(data[[#This Row],[Strike]]),Details!$B$6,data[[#This Row],[T]],AN169,Details!$B$7)</f>
        <v>0.45673139048302502</v>
      </c>
      <c r="AP169" s="7">
        <f ca="1"/>
        <v>9.7922483114596943E-4</v>
      </c>
      <c r="AQ169" s="6">
        <f ca="1"/>
        <v>5.2871941041389263</v>
      </c>
      <c r="AR169" s="6">
        <f ca="1"/>
        <v>-195.55438509026968</v>
      </c>
      <c r="AS169" s="6">
        <f ca="1"/>
        <v>191.128873888165</v>
      </c>
      <c r="AU169" s="60">
        <f ca="1"/>
        <v>132.0775864655418</v>
      </c>
      <c r="AV169" s="61" t="str">
        <f ca="1"/>
        <v>c</v>
      </c>
      <c r="AW169" s="61">
        <f ca="1"/>
        <v>0.30344772997553304</v>
      </c>
      <c r="AX169" s="62">
        <f ca="1"/>
        <v>0.45673139048302502</v>
      </c>
      <c r="AY169" s="62">
        <f ca="1"/>
        <v>9.7922483114596943E-4</v>
      </c>
      <c r="AZ169" s="62">
        <f ca="1"/>
        <v>5.2871941041389263</v>
      </c>
      <c r="BA169" s="60">
        <f ca="1"/>
        <v>-195.55438509026968</v>
      </c>
      <c r="BB169" s="60">
        <f ca="1"/>
        <v>191.128873888165</v>
      </c>
    </row>
    <row r="170" spans="1:54" x14ac:dyDescent="0.3">
      <c r="A170" t="s">
        <v>621</v>
      </c>
      <c r="B170" t="s">
        <v>622</v>
      </c>
      <c r="C170" t="s">
        <v>29</v>
      </c>
      <c r="D170" t="s">
        <v>85</v>
      </c>
      <c r="E170" t="s">
        <v>84</v>
      </c>
      <c r="F170" t="s">
        <v>138</v>
      </c>
      <c r="G170" t="s">
        <v>1296</v>
      </c>
      <c r="H170" t="s">
        <v>1048</v>
      </c>
      <c r="I170" t="s">
        <v>760</v>
      </c>
      <c r="J170" t="s">
        <v>116</v>
      </c>
      <c r="K170" t="s">
        <v>121</v>
      </c>
      <c r="L170" t="s">
        <v>307</v>
      </c>
      <c r="M170" t="s">
        <v>826</v>
      </c>
      <c r="N170" t="s">
        <v>56</v>
      </c>
      <c r="O170" t="s">
        <v>36</v>
      </c>
      <c r="P170" t="s">
        <v>84</v>
      </c>
      <c r="Q170" t="s">
        <v>84</v>
      </c>
      <c r="V170" t="s">
        <v>49</v>
      </c>
      <c r="W170" t="s">
        <v>84</v>
      </c>
      <c r="X170" t="s">
        <v>1158</v>
      </c>
      <c r="Y170" t="s">
        <v>760</v>
      </c>
      <c r="Z170" t="s">
        <v>84</v>
      </c>
      <c r="AA170" t="s">
        <v>84</v>
      </c>
      <c r="AB170" t="s">
        <v>36</v>
      </c>
      <c r="AC170" t="s">
        <v>1340</v>
      </c>
      <c r="AD170" t="s">
        <v>36</v>
      </c>
      <c r="AE170" t="s">
        <v>1340</v>
      </c>
      <c r="AF170" t="s">
        <v>86</v>
      </c>
      <c r="AG170" t="s">
        <v>269</v>
      </c>
      <c r="AH170" t="s">
        <v>183</v>
      </c>
      <c r="AI170" s="4">
        <f ca="1">data[[#This Row],[Expiry Date]]-TODAY()</f>
        <v>42</v>
      </c>
      <c r="AJ170" s="4">
        <f ca="1">data[[#This Row],[Maturity ( Days)]]/365</f>
        <v>0.11506849315068493</v>
      </c>
      <c r="AK170" s="4" t="str">
        <f>IF(data[[#This Row],[Option Type]]="put","p","c")</f>
        <v>p</v>
      </c>
      <c r="AL170" s="4">
        <f>(data[[#This Row],[Bid]]*data[[#This Row],[Bidsize]]+data[[#This Row],[Ask]]*data[[#This Row],[Asksize]])/(data[[#This Row],[Bidsize]]+data[[#This Row],[Asksize]])</f>
        <v>163.13571428571427</v>
      </c>
      <c r="AM170" s="4">
        <f>VALUE(data[[#This Row],[Strike]])</f>
        <v>4000</v>
      </c>
      <c r="AN170" s="5">
        <f ca="1">impliedVol(data[[#This Row],[OptType]],Details!$B$4,VALUE(data[[#This Row],[Strike]]),VALUE(data[[#This Row],[Cnt Price]]),Details!$B$6,data[[#This Row],[T]],Details!$B$7)</f>
        <v>0.2436214138174756</v>
      </c>
      <c r="AO170" s="7">
        <f t="array" aca="1" ref="AO170:AS170" ca="1">bsGreeks(data[[#This Row],[OptType]],Details!$B$4,VALUE(data[[#This Row],[Strike]]),Details!$B$6,data[[#This Row],[T]],AN170,Details!$B$7)</f>
        <v>-0.56282850290875308</v>
      </c>
      <c r="AP170" s="7">
        <f ca="1"/>
        <v>1.2116703706271125E-3</v>
      </c>
      <c r="AQ170" s="6">
        <f ca="1"/>
        <v>5.2524132849703236</v>
      </c>
      <c r="AR170" s="6">
        <f ca="1"/>
        <v>-145.81880273603608</v>
      </c>
      <c r="AS170" s="6">
        <f ca="1"/>
        <v>-273.29737710099869</v>
      </c>
      <c r="AU170" s="60">
        <f ca="1"/>
        <v>165.85785267435222</v>
      </c>
      <c r="AV170" s="61" t="str">
        <f ca="1"/>
        <v>p</v>
      </c>
      <c r="AW170" s="61">
        <f ca="1"/>
        <v>0.2436214138174756</v>
      </c>
      <c r="AX170" s="62">
        <f ca="1"/>
        <v>-0.56282850290875308</v>
      </c>
      <c r="AY170" s="62">
        <f ca="1"/>
        <v>1.2116703706271125E-3</v>
      </c>
      <c r="AZ170" s="62">
        <f ca="1"/>
        <v>5.2524132849703236</v>
      </c>
      <c r="BA170" s="60">
        <f ca="1"/>
        <v>-145.81880273603608</v>
      </c>
      <c r="BB170" s="60">
        <f ca="1"/>
        <v>-273.29737710099869</v>
      </c>
    </row>
    <row r="171" spans="1:54" x14ac:dyDescent="0.3">
      <c r="A171" t="s">
        <v>623</v>
      </c>
      <c r="B171" t="s">
        <v>624</v>
      </c>
      <c r="C171" t="s">
        <v>29</v>
      </c>
      <c r="D171" t="s">
        <v>85</v>
      </c>
      <c r="E171" t="s">
        <v>84</v>
      </c>
      <c r="F171" t="s">
        <v>192</v>
      </c>
      <c r="G171" t="s">
        <v>1352</v>
      </c>
      <c r="H171" t="s">
        <v>952</v>
      </c>
      <c r="I171" t="s">
        <v>598</v>
      </c>
      <c r="J171" t="s">
        <v>116</v>
      </c>
      <c r="K171" t="s">
        <v>100</v>
      </c>
      <c r="L171" t="s">
        <v>307</v>
      </c>
      <c r="M171" t="s">
        <v>1110</v>
      </c>
      <c r="N171" t="s">
        <v>56</v>
      </c>
      <c r="O171" t="s">
        <v>36</v>
      </c>
      <c r="P171" t="s">
        <v>84</v>
      </c>
      <c r="Q171" t="s">
        <v>84</v>
      </c>
      <c r="V171" t="s">
        <v>49</v>
      </c>
      <c r="W171" t="s">
        <v>84</v>
      </c>
      <c r="X171" t="s">
        <v>1158</v>
      </c>
      <c r="Y171" t="s">
        <v>598</v>
      </c>
      <c r="Z171" t="s">
        <v>84</v>
      </c>
      <c r="AA171" t="s">
        <v>84</v>
      </c>
      <c r="AB171" t="s">
        <v>36</v>
      </c>
      <c r="AC171" t="s">
        <v>1340</v>
      </c>
      <c r="AD171" t="s">
        <v>36</v>
      </c>
      <c r="AE171" t="s">
        <v>1340</v>
      </c>
      <c r="AF171" t="s">
        <v>86</v>
      </c>
      <c r="AG171" t="s">
        <v>269</v>
      </c>
      <c r="AH171" t="s">
        <v>183</v>
      </c>
      <c r="AI171" s="4">
        <f ca="1">data[[#This Row],[Expiry Date]]-TODAY()</f>
        <v>42</v>
      </c>
      <c r="AJ171" s="4">
        <f ca="1">data[[#This Row],[Maturity ( Days)]]/365</f>
        <v>0.11506849315068493</v>
      </c>
      <c r="AK171" s="4" t="str">
        <f>IF(data[[#This Row],[Option Type]]="put","p","c")</f>
        <v>p</v>
      </c>
      <c r="AL171" s="4">
        <f>(data[[#This Row],[Bid]]*data[[#This Row],[Bidsize]]+data[[#This Row],[Ask]]*data[[#This Row],[Asksize]])/(data[[#This Row],[Bidsize]]+data[[#This Row],[Asksize]])</f>
        <v>167.63333333333333</v>
      </c>
      <c r="AM171" s="4">
        <f>VALUE(data[[#This Row],[Strike]])</f>
        <v>4010</v>
      </c>
      <c r="AN171" s="5">
        <f ca="1">impliedVol(data[[#This Row],[OptType]],Details!$B$4,VALUE(data[[#This Row],[Strike]]),VALUE(data[[#This Row],[Cnt Price]]),Details!$B$6,data[[#This Row],[T]],Details!$B$7)</f>
        <v>0.24086278775540484</v>
      </c>
      <c r="AO171" s="7">
        <f t="array" aca="1" ref="AO171:AS171" ca="1">bsGreeks(data[[#This Row],[OptType]],Details!$B$4,VALUE(data[[#This Row],[Strike]]),Details!$B$6,data[[#This Row],[T]],AN171,Details!$B$7)</f>
        <v>-0.57591604141555641</v>
      </c>
      <c r="AP171" s="7">
        <f ca="1"/>
        <v>1.2184321568795141E-3</v>
      </c>
      <c r="AQ171" s="6">
        <f ca="1"/>
        <v>5.2219174830474371</v>
      </c>
      <c r="AR171" s="6">
        <f ca="1"/>
        <v>-143.06601147877194</v>
      </c>
      <c r="AS171" s="6">
        <f ca="1"/>
        <v>-279.73345952711867</v>
      </c>
      <c r="AU171" s="60">
        <f ca="1"/>
        <v>170.41979829165575</v>
      </c>
      <c r="AV171" s="61" t="str">
        <f ca="1"/>
        <v>p</v>
      </c>
      <c r="AW171" s="61">
        <f ca="1"/>
        <v>0.24086278775540484</v>
      </c>
      <c r="AX171" s="62">
        <f ca="1"/>
        <v>-0.57591604141555641</v>
      </c>
      <c r="AY171" s="62">
        <f ca="1"/>
        <v>1.2184321568795141E-3</v>
      </c>
      <c r="AZ171" s="62">
        <f ca="1"/>
        <v>5.2219174830474371</v>
      </c>
      <c r="BA171" s="60">
        <f ca="1"/>
        <v>-143.06601147877194</v>
      </c>
      <c r="BB171" s="60">
        <f ca="1"/>
        <v>-279.73345952711867</v>
      </c>
    </row>
    <row r="172" spans="1:54" x14ac:dyDescent="0.3">
      <c r="A172" t="s">
        <v>443</v>
      </c>
      <c r="B172" t="s">
        <v>444</v>
      </c>
      <c r="C172" t="s">
        <v>57</v>
      </c>
      <c r="D172" t="s">
        <v>85</v>
      </c>
      <c r="E172" t="s">
        <v>84</v>
      </c>
      <c r="F172" t="s">
        <v>192</v>
      </c>
      <c r="G172" t="s">
        <v>758</v>
      </c>
      <c r="H172" t="s">
        <v>1084</v>
      </c>
      <c r="I172" t="s">
        <v>1203</v>
      </c>
      <c r="J172" t="s">
        <v>116</v>
      </c>
      <c r="K172" t="s">
        <v>116</v>
      </c>
      <c r="L172" t="s">
        <v>307</v>
      </c>
      <c r="M172" t="s">
        <v>94</v>
      </c>
      <c r="N172" t="s">
        <v>56</v>
      </c>
      <c r="O172" t="s">
        <v>36</v>
      </c>
      <c r="P172" t="s">
        <v>84</v>
      </c>
      <c r="Q172" t="s">
        <v>84</v>
      </c>
      <c r="V172" t="s">
        <v>49</v>
      </c>
      <c r="W172" t="s">
        <v>84</v>
      </c>
      <c r="X172" t="s">
        <v>1105</v>
      </c>
      <c r="Y172" t="s">
        <v>1203</v>
      </c>
      <c r="Z172" t="s">
        <v>84</v>
      </c>
      <c r="AA172" t="s">
        <v>84</v>
      </c>
      <c r="AB172" t="s">
        <v>36</v>
      </c>
      <c r="AC172" t="s">
        <v>1340</v>
      </c>
      <c r="AD172" t="s">
        <v>36</v>
      </c>
      <c r="AE172" t="s">
        <v>1340</v>
      </c>
      <c r="AF172" t="s">
        <v>86</v>
      </c>
      <c r="AG172" t="s">
        <v>269</v>
      </c>
      <c r="AH172" t="s">
        <v>183</v>
      </c>
      <c r="AI172" s="4">
        <f ca="1">data[[#This Row],[Expiry Date]]-TODAY()</f>
        <v>42</v>
      </c>
      <c r="AJ172" s="4">
        <f ca="1">data[[#This Row],[Maturity ( Days)]]/365</f>
        <v>0.11506849315068493</v>
      </c>
      <c r="AK172" s="4" t="str">
        <f>IF(data[[#This Row],[Option Type]]="put","p","c")</f>
        <v>c</v>
      </c>
      <c r="AL172" s="4">
        <f>(data[[#This Row],[Bid]]*data[[#This Row],[Bidsize]]+data[[#This Row],[Ask]]*data[[#This Row],[Asksize]])/(data[[#This Row],[Bidsize]]+data[[#This Row],[Asksize]])</f>
        <v>128.80000000000001</v>
      </c>
      <c r="AM172" s="4">
        <f>VALUE(data[[#This Row],[Strike]])</f>
        <v>4010</v>
      </c>
      <c r="AN172" s="5">
        <f ca="1">impliedVol(data[[#This Row],[OptType]],Details!$B$4,VALUE(data[[#This Row],[Strike]]),VALUE(data[[#This Row],[Cnt Price]]),Details!$B$6,data[[#This Row],[T]],Details!$B$7)</f>
        <v>0.30145636516554475</v>
      </c>
      <c r="AO172" s="7">
        <f t="array" aca="1" ref="AO172:AS172" ca="1">bsGreeks(data[[#This Row],[OptType]],Details!$B$4,VALUE(data[[#This Row],[Strike]]),Details!$B$6,data[[#This Row],[T]],AN172,Details!$B$7)</f>
        <v>0.44650969686517522</v>
      </c>
      <c r="AP172" s="7">
        <f ca="1"/>
        <v>9.8260488661598873E-4</v>
      </c>
      <c r="AQ172" s="6">
        <f ca="1"/>
        <v>5.2706274765453465</v>
      </c>
      <c r="AR172" s="6">
        <f ca="1"/>
        <v>-193.61050292243826</v>
      </c>
      <c r="AS172" s="6">
        <f ca="1"/>
        <v>187.10469416725263</v>
      </c>
      <c r="AU172" s="60">
        <f ca="1"/>
        <v>126.91781582159615</v>
      </c>
      <c r="AV172" s="61" t="str">
        <f ca="1"/>
        <v>c</v>
      </c>
      <c r="AW172" s="61">
        <f ca="1"/>
        <v>0.30145636516554475</v>
      </c>
      <c r="AX172" s="62">
        <f ca="1"/>
        <v>0.44650969686517522</v>
      </c>
      <c r="AY172" s="62">
        <f ca="1"/>
        <v>9.8260488661598873E-4</v>
      </c>
      <c r="AZ172" s="62">
        <f ca="1"/>
        <v>5.2706274765453465</v>
      </c>
      <c r="BA172" s="60">
        <f ca="1"/>
        <v>-193.61050292243826</v>
      </c>
      <c r="BB172" s="60">
        <f ca="1"/>
        <v>187.10469416725263</v>
      </c>
    </row>
    <row r="173" spans="1:54" x14ac:dyDescent="0.3">
      <c r="A173" t="s">
        <v>625</v>
      </c>
      <c r="B173" t="s">
        <v>626</v>
      </c>
      <c r="C173" t="s">
        <v>29</v>
      </c>
      <c r="D173" t="s">
        <v>85</v>
      </c>
      <c r="E173" t="s">
        <v>84</v>
      </c>
      <c r="F173" t="s">
        <v>215</v>
      </c>
      <c r="G173" t="s">
        <v>1157</v>
      </c>
      <c r="H173" t="s">
        <v>1400</v>
      </c>
      <c r="I173" t="s">
        <v>930</v>
      </c>
      <c r="J173" t="s">
        <v>116</v>
      </c>
      <c r="K173" t="s">
        <v>117</v>
      </c>
      <c r="L173" t="s">
        <v>307</v>
      </c>
      <c r="M173" t="s">
        <v>99</v>
      </c>
      <c r="N173" t="s">
        <v>56</v>
      </c>
      <c r="O173" t="s">
        <v>36</v>
      </c>
      <c r="P173" t="s">
        <v>84</v>
      </c>
      <c r="Q173" t="s">
        <v>84</v>
      </c>
      <c r="V173" t="s">
        <v>49</v>
      </c>
      <c r="W173" t="s">
        <v>84</v>
      </c>
      <c r="X173" t="s">
        <v>868</v>
      </c>
      <c r="Y173" t="s">
        <v>930</v>
      </c>
      <c r="Z173" t="s">
        <v>84</v>
      </c>
      <c r="AA173" t="s">
        <v>84</v>
      </c>
      <c r="AB173" t="s">
        <v>36</v>
      </c>
      <c r="AC173" t="s">
        <v>1340</v>
      </c>
      <c r="AD173" t="s">
        <v>36</v>
      </c>
      <c r="AE173" t="s">
        <v>1340</v>
      </c>
      <c r="AF173" t="s">
        <v>86</v>
      </c>
      <c r="AG173" t="s">
        <v>269</v>
      </c>
      <c r="AH173" t="s">
        <v>183</v>
      </c>
      <c r="AI173" s="4">
        <f ca="1">data[[#This Row],[Expiry Date]]-TODAY()</f>
        <v>42</v>
      </c>
      <c r="AJ173" s="4">
        <f ca="1">data[[#This Row],[Maturity ( Days)]]/365</f>
        <v>0.11506849315068493</v>
      </c>
      <c r="AK173" s="4" t="str">
        <f>IF(data[[#This Row],[Option Type]]="put","p","c")</f>
        <v>p</v>
      </c>
      <c r="AL173" s="4">
        <f>(data[[#This Row],[Bid]]*data[[#This Row],[Bidsize]]+data[[#This Row],[Ask]]*data[[#This Row],[Asksize]])/(data[[#This Row],[Bidsize]]+data[[#This Row],[Asksize]])</f>
        <v>172.4941176470588</v>
      </c>
      <c r="AM173" s="4">
        <f>VALUE(data[[#This Row],[Strike]])</f>
        <v>4020</v>
      </c>
      <c r="AN173" s="5">
        <f ca="1">impliedVol(data[[#This Row],[OptType]],Details!$B$4,VALUE(data[[#This Row],[Strike]]),VALUE(data[[#This Row],[Cnt Price]]),Details!$B$6,data[[#This Row],[T]],Details!$B$7)</f>
        <v>0.2385449873266578</v>
      </c>
      <c r="AO173" s="7">
        <f t="array" aca="1" ref="AO173:AS173" ca="1">bsGreeks(data[[#This Row],[OptType]],Details!$B$4,VALUE(data[[#This Row],[Strike]]),Details!$B$6,data[[#This Row],[T]],AN173,Details!$B$7)</f>
        <v>-0.58896629453724303</v>
      </c>
      <c r="AP173" s="7">
        <f ca="1"/>
        <v>1.221738949733645E-3</v>
      </c>
      <c r="AQ173" s="6">
        <f ca="1"/>
        <v>5.185703221480721</v>
      </c>
      <c r="AR173" s="6">
        <f ca="1"/>
        <v>-140.44270389612319</v>
      </c>
      <c r="AS173" s="6">
        <f ca="1"/>
        <v>-286.19447339016642</v>
      </c>
      <c r="AU173" s="60">
        <f ca="1"/>
        <v>175.34519397217991</v>
      </c>
      <c r="AV173" s="61" t="str">
        <f ca="1"/>
        <v>p</v>
      </c>
      <c r="AW173" s="61">
        <f ca="1"/>
        <v>0.2385449873266578</v>
      </c>
      <c r="AX173" s="62">
        <f ca="1"/>
        <v>-0.58896629453724303</v>
      </c>
      <c r="AY173" s="62">
        <f ca="1"/>
        <v>1.221738949733645E-3</v>
      </c>
      <c r="AZ173" s="62">
        <f ca="1"/>
        <v>5.185703221480721</v>
      </c>
      <c r="BA173" s="60">
        <f ca="1"/>
        <v>-140.44270389612319</v>
      </c>
      <c r="BB173" s="60">
        <f ca="1"/>
        <v>-286.19447339016642</v>
      </c>
    </row>
    <row r="174" spans="1:54" x14ac:dyDescent="0.3">
      <c r="A174" t="s">
        <v>627</v>
      </c>
      <c r="B174" t="s">
        <v>628</v>
      </c>
      <c r="C174" t="s">
        <v>57</v>
      </c>
      <c r="D174" t="s">
        <v>85</v>
      </c>
      <c r="E174" t="s">
        <v>84</v>
      </c>
      <c r="F174" t="s">
        <v>215</v>
      </c>
      <c r="G174" t="s">
        <v>895</v>
      </c>
      <c r="H174" t="s">
        <v>1411</v>
      </c>
      <c r="I174" t="s">
        <v>857</v>
      </c>
      <c r="J174" t="s">
        <v>116</v>
      </c>
      <c r="K174" t="s">
        <v>116</v>
      </c>
      <c r="L174" t="s">
        <v>307</v>
      </c>
      <c r="M174" t="s">
        <v>83</v>
      </c>
      <c r="N174" t="s">
        <v>56</v>
      </c>
      <c r="O174" t="s">
        <v>36</v>
      </c>
      <c r="P174" t="s">
        <v>84</v>
      </c>
      <c r="Q174" t="s">
        <v>84</v>
      </c>
      <c r="V174" t="s">
        <v>49</v>
      </c>
      <c r="W174" t="s">
        <v>84</v>
      </c>
      <c r="X174" t="s">
        <v>824</v>
      </c>
      <c r="Y174" t="s">
        <v>857</v>
      </c>
      <c r="Z174" t="s">
        <v>84</v>
      </c>
      <c r="AA174" t="s">
        <v>84</v>
      </c>
      <c r="AB174" t="s">
        <v>36</v>
      </c>
      <c r="AC174" t="s">
        <v>1340</v>
      </c>
      <c r="AD174" t="s">
        <v>36</v>
      </c>
      <c r="AE174" t="s">
        <v>1340</v>
      </c>
      <c r="AF174" t="s">
        <v>86</v>
      </c>
      <c r="AG174" t="s">
        <v>269</v>
      </c>
      <c r="AH174" t="s">
        <v>183</v>
      </c>
      <c r="AI174" s="4">
        <f ca="1">data[[#This Row],[Expiry Date]]-TODAY()</f>
        <v>42</v>
      </c>
      <c r="AJ174" s="4">
        <f ca="1">data[[#This Row],[Maturity ( Days)]]/365</f>
        <v>0.11506849315068493</v>
      </c>
      <c r="AK174" s="4" t="str">
        <f>IF(data[[#This Row],[Option Type]]="put","p","c")</f>
        <v>c</v>
      </c>
      <c r="AL174" s="4">
        <f>(data[[#This Row],[Bid]]*data[[#This Row],[Bidsize]]+data[[#This Row],[Ask]]*data[[#This Row],[Asksize]])/(data[[#This Row],[Bidsize]]+data[[#This Row],[Asksize]])</f>
        <v>123.7</v>
      </c>
      <c r="AM174" s="4">
        <f>VALUE(data[[#This Row],[Strike]])</f>
        <v>4020</v>
      </c>
      <c r="AN174" s="5">
        <f ca="1">impliedVol(data[[#This Row],[OptType]],Details!$B$4,VALUE(data[[#This Row],[Strike]]),VALUE(data[[#This Row],[Cnt Price]]),Details!$B$6,data[[#This Row],[T]],Details!$B$7)</f>
        <v>0.29946284070880463</v>
      </c>
      <c r="AO174" s="7">
        <f t="array" aca="1" ref="AO174:AS174" ca="1">bsGreeks(data[[#This Row],[OptType]],Details!$B$4,VALUE(data[[#This Row],[Strike]]),Details!$B$6,data[[#This Row],[T]],AN174,Details!$B$7)</f>
        <v>0.4362133546125504</v>
      </c>
      <c r="AP174" s="7">
        <f ca="1"/>
        <v>9.8534578318558853E-4</v>
      </c>
      <c r="AQ174" s="6">
        <f ca="1"/>
        <v>5.2503776940278808</v>
      </c>
      <c r="AR174" s="6">
        <f ca="1"/>
        <v>-191.54074002333383</v>
      </c>
      <c r="AS174" s="6">
        <f ca="1"/>
        <v>183.03524861607744</v>
      </c>
      <c r="AU174" s="60">
        <f ca="1"/>
        <v>121.85850461007067</v>
      </c>
      <c r="AV174" s="61" t="str">
        <f ca="1"/>
        <v>c</v>
      </c>
      <c r="AW174" s="61">
        <f ca="1"/>
        <v>0.29946284070880463</v>
      </c>
      <c r="AX174" s="62">
        <f ca="1"/>
        <v>0.4362133546125504</v>
      </c>
      <c r="AY174" s="62">
        <f ca="1"/>
        <v>9.8534578318558853E-4</v>
      </c>
      <c r="AZ174" s="62">
        <f ca="1"/>
        <v>5.2503776940278808</v>
      </c>
      <c r="BA174" s="60">
        <f ca="1"/>
        <v>-191.54074002333383</v>
      </c>
      <c r="BB174" s="60">
        <f ca="1"/>
        <v>183.03524861607744</v>
      </c>
    </row>
    <row r="175" spans="1:54" x14ac:dyDescent="0.3">
      <c r="A175" t="s">
        <v>445</v>
      </c>
      <c r="B175" t="s">
        <v>446</v>
      </c>
      <c r="C175" t="s">
        <v>57</v>
      </c>
      <c r="D175" t="s">
        <v>85</v>
      </c>
      <c r="E175" t="s">
        <v>84</v>
      </c>
      <c r="F175" t="s">
        <v>139</v>
      </c>
      <c r="G175" t="s">
        <v>974</v>
      </c>
      <c r="H175" t="s">
        <v>1331</v>
      </c>
      <c r="I175" t="s">
        <v>983</v>
      </c>
      <c r="J175" t="s">
        <v>116</v>
      </c>
      <c r="K175" t="s">
        <v>116</v>
      </c>
      <c r="L175" t="s">
        <v>307</v>
      </c>
      <c r="M175" t="s">
        <v>1035</v>
      </c>
      <c r="N175" t="s">
        <v>56</v>
      </c>
      <c r="O175" t="s">
        <v>36</v>
      </c>
      <c r="P175" t="s">
        <v>84</v>
      </c>
      <c r="Q175" t="s">
        <v>84</v>
      </c>
      <c r="V175" t="s">
        <v>49</v>
      </c>
      <c r="W175" t="s">
        <v>84</v>
      </c>
      <c r="X175" t="s">
        <v>868</v>
      </c>
      <c r="Y175" t="s">
        <v>983</v>
      </c>
      <c r="Z175" t="s">
        <v>84</v>
      </c>
      <c r="AA175" t="s">
        <v>84</v>
      </c>
      <c r="AB175" t="s">
        <v>36</v>
      </c>
      <c r="AC175" t="s">
        <v>1340</v>
      </c>
      <c r="AD175" t="s">
        <v>36</v>
      </c>
      <c r="AE175" t="s">
        <v>1340</v>
      </c>
      <c r="AF175" t="s">
        <v>86</v>
      </c>
      <c r="AG175" t="s">
        <v>269</v>
      </c>
      <c r="AH175" t="s">
        <v>183</v>
      </c>
      <c r="AI175" s="4">
        <f ca="1">data[[#This Row],[Expiry Date]]-TODAY()</f>
        <v>42</v>
      </c>
      <c r="AJ175" s="4">
        <f ca="1">data[[#This Row],[Maturity ( Days)]]/365</f>
        <v>0.11506849315068493</v>
      </c>
      <c r="AK175" s="4" t="str">
        <f>IF(data[[#This Row],[Option Type]]="put","p","c")</f>
        <v>c</v>
      </c>
      <c r="AL175" s="4">
        <f>(data[[#This Row],[Bid]]*data[[#This Row],[Bidsize]]+data[[#This Row],[Ask]]*data[[#This Row],[Asksize]])/(data[[#This Row],[Bidsize]]+data[[#This Row],[Asksize]])</f>
        <v>121.2</v>
      </c>
      <c r="AM175" s="4">
        <f>VALUE(data[[#This Row],[Strike]])</f>
        <v>4025</v>
      </c>
      <c r="AN175" s="5">
        <f ca="1">impliedVol(data[[#This Row],[OptType]],Details!$B$4,VALUE(data[[#This Row],[Strike]]),VALUE(data[[#This Row],[Cnt Price]]),Details!$B$6,data[[#This Row],[T]],Details!$B$7)</f>
        <v>0.29848834182187467</v>
      </c>
      <c r="AO175" s="7">
        <f t="array" aca="1" ref="AO175:AS175" ca="1">bsGreeks(data[[#This Row],[OptType]],Details!$B$4,VALUE(data[[#This Row],[Strike]]),Details!$B$6,data[[#This Row],[T]],AN175,Details!$B$7)</f>
        <v>0.43104727630618644</v>
      </c>
      <c r="AP175" s="7">
        <f ca="1"/>
        <v>9.8639533932476505E-4</v>
      </c>
      <c r="AQ175" s="6">
        <f ca="1"/>
        <v>5.2388664656360842</v>
      </c>
      <c r="AR175" s="6">
        <f ca="1"/>
        <v>-190.47375890899951</v>
      </c>
      <c r="AS175" s="6">
        <f ca="1"/>
        <v>180.98667390380322</v>
      </c>
      <c r="AU175" s="60">
        <f ca="1"/>
        <v>119.37899087919163</v>
      </c>
      <c r="AV175" s="61" t="str">
        <f ca="1"/>
        <v>c</v>
      </c>
      <c r="AW175" s="61">
        <f ca="1"/>
        <v>0.29848834182187467</v>
      </c>
      <c r="AX175" s="62">
        <f ca="1"/>
        <v>0.43104727630618644</v>
      </c>
      <c r="AY175" s="62">
        <f ca="1"/>
        <v>9.8639533932476505E-4</v>
      </c>
      <c r="AZ175" s="62">
        <f ca="1"/>
        <v>5.2388664656360842</v>
      </c>
      <c r="BA175" s="60">
        <f ca="1"/>
        <v>-190.47375890899951</v>
      </c>
      <c r="BB175" s="60">
        <f ca="1"/>
        <v>180.98667390380322</v>
      </c>
    </row>
    <row r="176" spans="1:54" x14ac:dyDescent="0.3">
      <c r="A176" t="s">
        <v>629</v>
      </c>
      <c r="B176" t="s">
        <v>630</v>
      </c>
      <c r="C176" t="s">
        <v>29</v>
      </c>
      <c r="D176" t="s">
        <v>85</v>
      </c>
      <c r="E176" t="s">
        <v>84</v>
      </c>
      <c r="F176" t="s">
        <v>139</v>
      </c>
      <c r="G176" t="s">
        <v>1401</v>
      </c>
      <c r="H176" t="s">
        <v>1395</v>
      </c>
      <c r="I176" t="s">
        <v>899</v>
      </c>
      <c r="J176" t="s">
        <v>116</v>
      </c>
      <c r="K176" t="s">
        <v>116</v>
      </c>
      <c r="L176" t="s">
        <v>307</v>
      </c>
      <c r="M176" t="s">
        <v>99</v>
      </c>
      <c r="N176" t="s">
        <v>56</v>
      </c>
      <c r="O176" t="s">
        <v>36</v>
      </c>
      <c r="P176" t="s">
        <v>84</v>
      </c>
      <c r="Q176" t="s">
        <v>84</v>
      </c>
      <c r="V176" t="s">
        <v>49</v>
      </c>
      <c r="W176" t="s">
        <v>84</v>
      </c>
      <c r="X176" t="s">
        <v>956</v>
      </c>
      <c r="Y176" t="s">
        <v>899</v>
      </c>
      <c r="Z176" t="s">
        <v>84</v>
      </c>
      <c r="AA176" t="s">
        <v>84</v>
      </c>
      <c r="AB176" t="s">
        <v>36</v>
      </c>
      <c r="AC176" t="s">
        <v>1340</v>
      </c>
      <c r="AD176" t="s">
        <v>36</v>
      </c>
      <c r="AE176" t="s">
        <v>1340</v>
      </c>
      <c r="AF176" t="s">
        <v>86</v>
      </c>
      <c r="AG176" t="s">
        <v>269</v>
      </c>
      <c r="AH176" t="s">
        <v>183</v>
      </c>
      <c r="AI176" s="4">
        <f ca="1">data[[#This Row],[Expiry Date]]-TODAY()</f>
        <v>42</v>
      </c>
      <c r="AJ176" s="4">
        <f ca="1">data[[#This Row],[Maturity ( Days)]]/365</f>
        <v>0.11506849315068493</v>
      </c>
      <c r="AK176" s="4" t="str">
        <f>IF(data[[#This Row],[Option Type]]="put","p","c")</f>
        <v>p</v>
      </c>
      <c r="AL176" s="4">
        <f>(data[[#This Row],[Bid]]*data[[#This Row],[Bidsize]]+data[[#This Row],[Ask]]*data[[#This Row],[Asksize]])/(data[[#This Row],[Bidsize]]+data[[#This Row],[Asksize]])</f>
        <v>175.15</v>
      </c>
      <c r="AM176" s="4">
        <f>VALUE(data[[#This Row],[Strike]])</f>
        <v>4025</v>
      </c>
      <c r="AN176" s="5">
        <f ca="1">impliedVol(data[[#This Row],[OptType]],Details!$B$4,VALUE(data[[#This Row],[Strike]]),VALUE(data[[#This Row],[Cnt Price]]),Details!$B$6,data[[#This Row],[T]],Details!$B$7)</f>
        <v>0.23772478385680043</v>
      </c>
      <c r="AO176" s="7">
        <f t="array" aca="1" ref="AO176:AS176" ca="1">bsGreeks(data[[#This Row],[OptType]],Details!$B$4,VALUE(data[[#This Row],[Strike]]),Details!$B$6,data[[#This Row],[T]],AN176,Details!$B$7)</f>
        <v>-0.59536021415884699</v>
      </c>
      <c r="AP176" s="7">
        <f ca="1"/>
        <v>1.2212565224025379E-3</v>
      </c>
      <c r="AQ176" s="6">
        <f ca="1"/>
        <v>5.1658322736378759</v>
      </c>
      <c r="AR176" s="6">
        <f ca="1"/>
        <v>-139.29778616882194</v>
      </c>
      <c r="AS176" s="6">
        <f ca="1"/>
        <v>-289.39159415630689</v>
      </c>
      <c r="AU176" s="60">
        <f ca="1"/>
        <v>178.03306985104064</v>
      </c>
      <c r="AV176" s="61" t="str">
        <f ca="1"/>
        <v>p</v>
      </c>
      <c r="AW176" s="61">
        <f ca="1"/>
        <v>0.23772478385680043</v>
      </c>
      <c r="AX176" s="62">
        <f ca="1"/>
        <v>-0.59536021415884699</v>
      </c>
      <c r="AY176" s="62">
        <f ca="1"/>
        <v>1.2212565224025379E-3</v>
      </c>
      <c r="AZ176" s="62">
        <f ca="1"/>
        <v>5.1658322736378759</v>
      </c>
      <c r="BA176" s="60">
        <f ca="1"/>
        <v>-139.29778616882194</v>
      </c>
      <c r="BB176" s="60">
        <f ca="1"/>
        <v>-289.39159415630689</v>
      </c>
    </row>
    <row r="177" spans="1:54" x14ac:dyDescent="0.3">
      <c r="A177" t="s">
        <v>631</v>
      </c>
      <c r="B177" t="s">
        <v>632</v>
      </c>
      <c r="C177" t="s">
        <v>57</v>
      </c>
      <c r="D177" t="s">
        <v>85</v>
      </c>
      <c r="E177" t="s">
        <v>84</v>
      </c>
      <c r="F177" t="s">
        <v>193</v>
      </c>
      <c r="G177" t="s">
        <v>1551</v>
      </c>
      <c r="H177" t="s">
        <v>1405</v>
      </c>
      <c r="I177" t="s">
        <v>931</v>
      </c>
      <c r="J177" t="s">
        <v>116</v>
      </c>
      <c r="K177" t="s">
        <v>116</v>
      </c>
      <c r="L177" t="s">
        <v>307</v>
      </c>
      <c r="M177" t="s">
        <v>102</v>
      </c>
      <c r="N177" t="s">
        <v>56</v>
      </c>
      <c r="O177" t="s">
        <v>36</v>
      </c>
      <c r="P177" t="s">
        <v>84</v>
      </c>
      <c r="Q177" t="s">
        <v>84</v>
      </c>
      <c r="V177" t="s">
        <v>49</v>
      </c>
      <c r="W177" t="s">
        <v>84</v>
      </c>
      <c r="X177" t="s">
        <v>868</v>
      </c>
      <c r="Y177" t="s">
        <v>931</v>
      </c>
      <c r="Z177" t="s">
        <v>84</v>
      </c>
      <c r="AA177" t="s">
        <v>84</v>
      </c>
      <c r="AB177" t="s">
        <v>36</v>
      </c>
      <c r="AC177" t="s">
        <v>1340</v>
      </c>
      <c r="AD177" t="s">
        <v>36</v>
      </c>
      <c r="AE177" t="s">
        <v>1340</v>
      </c>
      <c r="AF177" t="s">
        <v>86</v>
      </c>
      <c r="AG177" t="s">
        <v>269</v>
      </c>
      <c r="AH177" t="s">
        <v>183</v>
      </c>
      <c r="AI177" s="4">
        <f ca="1">data[[#This Row],[Expiry Date]]-TODAY()</f>
        <v>42</v>
      </c>
      <c r="AJ177" s="4">
        <f ca="1">data[[#This Row],[Maturity ( Days)]]/365</f>
        <v>0.11506849315068493</v>
      </c>
      <c r="AK177" s="4" t="str">
        <f>IF(data[[#This Row],[Option Type]]="put","p","c")</f>
        <v>c</v>
      </c>
      <c r="AL177" s="4">
        <f>(data[[#This Row],[Bid]]*data[[#This Row],[Bidsize]]+data[[#This Row],[Ask]]*data[[#This Row],[Asksize]])/(data[[#This Row],[Bidsize]]+data[[#This Row],[Asksize]])</f>
        <v>118.7</v>
      </c>
      <c r="AM177" s="4">
        <f>VALUE(data[[#This Row],[Strike]])</f>
        <v>4030</v>
      </c>
      <c r="AN177" s="5">
        <f ca="1">impliedVol(data[[#This Row],[OptType]],Details!$B$4,VALUE(data[[#This Row],[Strike]]),VALUE(data[[#This Row],[Cnt Price]]),Details!$B$6,data[[#This Row],[T]],Details!$B$7)</f>
        <v>0.29746478740199256</v>
      </c>
      <c r="AO177" s="7">
        <f t="array" aca="1" ref="AO177:AS177" ca="1">bsGreeks(data[[#This Row],[OptType]],Details!$B$4,VALUE(data[[#This Row],[Strike]]),Details!$B$6,data[[#This Row],[T]],AN177,Details!$B$7)</f>
        <v>0.42584705461912231</v>
      </c>
      <c r="AP177" s="7">
        <f ca="1"/>
        <v>9.8742747647767018E-4</v>
      </c>
      <c r="AQ177" s="6">
        <f ca="1"/>
        <v>5.2263647364329051</v>
      </c>
      <c r="AR177" s="6">
        <f ca="1"/>
        <v>-189.34347706461642</v>
      </c>
      <c r="AS177" s="6">
        <f ca="1"/>
        <v>178.92265856631624</v>
      </c>
      <c r="AU177" s="60">
        <f ca="1"/>
        <v>116.89963181159033</v>
      </c>
      <c r="AV177" s="61" t="str">
        <f ca="1"/>
        <v>c</v>
      </c>
      <c r="AW177" s="61">
        <f ca="1"/>
        <v>0.29746478740199256</v>
      </c>
      <c r="AX177" s="62">
        <f ca="1"/>
        <v>0.42584705461912231</v>
      </c>
      <c r="AY177" s="62">
        <f ca="1"/>
        <v>9.8742747647767018E-4</v>
      </c>
      <c r="AZ177" s="62">
        <f ca="1"/>
        <v>5.2263647364329051</v>
      </c>
      <c r="BA177" s="60">
        <f ca="1"/>
        <v>-189.34347706461642</v>
      </c>
      <c r="BB177" s="60">
        <f ca="1"/>
        <v>178.92265856631624</v>
      </c>
    </row>
    <row r="178" spans="1:54" x14ac:dyDescent="0.3">
      <c r="A178" t="s">
        <v>633</v>
      </c>
      <c r="B178" t="s">
        <v>634</v>
      </c>
      <c r="C178" t="s">
        <v>29</v>
      </c>
      <c r="D178" t="s">
        <v>85</v>
      </c>
      <c r="E178" t="s">
        <v>84</v>
      </c>
      <c r="F178" t="s">
        <v>193</v>
      </c>
      <c r="G178" t="s">
        <v>1267</v>
      </c>
      <c r="H178" t="s">
        <v>1193</v>
      </c>
      <c r="I178" t="s">
        <v>859</v>
      </c>
      <c r="J178" t="s">
        <v>116</v>
      </c>
      <c r="K178" t="s">
        <v>116</v>
      </c>
      <c r="L178" t="s">
        <v>307</v>
      </c>
      <c r="M178" t="s">
        <v>146</v>
      </c>
      <c r="N178" t="s">
        <v>56</v>
      </c>
      <c r="O178" t="s">
        <v>36</v>
      </c>
      <c r="P178" t="s">
        <v>84</v>
      </c>
      <c r="Q178" t="s">
        <v>84</v>
      </c>
      <c r="V178" t="s">
        <v>49</v>
      </c>
      <c r="W178" t="s">
        <v>84</v>
      </c>
      <c r="X178" t="s">
        <v>818</v>
      </c>
      <c r="Y178" t="s">
        <v>859</v>
      </c>
      <c r="Z178" t="s">
        <v>84</v>
      </c>
      <c r="AA178" t="s">
        <v>84</v>
      </c>
      <c r="AB178" t="s">
        <v>36</v>
      </c>
      <c r="AC178" t="s">
        <v>1340</v>
      </c>
      <c r="AD178" t="s">
        <v>36</v>
      </c>
      <c r="AE178" t="s">
        <v>1340</v>
      </c>
      <c r="AF178" t="s">
        <v>86</v>
      </c>
      <c r="AG178" t="s">
        <v>269</v>
      </c>
      <c r="AH178" t="s">
        <v>183</v>
      </c>
      <c r="AI178" s="4">
        <f ca="1">data[[#This Row],[Expiry Date]]-TODAY()</f>
        <v>42</v>
      </c>
      <c r="AJ178" s="4">
        <f ca="1">data[[#This Row],[Maturity ( Days)]]/365</f>
        <v>0.11506849315068493</v>
      </c>
      <c r="AK178" s="4" t="str">
        <f>IF(data[[#This Row],[Option Type]]="put","p","c")</f>
        <v>p</v>
      </c>
      <c r="AL178" s="4">
        <f>(data[[#This Row],[Bid]]*data[[#This Row],[Bidsize]]+data[[#This Row],[Ask]]*data[[#This Row],[Asksize]])/(data[[#This Row],[Bidsize]]+data[[#This Row],[Asksize]])</f>
        <v>177.65</v>
      </c>
      <c r="AM178" s="4">
        <f>VALUE(data[[#This Row],[Strike]])</f>
        <v>4030</v>
      </c>
      <c r="AN178" s="5">
        <f ca="1">impliedVol(data[[#This Row],[OptType]],Details!$B$4,VALUE(data[[#This Row],[Strike]]),VALUE(data[[#This Row],[Cnt Price]]),Details!$B$6,data[[#This Row],[T]],Details!$B$7)</f>
        <v>0.23654004692576336</v>
      </c>
      <c r="AO178" s="7">
        <f t="array" aca="1" ref="AO178:AS178" ca="1">bsGreeks(data[[#This Row],[OptType]],Details!$B$4,VALUE(data[[#This Row],[Strike]]),Details!$B$6,data[[#This Row],[T]],AN178,Details!$B$7)</f>
        <v>-0.60196611899477126</v>
      </c>
      <c r="AP178" s="7">
        <f ca="1"/>
        <v>1.2221445492184835E-3</v>
      </c>
      <c r="AQ178" s="6">
        <f ca="1"/>
        <v>5.1438251508780066</v>
      </c>
      <c r="AR178" s="6">
        <f ca="1"/>
        <v>-137.87141928631115</v>
      </c>
      <c r="AS178" s="6">
        <f ca="1"/>
        <v>-292.66664188244056</v>
      </c>
      <c r="AU178" s="60">
        <f ca="1"/>
        <v>180.56582898733905</v>
      </c>
      <c r="AV178" s="61" t="str">
        <f ca="1"/>
        <v>p</v>
      </c>
      <c r="AW178" s="61">
        <f ca="1"/>
        <v>0.23654004692576336</v>
      </c>
      <c r="AX178" s="62">
        <f ca="1"/>
        <v>-0.60196611899477126</v>
      </c>
      <c r="AY178" s="62">
        <f ca="1"/>
        <v>1.2221445492184835E-3</v>
      </c>
      <c r="AZ178" s="62">
        <f ca="1"/>
        <v>5.1438251508780066</v>
      </c>
      <c r="BA178" s="60">
        <f ca="1"/>
        <v>-137.87141928631115</v>
      </c>
      <c r="BB178" s="60">
        <f ca="1"/>
        <v>-292.66664188244056</v>
      </c>
    </row>
    <row r="179" spans="1:54" x14ac:dyDescent="0.3">
      <c r="A179" t="s">
        <v>447</v>
      </c>
      <c r="B179" t="s">
        <v>448</v>
      </c>
      <c r="C179" t="s">
        <v>57</v>
      </c>
      <c r="D179" t="s">
        <v>114</v>
      </c>
      <c r="E179" t="s">
        <v>84</v>
      </c>
      <c r="F179" t="s">
        <v>194</v>
      </c>
      <c r="G179" t="s">
        <v>1082</v>
      </c>
      <c r="H179" t="s">
        <v>932</v>
      </c>
      <c r="I179" t="s">
        <v>985</v>
      </c>
      <c r="J179" t="s">
        <v>116</v>
      </c>
      <c r="K179" t="s">
        <v>116</v>
      </c>
      <c r="L179" t="s">
        <v>307</v>
      </c>
      <c r="M179" t="s">
        <v>111</v>
      </c>
      <c r="N179" t="s">
        <v>56</v>
      </c>
      <c r="O179" t="s">
        <v>36</v>
      </c>
      <c r="P179" t="s">
        <v>84</v>
      </c>
      <c r="Q179" t="s">
        <v>84</v>
      </c>
      <c r="V179" t="s">
        <v>49</v>
      </c>
      <c r="W179" t="s">
        <v>84</v>
      </c>
      <c r="X179" t="s">
        <v>953</v>
      </c>
      <c r="Y179" t="s">
        <v>985</v>
      </c>
      <c r="Z179" t="s">
        <v>84</v>
      </c>
      <c r="AA179" t="s">
        <v>84</v>
      </c>
      <c r="AB179" t="s">
        <v>36</v>
      </c>
      <c r="AC179" t="s">
        <v>1340</v>
      </c>
      <c r="AD179" t="s">
        <v>36</v>
      </c>
      <c r="AE179" t="s">
        <v>1340</v>
      </c>
      <c r="AF179" t="s">
        <v>86</v>
      </c>
      <c r="AG179" t="s">
        <v>269</v>
      </c>
      <c r="AH179" t="s">
        <v>183</v>
      </c>
      <c r="AI179" s="4">
        <f ca="1">data[[#This Row],[Expiry Date]]-TODAY()</f>
        <v>42</v>
      </c>
      <c r="AJ179" s="4">
        <f ca="1">data[[#This Row],[Maturity ( Days)]]/365</f>
        <v>0.11506849315068493</v>
      </c>
      <c r="AK179" s="4" t="str">
        <f>IF(data[[#This Row],[Option Type]]="put","p","c")</f>
        <v>c</v>
      </c>
      <c r="AL179" s="4">
        <f>(data[[#This Row],[Bid]]*data[[#This Row],[Bidsize]]+data[[#This Row],[Ask]]*data[[#This Row],[Asksize]])/(data[[#This Row],[Bidsize]]+data[[#This Row],[Asksize]])</f>
        <v>113.8</v>
      </c>
      <c r="AM179" s="4">
        <f>VALUE(data[[#This Row],[Strike]])</f>
        <v>4040</v>
      </c>
      <c r="AN179" s="5">
        <f ca="1">impliedVol(data[[#This Row],[OptType]],Details!$B$4,VALUE(data[[#This Row],[Strike]]),VALUE(data[[#This Row],[Cnt Price]]),Details!$B$6,data[[#This Row],[T]],Details!$B$7)</f>
        <v>0.29545986040281702</v>
      </c>
      <c r="AO179" s="7">
        <f t="array" aca="1" ref="AO179:AS179" ca="1">bsGreeks(data[[#This Row],[OptType]],Details!$B$4,VALUE(data[[#This Row],[Strike]]),Details!$B$6,data[[#This Row],[T]],AN179,Details!$B$7)</f>
        <v>0.41541551766424928</v>
      </c>
      <c r="AP179" s="7">
        <f ca="1"/>
        <v>9.8882986995441763E-4</v>
      </c>
      <c r="AQ179" s="6">
        <f ca="1"/>
        <v>5.1985114990745966</v>
      </c>
      <c r="AR179" s="6">
        <f ca="1"/>
        <v>-187.01732590072271</v>
      </c>
      <c r="AS179" s="6">
        <f ca="1"/>
        <v>174.76905886459556</v>
      </c>
      <c r="AU179" s="60">
        <f ca="1"/>
        <v>112.04117627216442</v>
      </c>
      <c r="AV179" s="61" t="str">
        <f ca="1"/>
        <v>c</v>
      </c>
      <c r="AW179" s="61">
        <f ca="1"/>
        <v>0.29545986040281702</v>
      </c>
      <c r="AX179" s="62">
        <f ca="1"/>
        <v>0.41541551766424928</v>
      </c>
      <c r="AY179" s="62">
        <f ca="1"/>
        <v>9.8882986995441763E-4</v>
      </c>
      <c r="AZ179" s="62">
        <f ca="1"/>
        <v>5.1985114990745966</v>
      </c>
      <c r="BA179" s="60">
        <f ca="1"/>
        <v>-187.01732590072271</v>
      </c>
      <c r="BB179" s="60">
        <f ca="1"/>
        <v>174.76905886459556</v>
      </c>
    </row>
    <row r="180" spans="1:54" x14ac:dyDescent="0.3">
      <c r="A180" t="s">
        <v>635</v>
      </c>
      <c r="B180" t="s">
        <v>636</v>
      </c>
      <c r="C180" t="s">
        <v>29</v>
      </c>
      <c r="D180" t="s">
        <v>85</v>
      </c>
      <c r="E180" t="s">
        <v>84</v>
      </c>
      <c r="F180" t="s">
        <v>194</v>
      </c>
      <c r="G180" t="s">
        <v>1552</v>
      </c>
      <c r="H180" t="s">
        <v>1553</v>
      </c>
      <c r="I180" t="s">
        <v>986</v>
      </c>
      <c r="J180" t="s">
        <v>116</v>
      </c>
      <c r="K180" t="s">
        <v>116</v>
      </c>
      <c r="L180" t="s">
        <v>307</v>
      </c>
      <c r="M180" t="s">
        <v>98</v>
      </c>
      <c r="N180" t="s">
        <v>56</v>
      </c>
      <c r="O180" t="s">
        <v>36</v>
      </c>
      <c r="P180" t="s">
        <v>84</v>
      </c>
      <c r="Q180" t="s">
        <v>84</v>
      </c>
      <c r="V180" t="s">
        <v>49</v>
      </c>
      <c r="W180" t="s">
        <v>84</v>
      </c>
      <c r="X180" t="s">
        <v>956</v>
      </c>
      <c r="Y180" t="s">
        <v>986</v>
      </c>
      <c r="Z180" t="s">
        <v>84</v>
      </c>
      <c r="AA180" t="s">
        <v>84</v>
      </c>
      <c r="AB180" t="s">
        <v>36</v>
      </c>
      <c r="AC180" t="s">
        <v>1340</v>
      </c>
      <c r="AD180" t="s">
        <v>36</v>
      </c>
      <c r="AE180" t="s">
        <v>1340</v>
      </c>
      <c r="AF180" t="s">
        <v>86</v>
      </c>
      <c r="AG180" t="s">
        <v>269</v>
      </c>
      <c r="AH180" t="s">
        <v>183</v>
      </c>
      <c r="AI180" s="4">
        <f ca="1">data[[#This Row],[Expiry Date]]-TODAY()</f>
        <v>42</v>
      </c>
      <c r="AJ180" s="4">
        <f ca="1">data[[#This Row],[Maturity ( Days)]]/365</f>
        <v>0.11506849315068493</v>
      </c>
      <c r="AK180" s="4" t="str">
        <f>IF(data[[#This Row],[Option Type]]="put","p","c")</f>
        <v>p</v>
      </c>
      <c r="AL180" s="4">
        <f>(data[[#This Row],[Bid]]*data[[#This Row],[Bidsize]]+data[[#This Row],[Ask]]*data[[#This Row],[Asksize]])/(data[[#This Row],[Bidsize]]+data[[#This Row],[Asksize]])</f>
        <v>182.75</v>
      </c>
      <c r="AM180" s="4">
        <f>VALUE(data[[#This Row],[Strike]])</f>
        <v>4040</v>
      </c>
      <c r="AN180" s="5">
        <f ca="1">impliedVol(data[[#This Row],[OptType]],Details!$B$4,VALUE(data[[#This Row],[Strike]]),VALUE(data[[#This Row],[Cnt Price]]),Details!$B$6,data[[#This Row],[T]],Details!$B$7)</f>
        <v>0.23416575626173586</v>
      </c>
      <c r="AO180" s="7">
        <f t="array" aca="1" ref="AO180:AS180" ca="1">bsGreeks(data[[#This Row],[OptType]],Details!$B$4,VALUE(data[[#This Row],[Strike]]),Details!$B$6,data[[#This Row],[T]],AN180,Details!$B$7)</f>
        <v>-0.61526544525709403</v>
      </c>
      <c r="AP180" s="7">
        <f ca="1"/>
        <v>1.222803394186258E-3</v>
      </c>
      <c r="AQ180" s="6">
        <f ca="1"/>
        <v>5.094938718970889</v>
      </c>
      <c r="AR180" s="6">
        <f ca="1"/>
        <v>-134.89734540519137</v>
      </c>
      <c r="AS180" s="6">
        <f ca="1"/>
        <v>-299.26782298000603</v>
      </c>
      <c r="AU180" s="60">
        <f ca="1"/>
        <v>185.7318697926703</v>
      </c>
      <c r="AV180" s="61" t="str">
        <f ca="1"/>
        <v>p</v>
      </c>
      <c r="AW180" s="61">
        <f ca="1"/>
        <v>0.23416575626173586</v>
      </c>
      <c r="AX180" s="62">
        <f ca="1"/>
        <v>-0.61526544525709403</v>
      </c>
      <c r="AY180" s="62">
        <f ca="1"/>
        <v>1.222803394186258E-3</v>
      </c>
      <c r="AZ180" s="62">
        <f ca="1"/>
        <v>5.094938718970889</v>
      </c>
      <c r="BA180" s="60">
        <f ca="1"/>
        <v>-134.89734540519137</v>
      </c>
      <c r="BB180" s="60">
        <f ca="1"/>
        <v>-299.26782298000603</v>
      </c>
    </row>
    <row r="181" spans="1:54" x14ac:dyDescent="0.3">
      <c r="A181" t="s">
        <v>449</v>
      </c>
      <c r="B181" t="s">
        <v>450</v>
      </c>
      <c r="C181" t="s">
        <v>57</v>
      </c>
      <c r="D181" t="s">
        <v>85</v>
      </c>
      <c r="E181" t="s">
        <v>84</v>
      </c>
      <c r="F181" t="s">
        <v>115</v>
      </c>
      <c r="G181" t="s">
        <v>1081</v>
      </c>
      <c r="H181" t="s">
        <v>1554</v>
      </c>
      <c r="I181" t="s">
        <v>1043</v>
      </c>
      <c r="J181" t="s">
        <v>116</v>
      </c>
      <c r="K181" t="s">
        <v>116</v>
      </c>
      <c r="L181" t="s">
        <v>307</v>
      </c>
      <c r="M181" t="s">
        <v>113</v>
      </c>
      <c r="N181" t="s">
        <v>56</v>
      </c>
      <c r="O181" t="s">
        <v>36</v>
      </c>
      <c r="P181" t="s">
        <v>84</v>
      </c>
      <c r="Q181" t="s">
        <v>84</v>
      </c>
      <c r="V181" t="s">
        <v>49</v>
      </c>
      <c r="W181" t="s">
        <v>84</v>
      </c>
      <c r="X181" t="s">
        <v>1156</v>
      </c>
      <c r="Y181" t="s">
        <v>1043</v>
      </c>
      <c r="Z181" t="s">
        <v>84</v>
      </c>
      <c r="AA181" t="s">
        <v>84</v>
      </c>
      <c r="AB181" t="s">
        <v>36</v>
      </c>
      <c r="AC181" t="s">
        <v>1340</v>
      </c>
      <c r="AD181" t="s">
        <v>36</v>
      </c>
      <c r="AE181" t="s">
        <v>1340</v>
      </c>
      <c r="AF181" t="s">
        <v>86</v>
      </c>
      <c r="AG181" t="s">
        <v>269</v>
      </c>
      <c r="AH181" t="s">
        <v>183</v>
      </c>
      <c r="AI181" s="4">
        <f ca="1">data[[#This Row],[Expiry Date]]-TODAY()</f>
        <v>42</v>
      </c>
      <c r="AJ181" s="4">
        <f ca="1">data[[#This Row],[Maturity ( Days)]]/365</f>
        <v>0.11506849315068493</v>
      </c>
      <c r="AK181" s="4" t="str">
        <f>IF(data[[#This Row],[Option Type]]="put","p","c")</f>
        <v>c</v>
      </c>
      <c r="AL181" s="4">
        <f>(data[[#This Row],[Bid]]*data[[#This Row],[Bidsize]]+data[[#This Row],[Ask]]*data[[#This Row],[Asksize]])/(data[[#This Row],[Bidsize]]+data[[#This Row],[Asksize]])</f>
        <v>109</v>
      </c>
      <c r="AM181" s="4">
        <f>VALUE(data[[#This Row],[Strike]])</f>
        <v>4050</v>
      </c>
      <c r="AN181" s="5">
        <f ca="1">impliedVol(data[[#This Row],[OptType]],Details!$B$4,VALUE(data[[#This Row],[Strike]]),VALUE(data[[#This Row],[Cnt Price]]),Details!$B$6,data[[#This Row],[T]],Details!$B$7)</f>
        <v>0.29344572976222116</v>
      </c>
      <c r="AO181" s="7">
        <f t="array" aca="1" ref="AO181:AS181" ca="1">bsGreeks(data[[#This Row],[OptType]],Details!$B$4,VALUE(data[[#This Row],[Strike]]),Details!$B$6,data[[#This Row],[T]],AN181,Details!$B$7)</f>
        <v>0.40492349599314464</v>
      </c>
      <c r="AP181" s="7">
        <f ca="1"/>
        <v>9.8953278151175548E-4</v>
      </c>
      <c r="AQ181" s="6">
        <f ca="1"/>
        <v>5.1667437649784631</v>
      </c>
      <c r="AR181" s="6">
        <f ca="1"/>
        <v>-184.56113010768823</v>
      </c>
      <c r="AS181" s="6">
        <f ca="1"/>
        <v>170.57659858718452</v>
      </c>
      <c r="AU181" s="60">
        <f ca="1"/>
        <v>107.2831166963806</v>
      </c>
      <c r="AV181" s="61" t="str">
        <f ca="1"/>
        <v>c</v>
      </c>
      <c r="AW181" s="61">
        <f ca="1"/>
        <v>0.29344572976222116</v>
      </c>
      <c r="AX181" s="62">
        <f ca="1"/>
        <v>0.40492349599314464</v>
      </c>
      <c r="AY181" s="62">
        <f ca="1"/>
        <v>9.8953278151175548E-4</v>
      </c>
      <c r="AZ181" s="62">
        <f ca="1"/>
        <v>5.1667437649784631</v>
      </c>
      <c r="BA181" s="60">
        <f ca="1"/>
        <v>-184.56113010768823</v>
      </c>
      <c r="BB181" s="60">
        <f ca="1"/>
        <v>170.57659858718452</v>
      </c>
    </row>
    <row r="182" spans="1:54" x14ac:dyDescent="0.3">
      <c r="A182" t="s">
        <v>637</v>
      </c>
      <c r="B182" t="s">
        <v>638</v>
      </c>
      <c r="C182" t="s">
        <v>29</v>
      </c>
      <c r="D182" t="s">
        <v>121</v>
      </c>
      <c r="E182" t="s">
        <v>84</v>
      </c>
      <c r="F182" t="s">
        <v>115</v>
      </c>
      <c r="G182" t="s">
        <v>1134</v>
      </c>
      <c r="H182" t="s">
        <v>1394</v>
      </c>
      <c r="I182" t="s">
        <v>946</v>
      </c>
      <c r="J182" t="s">
        <v>100</v>
      </c>
      <c r="K182" t="s">
        <v>100</v>
      </c>
      <c r="L182" t="s">
        <v>307</v>
      </c>
      <c r="M182" t="s">
        <v>101</v>
      </c>
      <c r="N182" t="s">
        <v>56</v>
      </c>
      <c r="O182" t="s">
        <v>36</v>
      </c>
      <c r="P182" t="s">
        <v>84</v>
      </c>
      <c r="Q182" t="s">
        <v>84</v>
      </c>
      <c r="V182" t="s">
        <v>49</v>
      </c>
      <c r="W182" t="s">
        <v>84</v>
      </c>
      <c r="X182" t="s">
        <v>1105</v>
      </c>
      <c r="Y182" t="s">
        <v>946</v>
      </c>
      <c r="Z182" t="s">
        <v>84</v>
      </c>
      <c r="AA182" t="s">
        <v>84</v>
      </c>
      <c r="AB182" t="s">
        <v>36</v>
      </c>
      <c r="AC182" t="s">
        <v>1340</v>
      </c>
      <c r="AD182" t="s">
        <v>36</v>
      </c>
      <c r="AE182" t="s">
        <v>1340</v>
      </c>
      <c r="AF182" t="s">
        <v>86</v>
      </c>
      <c r="AG182" t="s">
        <v>269</v>
      </c>
      <c r="AH182" t="s">
        <v>183</v>
      </c>
      <c r="AI182" s="4">
        <f ca="1">data[[#This Row],[Expiry Date]]-TODAY()</f>
        <v>42</v>
      </c>
      <c r="AJ182" s="4">
        <f ca="1">data[[#This Row],[Maturity ( Days)]]/365</f>
        <v>0.11506849315068493</v>
      </c>
      <c r="AK182" s="4" t="str">
        <f>IF(data[[#This Row],[Option Type]]="put","p","c")</f>
        <v>p</v>
      </c>
      <c r="AL182" s="4">
        <f>(data[[#This Row],[Bid]]*data[[#This Row],[Bidsize]]+data[[#This Row],[Ask]]*data[[#This Row],[Asksize]])/(data[[#This Row],[Bidsize]]+data[[#This Row],[Asksize]])</f>
        <v>187.95</v>
      </c>
      <c r="AM182" s="4">
        <f>VALUE(data[[#This Row],[Strike]])</f>
        <v>4050</v>
      </c>
      <c r="AN182" s="5">
        <f ca="1">impliedVol(data[[#This Row],[OptType]],Details!$B$4,VALUE(data[[#This Row],[Strike]]),VALUE(data[[#This Row],[Cnt Price]]),Details!$B$6,data[[#This Row],[T]],Details!$B$7)</f>
        <v>0.23171514737863236</v>
      </c>
      <c r="AO182" s="7">
        <f t="array" aca="1" ref="AO182:AS182" ca="1">bsGreeks(data[[#This Row],[OptType]],Details!$B$4,VALUE(data[[#This Row],[Strike]]),Details!$B$6,data[[#This Row],[T]],AN182,Details!$B$7)</f>
        <v>-0.62871678291626898</v>
      </c>
      <c r="AP182" s="7">
        <f ca="1"/>
        <v>1.222220718012673E-3</v>
      </c>
      <c r="AQ182" s="6">
        <f ca="1"/>
        <v>5.0392164134195747</v>
      </c>
      <c r="AR182" s="6">
        <f ca="1"/>
        <v>-131.71457998731421</v>
      </c>
      <c r="AS182" s="6">
        <f ca="1"/>
        <v>-305.94925624781479</v>
      </c>
      <c r="AU182" s="60">
        <f ca="1"/>
        <v>190.99872620579754</v>
      </c>
      <c r="AV182" s="61" t="str">
        <f ca="1"/>
        <v>p</v>
      </c>
      <c r="AW182" s="61">
        <f ca="1"/>
        <v>0.23171514737863236</v>
      </c>
      <c r="AX182" s="62">
        <f ca="1"/>
        <v>-0.62871678291626898</v>
      </c>
      <c r="AY182" s="62">
        <f ca="1"/>
        <v>1.222220718012673E-3</v>
      </c>
      <c r="AZ182" s="62">
        <f ca="1"/>
        <v>5.0392164134195747</v>
      </c>
      <c r="BA182" s="60">
        <f ca="1"/>
        <v>-131.71457998731421</v>
      </c>
      <c r="BB182" s="60">
        <f ca="1"/>
        <v>-305.94925624781479</v>
      </c>
    </row>
    <row r="183" spans="1:54" x14ac:dyDescent="0.3">
      <c r="A183" t="s">
        <v>451</v>
      </c>
      <c r="B183" t="s">
        <v>452</v>
      </c>
      <c r="C183" t="s">
        <v>57</v>
      </c>
      <c r="D183" t="s">
        <v>85</v>
      </c>
      <c r="E183" t="s">
        <v>84</v>
      </c>
      <c r="F183" t="s">
        <v>195</v>
      </c>
      <c r="G183" t="s">
        <v>972</v>
      </c>
      <c r="H183" t="s">
        <v>1167</v>
      </c>
      <c r="I183" t="s">
        <v>968</v>
      </c>
      <c r="J183" t="s">
        <v>114</v>
      </c>
      <c r="K183" t="s">
        <v>114</v>
      </c>
      <c r="L183" t="s">
        <v>307</v>
      </c>
      <c r="M183" t="s">
        <v>116</v>
      </c>
      <c r="N183" t="s">
        <v>56</v>
      </c>
      <c r="O183" t="s">
        <v>36</v>
      </c>
      <c r="P183" t="s">
        <v>84</v>
      </c>
      <c r="Q183" t="s">
        <v>84</v>
      </c>
      <c r="V183" t="s">
        <v>49</v>
      </c>
      <c r="W183" t="s">
        <v>84</v>
      </c>
      <c r="X183" t="s">
        <v>1158</v>
      </c>
      <c r="Y183" t="s">
        <v>968</v>
      </c>
      <c r="Z183" t="s">
        <v>84</v>
      </c>
      <c r="AA183" t="s">
        <v>84</v>
      </c>
      <c r="AB183" t="s">
        <v>36</v>
      </c>
      <c r="AC183" t="s">
        <v>1340</v>
      </c>
      <c r="AD183" t="s">
        <v>36</v>
      </c>
      <c r="AE183" t="s">
        <v>1340</v>
      </c>
      <c r="AF183" t="s">
        <v>86</v>
      </c>
      <c r="AG183" t="s">
        <v>269</v>
      </c>
      <c r="AH183" t="s">
        <v>183</v>
      </c>
      <c r="AI183" s="4">
        <f ca="1">data[[#This Row],[Expiry Date]]-TODAY()</f>
        <v>42</v>
      </c>
      <c r="AJ183" s="4">
        <f ca="1">data[[#This Row],[Maturity ( Days)]]/365</f>
        <v>0.11506849315068493</v>
      </c>
      <c r="AK183" s="4" t="str">
        <f>IF(data[[#This Row],[Option Type]]="put","p","c")</f>
        <v>c</v>
      </c>
      <c r="AL183" s="4">
        <f>(data[[#This Row],[Bid]]*data[[#This Row],[Bidsize]]+data[[#This Row],[Ask]]*data[[#This Row],[Asksize]])/(data[[#This Row],[Bidsize]]+data[[#This Row],[Asksize]])</f>
        <v>104.4</v>
      </c>
      <c r="AM183" s="4">
        <f>VALUE(data[[#This Row],[Strike]])</f>
        <v>4060</v>
      </c>
      <c r="AN183" s="5">
        <f ca="1">impliedVol(data[[#This Row],[OptType]],Details!$B$4,VALUE(data[[#This Row],[Strike]]),VALUE(data[[#This Row],[Cnt Price]]),Details!$B$6,data[[#This Row],[T]],Details!$B$7)</f>
        <v>0.29161436507129473</v>
      </c>
      <c r="AO183" s="7">
        <f t="array" aca="1" ref="AO183:AS183" ca="1">bsGreeks(data[[#This Row],[OptType]],Details!$B$4,VALUE(data[[#This Row],[Strike]]),Details!$B$6,data[[#This Row],[T]],AN183,Details!$B$7)</f>
        <v>0.39446984287989567</v>
      </c>
      <c r="AP183" s="7">
        <f ca="1"/>
        <v>9.8892134635840921E-4</v>
      </c>
      <c r="AQ183" s="6">
        <f ca="1"/>
        <v>5.1313260257764686</v>
      </c>
      <c r="AR183" s="6">
        <f ca="1"/>
        <v>-182.10504615980852</v>
      </c>
      <c r="AS183" s="6">
        <f ca="1"/>
        <v>166.3784744143272</v>
      </c>
      <c r="AU183" s="60">
        <f ca="1"/>
        <v>102.72512724252874</v>
      </c>
      <c r="AV183" s="61" t="str">
        <f ca="1"/>
        <v>c</v>
      </c>
      <c r="AW183" s="61">
        <f ca="1"/>
        <v>0.29161436507129473</v>
      </c>
      <c r="AX183" s="62">
        <f ca="1"/>
        <v>0.39446984287989567</v>
      </c>
      <c r="AY183" s="62">
        <f ca="1"/>
        <v>9.8892134635840921E-4</v>
      </c>
      <c r="AZ183" s="62">
        <f ca="1"/>
        <v>5.1313260257764686</v>
      </c>
      <c r="BA183" s="60">
        <f ca="1"/>
        <v>-182.10504615980852</v>
      </c>
      <c r="BB183" s="60">
        <f ca="1"/>
        <v>166.3784744143272</v>
      </c>
    </row>
    <row r="184" spans="1:54" x14ac:dyDescent="0.3">
      <c r="A184" t="s">
        <v>639</v>
      </c>
      <c r="B184" t="s">
        <v>640</v>
      </c>
      <c r="C184" t="s">
        <v>57</v>
      </c>
      <c r="D184" t="s">
        <v>85</v>
      </c>
      <c r="E184" t="s">
        <v>84</v>
      </c>
      <c r="F184" t="s">
        <v>209</v>
      </c>
      <c r="G184" t="s">
        <v>1555</v>
      </c>
      <c r="H184" t="s">
        <v>1556</v>
      </c>
      <c r="I184" t="s">
        <v>1205</v>
      </c>
      <c r="J184" t="s">
        <v>114</v>
      </c>
      <c r="K184" t="s">
        <v>114</v>
      </c>
      <c r="L184" t="s">
        <v>307</v>
      </c>
      <c r="M184" t="s">
        <v>915</v>
      </c>
      <c r="N184" t="s">
        <v>56</v>
      </c>
      <c r="O184" t="s">
        <v>36</v>
      </c>
      <c r="P184" t="s">
        <v>84</v>
      </c>
      <c r="Q184" t="s">
        <v>84</v>
      </c>
      <c r="V184" t="s">
        <v>49</v>
      </c>
      <c r="W184" t="s">
        <v>84</v>
      </c>
      <c r="X184" t="s">
        <v>1156</v>
      </c>
      <c r="Y184" t="s">
        <v>1205</v>
      </c>
      <c r="Z184" t="s">
        <v>84</v>
      </c>
      <c r="AA184" t="s">
        <v>84</v>
      </c>
      <c r="AB184" t="s">
        <v>36</v>
      </c>
      <c r="AC184" t="s">
        <v>1340</v>
      </c>
      <c r="AD184" t="s">
        <v>36</v>
      </c>
      <c r="AE184" t="s">
        <v>1340</v>
      </c>
      <c r="AF184" t="s">
        <v>86</v>
      </c>
      <c r="AG184" t="s">
        <v>269</v>
      </c>
      <c r="AH184" t="s">
        <v>183</v>
      </c>
      <c r="AI184" s="4">
        <f ca="1">data[[#This Row],[Expiry Date]]-TODAY()</f>
        <v>42</v>
      </c>
      <c r="AJ184" s="4">
        <f ca="1">data[[#This Row],[Maturity ( Days)]]/365</f>
        <v>0.11506849315068493</v>
      </c>
      <c r="AK184" s="4" t="str">
        <f>IF(data[[#This Row],[Option Type]]="put","p","c")</f>
        <v>c</v>
      </c>
      <c r="AL184" s="4">
        <f>(data[[#This Row],[Bid]]*data[[#This Row],[Bidsize]]+data[[#This Row],[Ask]]*data[[#This Row],[Asksize]])/(data[[#This Row],[Bidsize]]+data[[#This Row],[Asksize]])</f>
        <v>99.800000000000011</v>
      </c>
      <c r="AM184" s="4">
        <f>VALUE(data[[#This Row],[Strike]])</f>
        <v>4070</v>
      </c>
      <c r="AN184" s="5">
        <f ca="1">impliedVol(data[[#This Row],[OptType]],Details!$B$4,VALUE(data[[#This Row],[Strike]]),VALUE(data[[#This Row],[Cnt Price]]),Details!$B$6,data[[#This Row],[T]],Details!$B$7)</f>
        <v>0.28957629725517053</v>
      </c>
      <c r="AO184" s="7">
        <f t="array" aca="1" ref="AO184:AS184" ca="1">bsGreeks(data[[#This Row],[OptType]],Details!$B$4,VALUE(data[[#This Row],[Strike]]),Details!$B$6,data[[#This Row],[T]],AN184,Details!$B$7)</f>
        <v>0.38387883134309303</v>
      </c>
      <c r="AP184" s="7">
        <f ca="1"/>
        <v>9.8816811767367938E-4</v>
      </c>
      <c r="AQ184" s="6">
        <f ca="1"/>
        <v>5.0915825816288427</v>
      </c>
      <c r="AR184" s="6">
        <f ca="1"/>
        <v>-179.38840578246459</v>
      </c>
      <c r="AS184" s="6">
        <f ca="1"/>
        <v>162.11823270141682</v>
      </c>
      <c r="AU184" s="60">
        <f ca="1"/>
        <v>98.167760731205362</v>
      </c>
      <c r="AV184" s="61" t="str">
        <f ca="1"/>
        <v>c</v>
      </c>
      <c r="AW184" s="61">
        <f ca="1"/>
        <v>0.28957629725517053</v>
      </c>
      <c r="AX184" s="62">
        <f ca="1"/>
        <v>0.38387883134309303</v>
      </c>
      <c r="AY184" s="62">
        <f ca="1"/>
        <v>9.8816811767367938E-4</v>
      </c>
      <c r="AZ184" s="62">
        <f ca="1"/>
        <v>5.0915825816288427</v>
      </c>
      <c r="BA184" s="60">
        <f ca="1"/>
        <v>-179.38840578246459</v>
      </c>
      <c r="BB184" s="60">
        <f ca="1"/>
        <v>162.11823270141682</v>
      </c>
    </row>
    <row r="185" spans="1:54" x14ac:dyDescent="0.3">
      <c r="A185" t="s">
        <v>641</v>
      </c>
      <c r="B185" t="s">
        <v>642</v>
      </c>
      <c r="C185" t="s">
        <v>29</v>
      </c>
      <c r="D185" t="s">
        <v>109</v>
      </c>
      <c r="E185" t="s">
        <v>84</v>
      </c>
      <c r="F185" t="s">
        <v>209</v>
      </c>
      <c r="G185" t="s">
        <v>1339</v>
      </c>
      <c r="H185" t="s">
        <v>1133</v>
      </c>
      <c r="I185" t="s">
        <v>1303</v>
      </c>
      <c r="J185" t="s">
        <v>100</v>
      </c>
      <c r="K185" t="s">
        <v>100</v>
      </c>
      <c r="L185" t="s">
        <v>307</v>
      </c>
      <c r="M185" t="s">
        <v>245</v>
      </c>
      <c r="N185" t="s">
        <v>56</v>
      </c>
      <c r="O185" t="s">
        <v>36</v>
      </c>
      <c r="P185" t="s">
        <v>84</v>
      </c>
      <c r="Q185" t="s">
        <v>84</v>
      </c>
      <c r="V185" t="s">
        <v>49</v>
      </c>
      <c r="W185" t="s">
        <v>84</v>
      </c>
      <c r="X185" t="s">
        <v>1105</v>
      </c>
      <c r="Y185" t="s">
        <v>1303</v>
      </c>
      <c r="Z185" t="s">
        <v>84</v>
      </c>
      <c r="AA185" t="s">
        <v>84</v>
      </c>
      <c r="AB185" t="s">
        <v>36</v>
      </c>
      <c r="AC185" t="s">
        <v>1340</v>
      </c>
      <c r="AD185" t="s">
        <v>36</v>
      </c>
      <c r="AE185" t="s">
        <v>1340</v>
      </c>
      <c r="AF185" t="s">
        <v>86</v>
      </c>
      <c r="AG185" t="s">
        <v>269</v>
      </c>
      <c r="AH185" t="s">
        <v>183</v>
      </c>
      <c r="AI185" s="4">
        <f ca="1">data[[#This Row],[Expiry Date]]-TODAY()</f>
        <v>42</v>
      </c>
      <c r="AJ185" s="4">
        <f ca="1">data[[#This Row],[Maturity ( Days)]]/365</f>
        <v>0.11506849315068493</v>
      </c>
      <c r="AK185" s="4" t="str">
        <f>IF(data[[#This Row],[Option Type]]="put","p","c")</f>
        <v>p</v>
      </c>
      <c r="AL185" s="4">
        <f>(data[[#This Row],[Bid]]*data[[#This Row],[Bidsize]]+data[[#This Row],[Ask]]*data[[#This Row],[Asksize]])/(data[[#This Row],[Bidsize]]+data[[#This Row],[Asksize]])</f>
        <v>198.65</v>
      </c>
      <c r="AM185" s="4">
        <f>VALUE(data[[#This Row],[Strike]])</f>
        <v>4070</v>
      </c>
      <c r="AN185" s="5">
        <f ca="1">impliedVol(data[[#This Row],[OptType]],Details!$B$4,VALUE(data[[#This Row],[Strike]]),VALUE(data[[#This Row],[Cnt Price]]),Details!$B$6,data[[#This Row],[T]],Details!$B$7)</f>
        <v>0.2265549378257202</v>
      </c>
      <c r="AO185" s="7">
        <f t="array" aca="1" ref="AO185:AS185" ca="1">bsGreeks(data[[#This Row],[OptType]],Details!$B$4,VALUE(data[[#This Row],[Strike]]),Details!$B$6,data[[#This Row],[T]],AN185,Details!$B$7)</f>
        <v>-0.65608713990867717</v>
      </c>
      <c r="AP185" s="7">
        <f ca="1"/>
        <v>1.2170234181160446E-3</v>
      </c>
      <c r="AQ185" s="6">
        <f ca="1"/>
        <v>4.9060436859578429</v>
      </c>
      <c r="AR185" s="6">
        <f ca="1"/>
        <v>-124.70276290111939</v>
      </c>
      <c r="AS185" s="6">
        <f ca="1"/>
        <v>-319.55814697997101</v>
      </c>
      <c r="AU185" s="60">
        <f ca="1"/>
        <v>201.83494171875827</v>
      </c>
      <c r="AV185" s="61" t="str">
        <f ca="1"/>
        <v>p</v>
      </c>
      <c r="AW185" s="61">
        <f ca="1"/>
        <v>0.2265549378257202</v>
      </c>
      <c r="AX185" s="62">
        <f ca="1"/>
        <v>-0.65608713990867717</v>
      </c>
      <c r="AY185" s="62">
        <f ca="1"/>
        <v>1.2170234181160446E-3</v>
      </c>
      <c r="AZ185" s="62">
        <f ca="1"/>
        <v>4.9060436859578429</v>
      </c>
      <c r="BA185" s="60">
        <f ca="1"/>
        <v>-124.70276290111939</v>
      </c>
      <c r="BB185" s="60">
        <f ca="1"/>
        <v>-319.55814697997101</v>
      </c>
    </row>
    <row r="186" spans="1:54" x14ac:dyDescent="0.3">
      <c r="A186" t="s">
        <v>643</v>
      </c>
      <c r="B186" t="s">
        <v>644</v>
      </c>
      <c r="C186" t="s">
        <v>29</v>
      </c>
      <c r="D186" t="s">
        <v>117</v>
      </c>
      <c r="E186" t="s">
        <v>84</v>
      </c>
      <c r="F186" t="s">
        <v>140</v>
      </c>
      <c r="G186" t="s">
        <v>984</v>
      </c>
      <c r="H186" t="s">
        <v>1557</v>
      </c>
      <c r="I186" t="s">
        <v>1206</v>
      </c>
      <c r="J186" t="s">
        <v>100</v>
      </c>
      <c r="K186" t="s">
        <v>100</v>
      </c>
      <c r="L186" t="s">
        <v>307</v>
      </c>
      <c r="M186" t="s">
        <v>116</v>
      </c>
      <c r="N186" t="s">
        <v>56</v>
      </c>
      <c r="O186" t="s">
        <v>36</v>
      </c>
      <c r="P186" t="s">
        <v>84</v>
      </c>
      <c r="Q186" t="s">
        <v>84</v>
      </c>
      <c r="V186" t="s">
        <v>49</v>
      </c>
      <c r="W186" t="s">
        <v>84</v>
      </c>
      <c r="X186" t="s">
        <v>1105</v>
      </c>
      <c r="Y186" t="s">
        <v>1206</v>
      </c>
      <c r="Z186" t="s">
        <v>84</v>
      </c>
      <c r="AA186" t="s">
        <v>84</v>
      </c>
      <c r="AB186" t="s">
        <v>36</v>
      </c>
      <c r="AC186" t="s">
        <v>1340</v>
      </c>
      <c r="AD186" t="s">
        <v>36</v>
      </c>
      <c r="AE186" t="s">
        <v>1340</v>
      </c>
      <c r="AF186" t="s">
        <v>86</v>
      </c>
      <c r="AG186" t="s">
        <v>269</v>
      </c>
      <c r="AH186" t="s">
        <v>183</v>
      </c>
      <c r="AI186" s="4">
        <f ca="1">data[[#This Row],[Expiry Date]]-TODAY()</f>
        <v>42</v>
      </c>
      <c r="AJ186" s="4">
        <f ca="1">data[[#This Row],[Maturity ( Days)]]/365</f>
        <v>0.11506849315068493</v>
      </c>
      <c r="AK186" s="4" t="str">
        <f>IF(data[[#This Row],[Option Type]]="put","p","c")</f>
        <v>p</v>
      </c>
      <c r="AL186" s="4">
        <f>(data[[#This Row],[Bid]]*data[[#This Row],[Bidsize]]+data[[#This Row],[Ask]]*data[[#This Row],[Asksize]])/(data[[#This Row],[Bidsize]]+data[[#This Row],[Asksize]])</f>
        <v>201.45</v>
      </c>
      <c r="AM186" s="4">
        <f>VALUE(data[[#This Row],[Strike]])</f>
        <v>4075</v>
      </c>
      <c r="AN186" s="5">
        <f ca="1">impliedVol(data[[#This Row],[OptType]],Details!$B$4,VALUE(data[[#This Row],[Strike]]),VALUE(data[[#This Row],[Cnt Price]]),Details!$B$6,data[[#This Row],[T]],Details!$B$7)</f>
        <v>0.22533232538516942</v>
      </c>
      <c r="AO186" s="7">
        <f t="array" aca="1" ref="AO186:AS186" ca="1">bsGreeks(data[[#This Row],[OptType]],Details!$B$4,VALUE(data[[#This Row],[Strike]]),Details!$B$6,data[[#This Row],[T]],AN186,Details!$B$7)</f>
        <v>-0.66292737724453321</v>
      </c>
      <c r="AP186" s="7">
        <f ca="1"/>
        <v>1.2142761152360692E-3</v>
      </c>
      <c r="AQ186" s="6">
        <f ca="1"/>
        <v>4.8685529187204786</v>
      </c>
      <c r="AR186" s="6">
        <f ca="1"/>
        <v>-122.90157633306009</v>
      </c>
      <c r="AS186" s="6">
        <f ca="1"/>
        <v>-322.97369132892351</v>
      </c>
      <c r="AU186" s="60">
        <f ca="1"/>
        <v>204.66914371405073</v>
      </c>
      <c r="AV186" s="61" t="str">
        <f ca="1"/>
        <v>p</v>
      </c>
      <c r="AW186" s="61">
        <f ca="1"/>
        <v>0.22533232538516942</v>
      </c>
      <c r="AX186" s="62">
        <f ca="1"/>
        <v>-0.66292737724453321</v>
      </c>
      <c r="AY186" s="62">
        <f ca="1"/>
        <v>1.2142761152360692E-3</v>
      </c>
      <c r="AZ186" s="62">
        <f ca="1"/>
        <v>4.8685529187204786</v>
      </c>
      <c r="BA186" s="60">
        <f ca="1"/>
        <v>-122.90157633306009</v>
      </c>
      <c r="BB186" s="60">
        <f ca="1"/>
        <v>-322.97369132892351</v>
      </c>
    </row>
    <row r="187" spans="1:54" x14ac:dyDescent="0.3">
      <c r="A187" t="s">
        <v>455</v>
      </c>
      <c r="B187" t="s">
        <v>456</v>
      </c>
      <c r="C187" t="s">
        <v>57</v>
      </c>
      <c r="D187" t="s">
        <v>99</v>
      </c>
      <c r="E187" t="s">
        <v>84</v>
      </c>
      <c r="F187" t="s">
        <v>140</v>
      </c>
      <c r="G187" t="s">
        <v>885</v>
      </c>
      <c r="H187" t="s">
        <v>1329</v>
      </c>
      <c r="I187" t="s">
        <v>856</v>
      </c>
      <c r="J187" t="s">
        <v>114</v>
      </c>
      <c r="K187" t="s">
        <v>114</v>
      </c>
      <c r="L187" t="s">
        <v>307</v>
      </c>
      <c r="M187" t="s">
        <v>105</v>
      </c>
      <c r="N187" t="s">
        <v>56</v>
      </c>
      <c r="O187" t="s">
        <v>36</v>
      </c>
      <c r="P187" t="s">
        <v>84</v>
      </c>
      <c r="Q187" t="s">
        <v>84</v>
      </c>
      <c r="V187" t="s">
        <v>49</v>
      </c>
      <c r="W187" t="s">
        <v>84</v>
      </c>
      <c r="X187" t="s">
        <v>818</v>
      </c>
      <c r="Y187" t="s">
        <v>856</v>
      </c>
      <c r="Z187" t="s">
        <v>84</v>
      </c>
      <c r="AA187" t="s">
        <v>84</v>
      </c>
      <c r="AB187" t="s">
        <v>36</v>
      </c>
      <c r="AC187" t="s">
        <v>1340</v>
      </c>
      <c r="AD187" t="s">
        <v>36</v>
      </c>
      <c r="AE187" t="s">
        <v>1340</v>
      </c>
      <c r="AF187" t="s">
        <v>86</v>
      </c>
      <c r="AG187" t="s">
        <v>269</v>
      </c>
      <c r="AH187" t="s">
        <v>183</v>
      </c>
      <c r="AI187" s="4">
        <f ca="1">data[[#This Row],[Expiry Date]]-TODAY()</f>
        <v>42</v>
      </c>
      <c r="AJ187" s="4">
        <f ca="1">data[[#This Row],[Maturity ( Days)]]/365</f>
        <v>0.11506849315068493</v>
      </c>
      <c r="AK187" s="4" t="str">
        <f>IF(data[[#This Row],[Option Type]]="put","p","c")</f>
        <v>c</v>
      </c>
      <c r="AL187" s="4">
        <f>(data[[#This Row],[Bid]]*data[[#This Row],[Bidsize]]+data[[#This Row],[Ask]]*data[[#This Row],[Asksize]])/(data[[#This Row],[Bidsize]]+data[[#This Row],[Asksize]])</f>
        <v>97.6</v>
      </c>
      <c r="AM187" s="4">
        <f>VALUE(data[[#This Row],[Strike]])</f>
        <v>4075</v>
      </c>
      <c r="AN187" s="5">
        <f ca="1">impliedVol(data[[#This Row],[OptType]],Details!$B$4,VALUE(data[[#This Row],[Strike]]),VALUE(data[[#This Row],[Cnt Price]]),Details!$B$6,data[[#This Row],[T]],Details!$B$7)</f>
        <v>0.2886742293804484</v>
      </c>
      <c r="AO187" s="7">
        <f t="array" aca="1" ref="AO187:AS187" ca="1">bsGreeks(data[[#This Row],[OptType]],Details!$B$4,VALUE(data[[#This Row],[Strike]]),Details!$B$6,data[[#This Row],[T]],AN187,Details!$B$7)</f>
        <v>0.37863172382278765</v>
      </c>
      <c r="AP187" s="7">
        <f ca="1"/>
        <v>9.8714063008393518E-4</v>
      </c>
      <c r="AQ187" s="6">
        <f ca="1"/>
        <v>5.0704439529065386</v>
      </c>
      <c r="AR187" s="6">
        <f ca="1"/>
        <v>-178.06464782663383</v>
      </c>
      <c r="AS187" s="6">
        <f ca="1"/>
        <v>159.99849128967543</v>
      </c>
      <c r="AU187" s="60">
        <f ca="1"/>
        <v>95.988980291077951</v>
      </c>
      <c r="AV187" s="61" t="str">
        <f ca="1"/>
        <v>c</v>
      </c>
      <c r="AW187" s="61">
        <f ca="1"/>
        <v>0.2886742293804484</v>
      </c>
      <c r="AX187" s="62">
        <f ca="1"/>
        <v>0.37863172382278765</v>
      </c>
      <c r="AY187" s="62">
        <f ca="1"/>
        <v>9.8714063008393518E-4</v>
      </c>
      <c r="AZ187" s="62">
        <f ca="1"/>
        <v>5.0704439529065386</v>
      </c>
      <c r="BA187" s="60">
        <f ca="1"/>
        <v>-178.06464782663383</v>
      </c>
      <c r="BB187" s="60">
        <f ca="1"/>
        <v>159.99849128967543</v>
      </c>
    </row>
    <row r="188" spans="1:54" x14ac:dyDescent="0.3">
      <c r="A188" t="s">
        <v>457</v>
      </c>
      <c r="B188" t="s">
        <v>458</v>
      </c>
      <c r="C188" t="s">
        <v>29</v>
      </c>
      <c r="D188" t="s">
        <v>117</v>
      </c>
      <c r="E188" t="s">
        <v>84</v>
      </c>
      <c r="F188" t="s">
        <v>196</v>
      </c>
      <c r="G188" t="s">
        <v>1054</v>
      </c>
      <c r="H188" t="s">
        <v>987</v>
      </c>
      <c r="I188" t="s">
        <v>816</v>
      </c>
      <c r="J188" t="s">
        <v>100</v>
      </c>
      <c r="K188" t="s">
        <v>100</v>
      </c>
      <c r="L188" t="s">
        <v>307</v>
      </c>
      <c r="M188" t="s">
        <v>117</v>
      </c>
      <c r="N188" t="s">
        <v>56</v>
      </c>
      <c r="O188" t="s">
        <v>36</v>
      </c>
      <c r="P188" t="s">
        <v>84</v>
      </c>
      <c r="Q188" t="s">
        <v>84</v>
      </c>
      <c r="V188" t="s">
        <v>49</v>
      </c>
      <c r="W188" t="s">
        <v>84</v>
      </c>
      <c r="X188" t="s">
        <v>818</v>
      </c>
      <c r="Y188" t="s">
        <v>816</v>
      </c>
      <c r="Z188" t="s">
        <v>84</v>
      </c>
      <c r="AA188" t="s">
        <v>84</v>
      </c>
      <c r="AB188" t="s">
        <v>36</v>
      </c>
      <c r="AC188" t="s">
        <v>1340</v>
      </c>
      <c r="AD188" t="s">
        <v>36</v>
      </c>
      <c r="AE188" t="s">
        <v>1340</v>
      </c>
      <c r="AF188" t="s">
        <v>86</v>
      </c>
      <c r="AG188" t="s">
        <v>269</v>
      </c>
      <c r="AH188" t="s">
        <v>183</v>
      </c>
      <c r="AI188" s="4">
        <f ca="1">data[[#This Row],[Expiry Date]]-TODAY()</f>
        <v>42</v>
      </c>
      <c r="AJ188" s="4">
        <f ca="1">data[[#This Row],[Maturity ( Days)]]/365</f>
        <v>0.11506849315068493</v>
      </c>
      <c r="AK188" s="4" t="str">
        <f>IF(data[[#This Row],[Option Type]]="put","p","c")</f>
        <v>p</v>
      </c>
      <c r="AL188" s="4">
        <f>(data[[#This Row],[Bid]]*data[[#This Row],[Bidsize]]+data[[#This Row],[Ask]]*data[[#This Row],[Asksize]])/(data[[#This Row],[Bidsize]]+data[[#This Row],[Asksize]])</f>
        <v>204.25</v>
      </c>
      <c r="AM188" s="4">
        <f>VALUE(data[[#This Row],[Strike]])</f>
        <v>4080</v>
      </c>
      <c r="AN188" s="5">
        <f ca="1">impliedVol(data[[#This Row],[OptType]],Details!$B$4,VALUE(data[[#This Row],[Strike]]),VALUE(data[[#This Row],[Cnt Price]]),Details!$B$6,data[[#This Row],[T]],Details!$B$7)</f>
        <v>0.22403385132636053</v>
      </c>
      <c r="AO188" s="7">
        <f t="array" aca="1" ref="AO188:AS188" ca="1">bsGreeks(data[[#This Row],[OptType]],Details!$B$4,VALUE(data[[#This Row],[Strike]]),Details!$B$6,data[[#This Row],[T]],AN188,Details!$B$7)</f>
        <v>-0.66984312480233132</v>
      </c>
      <c r="AP188" s="7">
        <f ca="1"/>
        <v>1.2113696197927485E-3</v>
      </c>
      <c r="AQ188" s="6">
        <f ca="1"/>
        <v>4.8289117250280125</v>
      </c>
      <c r="AR188" s="6">
        <f ca="1"/>
        <v>-121.00950588047176</v>
      </c>
      <c r="AS188" s="6">
        <f ca="1"/>
        <v>-326.42338372889452</v>
      </c>
      <c r="AU188" s="60">
        <f ca="1"/>
        <v>207.50368899767454</v>
      </c>
      <c r="AV188" s="61" t="str">
        <f ca="1"/>
        <v>p</v>
      </c>
      <c r="AW188" s="61">
        <f ca="1"/>
        <v>0.22403385132636053</v>
      </c>
      <c r="AX188" s="62">
        <f ca="1"/>
        <v>-0.66984312480233132</v>
      </c>
      <c r="AY188" s="62">
        <f ca="1"/>
        <v>1.2113696197927485E-3</v>
      </c>
      <c r="AZ188" s="62">
        <f ca="1"/>
        <v>4.8289117250280125</v>
      </c>
      <c r="BA188" s="60">
        <f ca="1"/>
        <v>-121.00950588047176</v>
      </c>
      <c r="BB188" s="60">
        <f ca="1"/>
        <v>-326.42338372889452</v>
      </c>
    </row>
    <row r="189" spans="1:54" x14ac:dyDescent="0.3">
      <c r="A189" t="s">
        <v>459</v>
      </c>
      <c r="B189" t="s">
        <v>460</v>
      </c>
      <c r="C189" t="s">
        <v>57</v>
      </c>
      <c r="D189" t="s">
        <v>114</v>
      </c>
      <c r="E189" t="s">
        <v>84</v>
      </c>
      <c r="F189" t="s">
        <v>196</v>
      </c>
      <c r="G189" t="s">
        <v>1202</v>
      </c>
      <c r="H189" t="s">
        <v>892</v>
      </c>
      <c r="I189" t="s">
        <v>917</v>
      </c>
      <c r="J189" t="s">
        <v>114</v>
      </c>
      <c r="K189" t="s">
        <v>113</v>
      </c>
      <c r="L189" t="s">
        <v>307</v>
      </c>
      <c r="M189" t="s">
        <v>114</v>
      </c>
      <c r="N189" t="s">
        <v>56</v>
      </c>
      <c r="O189" t="s">
        <v>36</v>
      </c>
      <c r="P189" t="s">
        <v>84</v>
      </c>
      <c r="Q189" t="s">
        <v>84</v>
      </c>
      <c r="V189" t="s">
        <v>49</v>
      </c>
      <c r="W189" t="s">
        <v>84</v>
      </c>
      <c r="X189" t="s">
        <v>953</v>
      </c>
      <c r="Y189" t="s">
        <v>917</v>
      </c>
      <c r="Z189" t="s">
        <v>84</v>
      </c>
      <c r="AA189" t="s">
        <v>84</v>
      </c>
      <c r="AB189" t="s">
        <v>36</v>
      </c>
      <c r="AC189" t="s">
        <v>1340</v>
      </c>
      <c r="AD189" t="s">
        <v>36</v>
      </c>
      <c r="AE189" t="s">
        <v>1340</v>
      </c>
      <c r="AF189" t="s">
        <v>86</v>
      </c>
      <c r="AG189" t="s">
        <v>269</v>
      </c>
      <c r="AH189" t="s">
        <v>183</v>
      </c>
      <c r="AI189" s="4">
        <f ca="1">data[[#This Row],[Expiry Date]]-TODAY()</f>
        <v>42</v>
      </c>
      <c r="AJ189" s="4">
        <f ca="1">data[[#This Row],[Maturity ( Days)]]/365</f>
        <v>0.11506849315068493</v>
      </c>
      <c r="AK189" s="4" t="str">
        <f>IF(data[[#This Row],[Option Type]]="put","p","c")</f>
        <v>c</v>
      </c>
      <c r="AL189" s="4">
        <f>(data[[#This Row],[Bid]]*data[[#This Row],[Bidsize]]+data[[#This Row],[Ask]]*data[[#This Row],[Asksize]])/(data[[#This Row],[Bidsize]]+data[[#This Row],[Asksize]])</f>
        <v>95.45</v>
      </c>
      <c r="AM189" s="4">
        <f>VALUE(data[[#This Row],[Strike]])</f>
        <v>4080</v>
      </c>
      <c r="AN189" s="5">
        <f ca="1">impliedVol(data[[#This Row],[OptType]],Details!$B$4,VALUE(data[[#This Row],[Strike]]),VALUE(data[[#This Row],[Cnt Price]]),Details!$B$6,data[[#This Row],[T]],Details!$B$7)</f>
        <v>0.28781823896492426</v>
      </c>
      <c r="AO189" s="7">
        <f t="array" aca="1" ref="AO189:AS189" ca="1">bsGreeks(data[[#This Row],[OptType]],Details!$B$4,VALUE(data[[#This Row],[Strike]]),Details!$B$6,data[[#This Row],[T]],AN189,Details!$B$7)</f>
        <v>0.37340590945487412</v>
      </c>
      <c r="AP189" s="7">
        <f ca="1"/>
        <v>9.857782848769947E-4</v>
      </c>
      <c r="AQ189" s="6">
        <f ca="1"/>
        <v>5.0484319028551665</v>
      </c>
      <c r="AR189" s="6">
        <f ca="1"/>
        <v>-176.7432929099858</v>
      </c>
      <c r="AS189" s="6">
        <f ca="1"/>
        <v>157.88262542641522</v>
      </c>
      <c r="AU189" s="60">
        <f ca="1"/>
        <v>93.860164503710621</v>
      </c>
      <c r="AV189" s="61" t="str">
        <f ca="1"/>
        <v>c</v>
      </c>
      <c r="AW189" s="61">
        <f ca="1"/>
        <v>0.28781823896492426</v>
      </c>
      <c r="AX189" s="62">
        <f ca="1"/>
        <v>0.37340590945487412</v>
      </c>
      <c r="AY189" s="62">
        <f ca="1"/>
        <v>9.857782848769947E-4</v>
      </c>
      <c r="AZ189" s="62">
        <f ca="1"/>
        <v>5.0484319028551665</v>
      </c>
      <c r="BA189" s="60">
        <f ca="1"/>
        <v>-176.7432929099858</v>
      </c>
      <c r="BB189" s="60">
        <f ca="1"/>
        <v>157.88262542641522</v>
      </c>
    </row>
    <row r="190" spans="1:54" x14ac:dyDescent="0.3">
      <c r="A190" t="s">
        <v>461</v>
      </c>
      <c r="B190" t="s">
        <v>462</v>
      </c>
      <c r="C190" t="s">
        <v>57</v>
      </c>
      <c r="D190" t="s">
        <v>110</v>
      </c>
      <c r="E190" t="s">
        <v>84</v>
      </c>
      <c r="F190" t="s">
        <v>197</v>
      </c>
      <c r="G190" t="s">
        <v>1558</v>
      </c>
      <c r="H190" t="s">
        <v>890</v>
      </c>
      <c r="I190" t="s">
        <v>1207</v>
      </c>
      <c r="J190" t="s">
        <v>83</v>
      </c>
      <c r="K190" t="s">
        <v>83</v>
      </c>
      <c r="L190" t="s">
        <v>307</v>
      </c>
      <c r="M190" t="s">
        <v>101</v>
      </c>
      <c r="N190" t="s">
        <v>56</v>
      </c>
      <c r="O190" t="s">
        <v>36</v>
      </c>
      <c r="P190" t="s">
        <v>84</v>
      </c>
      <c r="Q190" t="s">
        <v>84</v>
      </c>
      <c r="V190" t="s">
        <v>49</v>
      </c>
      <c r="W190" t="s">
        <v>84</v>
      </c>
      <c r="X190" t="s">
        <v>1158</v>
      </c>
      <c r="Y190" t="s">
        <v>1207</v>
      </c>
      <c r="Z190" t="s">
        <v>84</v>
      </c>
      <c r="AA190" t="s">
        <v>84</v>
      </c>
      <c r="AB190" t="s">
        <v>36</v>
      </c>
      <c r="AC190" t="s">
        <v>1340</v>
      </c>
      <c r="AD190" t="s">
        <v>36</v>
      </c>
      <c r="AE190" t="s">
        <v>1340</v>
      </c>
      <c r="AF190" t="s">
        <v>86</v>
      </c>
      <c r="AG190" t="s">
        <v>269</v>
      </c>
      <c r="AH190" t="s">
        <v>183</v>
      </c>
      <c r="AI190" s="4">
        <f ca="1">data[[#This Row],[Expiry Date]]-TODAY()</f>
        <v>42</v>
      </c>
      <c r="AJ190" s="4">
        <f ca="1">data[[#This Row],[Maturity ( Days)]]/365</f>
        <v>0.11506849315068493</v>
      </c>
      <c r="AK190" s="4" t="str">
        <f>IF(data[[#This Row],[Option Type]]="put","p","c")</f>
        <v>c</v>
      </c>
      <c r="AL190" s="4">
        <f>(data[[#This Row],[Bid]]*data[[#This Row],[Bidsize]]+data[[#This Row],[Ask]]*data[[#This Row],[Asksize]])/(data[[#This Row],[Bidsize]]+data[[#This Row],[Asksize]])</f>
        <v>91</v>
      </c>
      <c r="AM190" s="4">
        <f>VALUE(data[[#This Row],[Strike]])</f>
        <v>4090</v>
      </c>
      <c r="AN190" s="5">
        <f ca="1">impliedVol(data[[#This Row],[OptType]],Details!$B$4,VALUE(data[[#This Row],[Strike]]),VALUE(data[[#This Row],[Cnt Price]]),Details!$B$6,data[[#This Row],[T]],Details!$B$7)</f>
        <v>0.28564890773169926</v>
      </c>
      <c r="AO190" s="7">
        <f t="array" aca="1" ref="AO190:AS190" ca="1">bsGreeks(data[[#This Row],[OptType]],Details!$B$4,VALUE(data[[#This Row],[Strike]]),Details!$B$6,data[[#This Row],[T]],AN190,Details!$B$7)</f>
        <v>0.36268153963266503</v>
      </c>
      <c r="AP190" s="7">
        <f ca="1"/>
        <v>9.8378366299546821E-4</v>
      </c>
      <c r="AQ190" s="6">
        <f ca="1"/>
        <v>5.0002430839549818</v>
      </c>
      <c r="AR190" s="6">
        <f ca="1"/>
        <v>-173.69741603809155</v>
      </c>
      <c r="AS190" s="6">
        <f ca="1"/>
        <v>153.54481358143696</v>
      </c>
      <c r="AU190" s="60">
        <f ca="1"/>
        <v>89.453586795691081</v>
      </c>
      <c r="AV190" s="61" t="str">
        <f ca="1"/>
        <v>c</v>
      </c>
      <c r="AW190" s="61">
        <f ca="1"/>
        <v>0.28564890773169926</v>
      </c>
      <c r="AX190" s="62">
        <f ca="1"/>
        <v>0.36268153963266503</v>
      </c>
      <c r="AY190" s="62">
        <f ca="1"/>
        <v>9.8378366299546821E-4</v>
      </c>
      <c r="AZ190" s="62">
        <f ca="1"/>
        <v>5.0002430839549818</v>
      </c>
      <c r="BA190" s="60">
        <f ca="1"/>
        <v>-173.69741603809155</v>
      </c>
      <c r="BB190" s="60">
        <f ca="1"/>
        <v>153.54481358143696</v>
      </c>
    </row>
    <row r="191" spans="1:54" x14ac:dyDescent="0.3">
      <c r="A191" t="s">
        <v>645</v>
      </c>
      <c r="B191" t="s">
        <v>646</v>
      </c>
      <c r="C191" t="s">
        <v>29</v>
      </c>
      <c r="D191" t="s">
        <v>109</v>
      </c>
      <c r="E191" t="s">
        <v>84</v>
      </c>
      <c r="F191" t="s">
        <v>197</v>
      </c>
      <c r="G191" t="s">
        <v>1234</v>
      </c>
      <c r="H191" t="s">
        <v>760</v>
      </c>
      <c r="I191" t="s">
        <v>992</v>
      </c>
      <c r="J191" t="s">
        <v>100</v>
      </c>
      <c r="K191" t="s">
        <v>100</v>
      </c>
      <c r="L191" t="s">
        <v>307</v>
      </c>
      <c r="M191" t="s">
        <v>117</v>
      </c>
      <c r="N191" t="s">
        <v>56</v>
      </c>
      <c r="O191" t="s">
        <v>36</v>
      </c>
      <c r="P191" t="s">
        <v>84</v>
      </c>
      <c r="Q191" t="s">
        <v>84</v>
      </c>
      <c r="V191" t="s">
        <v>49</v>
      </c>
      <c r="W191" t="s">
        <v>84</v>
      </c>
      <c r="X191" t="s">
        <v>953</v>
      </c>
      <c r="Y191" t="s">
        <v>992</v>
      </c>
      <c r="Z191" t="s">
        <v>84</v>
      </c>
      <c r="AA191" t="s">
        <v>84</v>
      </c>
      <c r="AB191" t="s">
        <v>36</v>
      </c>
      <c r="AC191" t="s">
        <v>1340</v>
      </c>
      <c r="AD191" t="s">
        <v>36</v>
      </c>
      <c r="AE191" t="s">
        <v>1340</v>
      </c>
      <c r="AF191" t="s">
        <v>86</v>
      </c>
      <c r="AG191" t="s">
        <v>269</v>
      </c>
      <c r="AH191" t="s">
        <v>183</v>
      </c>
      <c r="AI191" s="4">
        <f ca="1">data[[#This Row],[Expiry Date]]-TODAY()</f>
        <v>42</v>
      </c>
      <c r="AJ191" s="4">
        <f ca="1">data[[#This Row],[Maturity ( Days)]]/365</f>
        <v>0.11506849315068493</v>
      </c>
      <c r="AK191" s="4" t="str">
        <f>IF(data[[#This Row],[Option Type]]="put","p","c")</f>
        <v>p</v>
      </c>
      <c r="AL191" s="4">
        <f>(data[[#This Row],[Bid]]*data[[#This Row],[Bidsize]]+data[[#This Row],[Ask]]*data[[#This Row],[Asksize]])/(data[[#This Row],[Bidsize]]+data[[#This Row],[Asksize]])</f>
        <v>209.85</v>
      </c>
      <c r="AM191" s="4">
        <f>VALUE(data[[#This Row],[Strike]])</f>
        <v>4090</v>
      </c>
      <c r="AN191" s="5">
        <f ca="1">impliedVol(data[[#This Row],[OptType]],Details!$B$4,VALUE(data[[#This Row],[Strike]]),VALUE(data[[#This Row],[Cnt Price]]),Details!$B$6,data[[#This Row],[T]],Details!$B$7)</f>
        <v>0.22119940953041894</v>
      </c>
      <c r="AO191" s="7">
        <f t="array" aca="1" ref="AO191:AS191" ca="1">bsGreeks(data[[#This Row],[OptType]],Details!$B$4,VALUE(data[[#This Row],[Strike]]),Details!$B$6,data[[#This Row],[T]],AN191,Details!$B$7)</f>
        <v>-0.68392532665386019</v>
      </c>
      <c r="AP191" s="7">
        <f ca="1"/>
        <v>1.2049967524920843E-3</v>
      </c>
      <c r="AQ191" s="6">
        <f ca="1"/>
        <v>4.7427341752429903</v>
      </c>
      <c r="AR191" s="6">
        <f ca="1"/>
        <v>-116.94357021383155</v>
      </c>
      <c r="AS191" s="6">
        <f ca="1"/>
        <v>-333.43614585579746</v>
      </c>
      <c r="AU191" s="60">
        <f ca="1"/>
        <v>213.17391942248832</v>
      </c>
      <c r="AV191" s="61" t="str">
        <f ca="1"/>
        <v>p</v>
      </c>
      <c r="AW191" s="61">
        <f ca="1"/>
        <v>0.22119940953041894</v>
      </c>
      <c r="AX191" s="62">
        <f ca="1"/>
        <v>-0.68392532665386019</v>
      </c>
      <c r="AY191" s="62">
        <f ca="1"/>
        <v>1.2049967524920843E-3</v>
      </c>
      <c r="AZ191" s="62">
        <f ca="1"/>
        <v>4.7427341752429903</v>
      </c>
      <c r="BA191" s="60">
        <f ca="1"/>
        <v>-116.94357021383155</v>
      </c>
      <c r="BB191" s="60">
        <f ca="1"/>
        <v>-333.43614585579746</v>
      </c>
    </row>
    <row r="192" spans="1:54" x14ac:dyDescent="0.3">
      <c r="A192" t="s">
        <v>463</v>
      </c>
      <c r="B192" t="s">
        <v>464</v>
      </c>
      <c r="C192" t="s">
        <v>57</v>
      </c>
      <c r="D192" t="s">
        <v>85</v>
      </c>
      <c r="E192" t="s">
        <v>84</v>
      </c>
      <c r="F192" t="s">
        <v>156</v>
      </c>
      <c r="G192" t="s">
        <v>1410</v>
      </c>
      <c r="H192" t="s">
        <v>1559</v>
      </c>
      <c r="I192" t="s">
        <v>1208</v>
      </c>
      <c r="J192" t="s">
        <v>83</v>
      </c>
      <c r="K192" t="s">
        <v>83</v>
      </c>
      <c r="L192" t="s">
        <v>307</v>
      </c>
      <c r="M192" t="s">
        <v>83</v>
      </c>
      <c r="N192" t="s">
        <v>56</v>
      </c>
      <c r="O192" t="s">
        <v>36</v>
      </c>
      <c r="P192" t="s">
        <v>84</v>
      </c>
      <c r="Q192" t="s">
        <v>84</v>
      </c>
      <c r="V192" t="s">
        <v>49</v>
      </c>
      <c r="W192" t="s">
        <v>84</v>
      </c>
      <c r="X192" t="s">
        <v>1105</v>
      </c>
      <c r="Y192" t="s">
        <v>1208</v>
      </c>
      <c r="Z192" t="s">
        <v>84</v>
      </c>
      <c r="AA192" t="s">
        <v>84</v>
      </c>
      <c r="AB192" t="s">
        <v>36</v>
      </c>
      <c r="AC192" t="s">
        <v>1340</v>
      </c>
      <c r="AD192" t="s">
        <v>36</v>
      </c>
      <c r="AE192" t="s">
        <v>1340</v>
      </c>
      <c r="AF192" t="s">
        <v>86</v>
      </c>
      <c r="AG192" t="s">
        <v>269</v>
      </c>
      <c r="AH192" t="s">
        <v>183</v>
      </c>
      <c r="AI192" s="4">
        <f ca="1">data[[#This Row],[Expiry Date]]-TODAY()</f>
        <v>42</v>
      </c>
      <c r="AJ192" s="4">
        <f ca="1">data[[#This Row],[Maturity ( Days)]]/365</f>
        <v>0.11506849315068493</v>
      </c>
      <c r="AK192" s="4" t="str">
        <f>IF(data[[#This Row],[Option Type]]="put","p","c")</f>
        <v>c</v>
      </c>
      <c r="AL192" s="4">
        <f>(data[[#This Row],[Bid]]*data[[#This Row],[Bidsize]]+data[[#This Row],[Ask]]*data[[#This Row],[Asksize]])/(data[[#This Row],[Bidsize]]+data[[#This Row],[Asksize]])</f>
        <v>86.800000000000011</v>
      </c>
      <c r="AM192" s="4">
        <f>VALUE(data[[#This Row],[Strike]])</f>
        <v>4100</v>
      </c>
      <c r="AN192" s="5">
        <f ca="1">impliedVol(data[[#This Row],[OptType]],Details!$B$4,VALUE(data[[#This Row],[Strike]]),VALUE(data[[#This Row],[Cnt Price]]),Details!$B$6,data[[#This Row],[T]],Details!$B$7)</f>
        <v>0.28375884837891402</v>
      </c>
      <c r="AO192" s="7">
        <f t="array" aca="1" ref="AO192:AS192" ca="1">bsGreeks(data[[#This Row],[OptType]],Details!$B$4,VALUE(data[[#This Row],[Strike]]),Details!$B$6,data[[#This Row],[T]],AN192,Details!$B$7)</f>
        <v>0.35210135844699675</v>
      </c>
      <c r="AP192" s="7">
        <f ca="1"/>
        <v>9.8012716353706726E-4</v>
      </c>
      <c r="AQ192" s="6">
        <f ca="1"/>
        <v>4.9486960738726369</v>
      </c>
      <c r="AR192" s="6">
        <f ca="1"/>
        <v>-170.72849438957815</v>
      </c>
      <c r="AS192" s="6">
        <f ca="1"/>
        <v>149.24343884658984</v>
      </c>
      <c r="AU192" s="60">
        <f ca="1"/>
        <v>85.296661545503639</v>
      </c>
      <c r="AV192" s="61" t="str">
        <f ca="1"/>
        <v>c</v>
      </c>
      <c r="AW192" s="61">
        <f ca="1"/>
        <v>0.28375884837891402</v>
      </c>
      <c r="AX192" s="62">
        <f ca="1"/>
        <v>0.35210135844699675</v>
      </c>
      <c r="AY192" s="62">
        <f ca="1"/>
        <v>9.8012716353706726E-4</v>
      </c>
      <c r="AZ192" s="62">
        <f ca="1"/>
        <v>4.9486960738726369</v>
      </c>
      <c r="BA192" s="60">
        <f ca="1"/>
        <v>-170.72849438957815</v>
      </c>
      <c r="BB192" s="60">
        <f ca="1"/>
        <v>149.24343884658984</v>
      </c>
    </row>
    <row r="193" spans="1:54" x14ac:dyDescent="0.3">
      <c r="A193" t="s">
        <v>647</v>
      </c>
      <c r="B193" t="s">
        <v>648</v>
      </c>
      <c r="C193" t="s">
        <v>29</v>
      </c>
      <c r="D193" t="s">
        <v>85</v>
      </c>
      <c r="E193" t="s">
        <v>84</v>
      </c>
      <c r="F193" t="s">
        <v>156</v>
      </c>
      <c r="G193" t="s">
        <v>869</v>
      </c>
      <c r="H193" t="s">
        <v>900</v>
      </c>
      <c r="I193" t="s">
        <v>994</v>
      </c>
      <c r="J193" t="s">
        <v>100</v>
      </c>
      <c r="K193" t="s">
        <v>100</v>
      </c>
      <c r="L193" t="s">
        <v>307</v>
      </c>
      <c r="M193" t="s">
        <v>827</v>
      </c>
      <c r="N193" t="s">
        <v>56</v>
      </c>
      <c r="O193" t="s">
        <v>36</v>
      </c>
      <c r="P193" t="s">
        <v>84</v>
      </c>
      <c r="Q193" t="s">
        <v>84</v>
      </c>
      <c r="V193" t="s">
        <v>49</v>
      </c>
      <c r="W193" t="s">
        <v>84</v>
      </c>
      <c r="X193" t="s">
        <v>956</v>
      </c>
      <c r="Y193" t="s">
        <v>994</v>
      </c>
      <c r="Z193" t="s">
        <v>84</v>
      </c>
      <c r="AA193" t="s">
        <v>84</v>
      </c>
      <c r="AB193" t="s">
        <v>36</v>
      </c>
      <c r="AC193" t="s">
        <v>1340</v>
      </c>
      <c r="AD193" t="s">
        <v>36</v>
      </c>
      <c r="AE193" t="s">
        <v>1340</v>
      </c>
      <c r="AF193" t="s">
        <v>86</v>
      </c>
      <c r="AG193" t="s">
        <v>269</v>
      </c>
      <c r="AH193" t="s">
        <v>183</v>
      </c>
      <c r="AI193" s="4">
        <f ca="1">data[[#This Row],[Expiry Date]]-TODAY()</f>
        <v>42</v>
      </c>
      <c r="AJ193" s="4">
        <f ca="1">data[[#This Row],[Maturity ( Days)]]/365</f>
        <v>0.11506849315068493</v>
      </c>
      <c r="AK193" s="4" t="str">
        <f>IF(data[[#This Row],[Option Type]]="put","p","c")</f>
        <v>p</v>
      </c>
      <c r="AL193" s="4">
        <f>(data[[#This Row],[Bid]]*data[[#This Row],[Bidsize]]+data[[#This Row],[Ask]]*data[[#This Row],[Asksize]])/(data[[#This Row],[Bidsize]]+data[[#This Row],[Asksize]])</f>
        <v>215.65</v>
      </c>
      <c r="AM193" s="4">
        <f>VALUE(data[[#This Row],[Strike]])</f>
        <v>4100</v>
      </c>
      <c r="AN193" s="5">
        <f ca="1">impliedVol(data[[#This Row],[OptType]],Details!$B$4,VALUE(data[[#This Row],[Strike]]),VALUE(data[[#This Row],[Cnt Price]]),Details!$B$6,data[[#This Row],[T]],Details!$B$7)</f>
        <v>0.21845587923389587</v>
      </c>
      <c r="AO193" s="7">
        <f t="array" aca="1" ref="AO193:AS193" ca="1">bsGreeks(data[[#This Row],[OptType]],Details!$B$4,VALUE(data[[#This Row],[Strike]]),Details!$B$6,data[[#This Row],[T]],AN193,Details!$B$7)</f>
        <v>-0.69798221997001475</v>
      </c>
      <c r="AP193" s="7">
        <f ca="1"/>
        <v>1.19609252339878E-3</v>
      </c>
      <c r="AQ193" s="6">
        <f ca="1"/>
        <v>4.6492987842454632</v>
      </c>
      <c r="AR193" s="6">
        <f ca="1"/>
        <v>-112.7971619286981</v>
      </c>
      <c r="AS193" s="6">
        <f ca="1"/>
        <v>-340.46047943412805</v>
      </c>
      <c r="AU193" s="60">
        <f ca="1"/>
        <v>219.04429162024371</v>
      </c>
      <c r="AV193" s="61" t="str">
        <f ca="1"/>
        <v>p</v>
      </c>
      <c r="AW193" s="61">
        <f ca="1"/>
        <v>0.21845587923389587</v>
      </c>
      <c r="AX193" s="62">
        <f ca="1"/>
        <v>-0.69798221997001475</v>
      </c>
      <c r="AY193" s="62">
        <f ca="1"/>
        <v>1.19609252339878E-3</v>
      </c>
      <c r="AZ193" s="62">
        <f ca="1"/>
        <v>4.6492987842454632</v>
      </c>
      <c r="BA193" s="60">
        <f ca="1"/>
        <v>-112.7971619286981</v>
      </c>
      <c r="BB193" s="60">
        <f ca="1"/>
        <v>-340.46047943412805</v>
      </c>
    </row>
    <row r="194" spans="1:54" x14ac:dyDescent="0.3">
      <c r="A194" t="s">
        <v>465</v>
      </c>
      <c r="B194" t="s">
        <v>466</v>
      </c>
      <c r="C194" t="s">
        <v>57</v>
      </c>
      <c r="D194" t="s">
        <v>85</v>
      </c>
      <c r="E194" t="s">
        <v>84</v>
      </c>
      <c r="F194" t="s">
        <v>198</v>
      </c>
      <c r="G194" t="s">
        <v>1042</v>
      </c>
      <c r="H194" t="s">
        <v>1351</v>
      </c>
      <c r="I194" t="s">
        <v>1209</v>
      </c>
      <c r="J194" t="s">
        <v>83</v>
      </c>
      <c r="K194" t="s">
        <v>83</v>
      </c>
      <c r="L194" t="s">
        <v>307</v>
      </c>
      <c r="M194" t="s">
        <v>94</v>
      </c>
      <c r="N194" t="s">
        <v>56</v>
      </c>
      <c r="O194" t="s">
        <v>36</v>
      </c>
      <c r="P194" t="s">
        <v>84</v>
      </c>
      <c r="Q194" t="s">
        <v>84</v>
      </c>
      <c r="V194" t="s">
        <v>49</v>
      </c>
      <c r="W194" t="s">
        <v>84</v>
      </c>
      <c r="X194" t="s">
        <v>1158</v>
      </c>
      <c r="Y194" t="s">
        <v>1209</v>
      </c>
      <c r="Z194" t="s">
        <v>84</v>
      </c>
      <c r="AA194" t="s">
        <v>84</v>
      </c>
      <c r="AB194" t="s">
        <v>36</v>
      </c>
      <c r="AC194" t="s">
        <v>1340</v>
      </c>
      <c r="AD194" t="s">
        <v>36</v>
      </c>
      <c r="AE194" t="s">
        <v>1340</v>
      </c>
      <c r="AF194" t="s">
        <v>86</v>
      </c>
      <c r="AG194" t="s">
        <v>269</v>
      </c>
      <c r="AH194" t="s">
        <v>183</v>
      </c>
      <c r="AI194" s="4">
        <f ca="1">data[[#This Row],[Expiry Date]]-TODAY()</f>
        <v>42</v>
      </c>
      <c r="AJ194" s="4">
        <f ca="1">data[[#This Row],[Maturity ( Days)]]/365</f>
        <v>0.11506849315068493</v>
      </c>
      <c r="AK194" s="4" t="str">
        <f>IF(data[[#This Row],[Option Type]]="put","p","c")</f>
        <v>c</v>
      </c>
      <c r="AL194" s="4">
        <f>(data[[#This Row],[Bid]]*data[[#This Row],[Bidsize]]+data[[#This Row],[Ask]]*data[[#This Row],[Asksize]])/(data[[#This Row],[Bidsize]]+data[[#This Row],[Asksize]])</f>
        <v>82.699999999999989</v>
      </c>
      <c r="AM194" s="4">
        <f>VALUE(data[[#This Row],[Strike]])</f>
        <v>4110</v>
      </c>
      <c r="AN194" s="5">
        <f ca="1">impliedVol(data[[#This Row],[OptType]],Details!$B$4,VALUE(data[[#This Row],[Strike]]),VALUE(data[[#This Row],[Cnt Price]]),Details!$B$6,data[[#This Row],[T]],Details!$B$7)</f>
        <v>0.28185021493009949</v>
      </c>
      <c r="AO194" s="7">
        <f t="array" aca="1" ref="AO194:AS194" ca="1">bsGreeks(data[[#This Row],[OptType]],Details!$B$4,VALUE(data[[#This Row],[Strike]]),Details!$B$6,data[[#This Row],[T]],AN194,Details!$B$7)</f>
        <v>0.34150710374967352</v>
      </c>
      <c r="AP194" s="7">
        <f ca="1"/>
        <v>9.756689913123103E-4</v>
      </c>
      <c r="AQ194" s="6">
        <f ca="1"/>
        <v>4.8930518362833268</v>
      </c>
      <c r="AR194" s="6">
        <f ca="1"/>
        <v>-167.63403829872266</v>
      </c>
      <c r="AS194" s="6">
        <f ca="1"/>
        <v>144.92419187755922</v>
      </c>
      <c r="AU194" s="60">
        <f ca="1"/>
        <v>81.23992331948125</v>
      </c>
      <c r="AV194" s="61" t="str">
        <f ca="1"/>
        <v>c</v>
      </c>
      <c r="AW194" s="61">
        <f ca="1"/>
        <v>0.28185021493009949</v>
      </c>
      <c r="AX194" s="62">
        <f ca="1"/>
        <v>0.34150710374967352</v>
      </c>
      <c r="AY194" s="62">
        <f ca="1"/>
        <v>9.756689913123103E-4</v>
      </c>
      <c r="AZ194" s="62">
        <f ca="1"/>
        <v>4.8930518362833268</v>
      </c>
      <c r="BA194" s="60">
        <f ca="1"/>
        <v>-167.63403829872266</v>
      </c>
      <c r="BB194" s="60">
        <f ca="1"/>
        <v>144.92419187755922</v>
      </c>
    </row>
    <row r="195" spans="1:54" x14ac:dyDescent="0.3">
      <c r="A195" t="s">
        <v>649</v>
      </c>
      <c r="B195" t="s">
        <v>650</v>
      </c>
      <c r="C195" t="s">
        <v>29</v>
      </c>
      <c r="D195" t="s">
        <v>85</v>
      </c>
      <c r="E195" t="s">
        <v>84</v>
      </c>
      <c r="F195" t="s">
        <v>198</v>
      </c>
      <c r="G195" t="s">
        <v>1330</v>
      </c>
      <c r="H195" t="s">
        <v>1560</v>
      </c>
      <c r="I195" t="s">
        <v>861</v>
      </c>
      <c r="J195" t="s">
        <v>117</v>
      </c>
      <c r="K195" t="s">
        <v>117</v>
      </c>
      <c r="L195" t="s">
        <v>307</v>
      </c>
      <c r="M195" t="s">
        <v>114</v>
      </c>
      <c r="N195" t="s">
        <v>56</v>
      </c>
      <c r="O195" t="s">
        <v>36</v>
      </c>
      <c r="P195" t="s">
        <v>84</v>
      </c>
      <c r="Q195" t="s">
        <v>84</v>
      </c>
      <c r="V195" t="s">
        <v>49</v>
      </c>
      <c r="W195" t="s">
        <v>84</v>
      </c>
      <c r="X195" t="s">
        <v>824</v>
      </c>
      <c r="Y195" t="s">
        <v>861</v>
      </c>
      <c r="Z195" t="s">
        <v>84</v>
      </c>
      <c r="AA195" t="s">
        <v>84</v>
      </c>
      <c r="AB195" t="s">
        <v>36</v>
      </c>
      <c r="AC195" t="s">
        <v>1340</v>
      </c>
      <c r="AD195" t="s">
        <v>36</v>
      </c>
      <c r="AE195" t="s">
        <v>1340</v>
      </c>
      <c r="AF195" t="s">
        <v>86</v>
      </c>
      <c r="AG195" t="s">
        <v>269</v>
      </c>
      <c r="AH195" t="s">
        <v>183</v>
      </c>
      <c r="AI195" s="4">
        <f ca="1">data[[#This Row],[Expiry Date]]-TODAY()</f>
        <v>42</v>
      </c>
      <c r="AJ195" s="4">
        <f ca="1">data[[#This Row],[Maturity ( Days)]]/365</f>
        <v>0.11506849315068493</v>
      </c>
      <c r="AK195" s="4" t="str">
        <f>IF(data[[#This Row],[Option Type]]="put","p","c")</f>
        <v>p</v>
      </c>
      <c r="AL195" s="4">
        <f>(data[[#This Row],[Bid]]*data[[#This Row],[Bidsize]]+data[[#This Row],[Ask]]*data[[#This Row],[Asksize]])/(data[[#This Row],[Bidsize]]+data[[#This Row],[Asksize]])</f>
        <v>221.54999999999998</v>
      </c>
      <c r="AM195" s="4">
        <f>VALUE(data[[#This Row],[Strike]])</f>
        <v>4110</v>
      </c>
      <c r="AN195" s="5">
        <f ca="1">impliedVol(data[[#This Row],[OptType]],Details!$B$4,VALUE(data[[#This Row],[Strike]]),VALUE(data[[#This Row],[Cnt Price]]),Details!$B$6,data[[#This Row],[T]],Details!$B$7)</f>
        <v>0.21558558170904352</v>
      </c>
      <c r="AO195" s="7">
        <f t="array" aca="1" ref="AO195:AS195" ca="1">bsGreeks(data[[#This Row],[OptType]],Details!$B$4,VALUE(data[[#This Row],[Strike]]),Details!$B$6,data[[#This Row],[T]],AN195,Details!$B$7)</f>
        <v>-0.71219271457927602</v>
      </c>
      <c r="AP195" s="7">
        <f ca="1"/>
        <v>1.1853915050980333E-3</v>
      </c>
      <c r="AQ195" s="6">
        <f ca="1"/>
        <v>4.5471624139992386</v>
      </c>
      <c r="AR195" s="6">
        <f ca="1"/>
        <v>-108.41779326198939</v>
      </c>
      <c r="AS195" s="6">
        <f ca="1"/>
        <v>-347.56578483274643</v>
      </c>
      <c r="AU195" s="60">
        <f ca="1"/>
        <v>225.01549230854289</v>
      </c>
      <c r="AV195" s="61" t="str">
        <f ca="1"/>
        <v>p</v>
      </c>
      <c r="AW195" s="61">
        <f ca="1"/>
        <v>0.21558558170904352</v>
      </c>
      <c r="AX195" s="62">
        <f ca="1"/>
        <v>-0.71219271457927602</v>
      </c>
      <c r="AY195" s="62">
        <f ca="1"/>
        <v>1.1853915050980333E-3</v>
      </c>
      <c r="AZ195" s="62">
        <f ca="1"/>
        <v>4.5471624139992386</v>
      </c>
      <c r="BA195" s="60">
        <f ca="1"/>
        <v>-108.41779326198939</v>
      </c>
      <c r="BB195" s="60">
        <f ca="1"/>
        <v>-347.56578483274643</v>
      </c>
    </row>
    <row r="196" spans="1:54" x14ac:dyDescent="0.3">
      <c r="A196" t="s">
        <v>651</v>
      </c>
      <c r="B196" t="s">
        <v>652</v>
      </c>
      <c r="C196" t="s">
        <v>29</v>
      </c>
      <c r="D196" t="s">
        <v>109</v>
      </c>
      <c r="E196" t="s">
        <v>84</v>
      </c>
      <c r="F196" t="s">
        <v>189</v>
      </c>
      <c r="G196" t="s">
        <v>755</v>
      </c>
      <c r="H196" t="s">
        <v>1421</v>
      </c>
      <c r="I196" t="s">
        <v>1305</v>
      </c>
      <c r="J196" t="s">
        <v>117</v>
      </c>
      <c r="K196" t="s">
        <v>117</v>
      </c>
      <c r="L196" t="s">
        <v>307</v>
      </c>
      <c r="M196" t="s">
        <v>99</v>
      </c>
      <c r="N196" t="s">
        <v>56</v>
      </c>
      <c r="O196" t="s">
        <v>36</v>
      </c>
      <c r="P196" t="s">
        <v>84</v>
      </c>
      <c r="Q196" t="s">
        <v>84</v>
      </c>
      <c r="V196" t="s">
        <v>49</v>
      </c>
      <c r="W196" t="s">
        <v>84</v>
      </c>
      <c r="X196" t="s">
        <v>1105</v>
      </c>
      <c r="Y196" t="s">
        <v>1305</v>
      </c>
      <c r="Z196" t="s">
        <v>84</v>
      </c>
      <c r="AA196" t="s">
        <v>84</v>
      </c>
      <c r="AB196" t="s">
        <v>36</v>
      </c>
      <c r="AC196" t="s">
        <v>1340</v>
      </c>
      <c r="AD196" t="s">
        <v>36</v>
      </c>
      <c r="AE196" t="s">
        <v>1340</v>
      </c>
      <c r="AF196" t="s">
        <v>86</v>
      </c>
      <c r="AG196" t="s">
        <v>269</v>
      </c>
      <c r="AH196" t="s">
        <v>183</v>
      </c>
      <c r="AI196" s="4">
        <f ca="1">data[[#This Row],[Expiry Date]]-TODAY()</f>
        <v>42</v>
      </c>
      <c r="AJ196" s="4">
        <f ca="1">data[[#This Row],[Maturity ( Days)]]/365</f>
        <v>0.11506849315068493</v>
      </c>
      <c r="AK196" s="4" t="str">
        <f>IF(data[[#This Row],[Option Type]]="put","p","c")</f>
        <v>p</v>
      </c>
      <c r="AL196" s="4">
        <f>(data[[#This Row],[Bid]]*data[[#This Row],[Bidsize]]+data[[#This Row],[Ask]]*data[[#This Row],[Asksize]])/(data[[#This Row],[Bidsize]]+data[[#This Row],[Asksize]])</f>
        <v>227.54999999999998</v>
      </c>
      <c r="AM196" s="4">
        <f>VALUE(data[[#This Row],[Strike]])</f>
        <v>4120</v>
      </c>
      <c r="AN196" s="5">
        <f ca="1">impliedVol(data[[#This Row],[OptType]],Details!$B$4,VALUE(data[[#This Row],[Strike]]),VALUE(data[[#This Row],[Cnt Price]]),Details!$B$6,data[[#This Row],[T]],Details!$B$7)</f>
        <v>0.21257464434672355</v>
      </c>
      <c r="AO196" s="7">
        <f t="array" aca="1" ref="AO196:AS196" ca="1">bsGreeks(data[[#This Row],[OptType]],Details!$B$4,VALUE(data[[#This Row],[Strike]]),Details!$B$6,data[[#This Row],[T]],AN196,Details!$B$7)</f>
        <v>-0.72656615647571832</v>
      </c>
      <c r="AP196" s="7">
        <f ca="1"/>
        <v>1.172745592634239E-3</v>
      </c>
      <c r="AQ196" s="6">
        <f ca="1"/>
        <v>4.4358230614438874</v>
      </c>
      <c r="AR196" s="6">
        <f ca="1"/>
        <v>-103.79887647475088</v>
      </c>
      <c r="AS196" s="6">
        <f ca="1"/>
        <v>-354.75628874956459</v>
      </c>
      <c r="AU196" s="60">
        <f ca="1"/>
        <v>231.08756529187121</v>
      </c>
      <c r="AV196" s="61" t="str">
        <f ca="1"/>
        <v>p</v>
      </c>
      <c r="AW196" s="61">
        <f ca="1"/>
        <v>0.21257464434672355</v>
      </c>
      <c r="AX196" s="62">
        <f ca="1"/>
        <v>-0.72656615647571832</v>
      </c>
      <c r="AY196" s="62">
        <f ca="1"/>
        <v>1.172745592634239E-3</v>
      </c>
      <c r="AZ196" s="62">
        <f ca="1"/>
        <v>4.4358230614438874</v>
      </c>
      <c r="BA196" s="60">
        <f ca="1"/>
        <v>-103.79887647475088</v>
      </c>
      <c r="BB196" s="60">
        <f ca="1"/>
        <v>-354.75628874956459</v>
      </c>
    </row>
    <row r="197" spans="1:54" x14ac:dyDescent="0.3">
      <c r="A197" t="s">
        <v>653</v>
      </c>
      <c r="B197" t="s">
        <v>654</v>
      </c>
      <c r="C197" t="s">
        <v>57</v>
      </c>
      <c r="D197" t="s">
        <v>109</v>
      </c>
      <c r="E197" t="s">
        <v>84</v>
      </c>
      <c r="F197" t="s">
        <v>189</v>
      </c>
      <c r="G197" t="s">
        <v>1074</v>
      </c>
      <c r="H197" t="s">
        <v>1075</v>
      </c>
      <c r="I197" t="s">
        <v>1210</v>
      </c>
      <c r="J197" t="s">
        <v>113</v>
      </c>
      <c r="K197" t="s">
        <v>113</v>
      </c>
      <c r="L197" t="s">
        <v>307</v>
      </c>
      <c r="M197" t="s">
        <v>83</v>
      </c>
      <c r="N197" t="s">
        <v>56</v>
      </c>
      <c r="O197" t="s">
        <v>36</v>
      </c>
      <c r="P197" t="s">
        <v>84</v>
      </c>
      <c r="Q197" t="s">
        <v>84</v>
      </c>
      <c r="V197" t="s">
        <v>49</v>
      </c>
      <c r="W197" t="s">
        <v>84</v>
      </c>
      <c r="X197" t="s">
        <v>1105</v>
      </c>
      <c r="Y197" t="s">
        <v>1210</v>
      </c>
      <c r="Z197" t="s">
        <v>84</v>
      </c>
      <c r="AA197" t="s">
        <v>84</v>
      </c>
      <c r="AB197" t="s">
        <v>36</v>
      </c>
      <c r="AC197" t="s">
        <v>1340</v>
      </c>
      <c r="AD197" t="s">
        <v>36</v>
      </c>
      <c r="AE197" t="s">
        <v>1340</v>
      </c>
      <c r="AF197" t="s">
        <v>86</v>
      </c>
      <c r="AG197" t="s">
        <v>269</v>
      </c>
      <c r="AH197" t="s">
        <v>183</v>
      </c>
      <c r="AI197" s="4">
        <f ca="1">data[[#This Row],[Expiry Date]]-TODAY()</f>
        <v>42</v>
      </c>
      <c r="AJ197" s="4">
        <f ca="1">data[[#This Row],[Maturity ( Days)]]/365</f>
        <v>0.11506849315068493</v>
      </c>
      <c r="AK197" s="4" t="str">
        <f>IF(data[[#This Row],[Option Type]]="put","p","c")</f>
        <v>c</v>
      </c>
      <c r="AL197" s="4">
        <f>(data[[#This Row],[Bid]]*data[[#This Row],[Bidsize]]+data[[#This Row],[Ask]]*data[[#This Row],[Asksize]])/(data[[#This Row],[Bidsize]]+data[[#This Row],[Asksize]])</f>
        <v>78.75</v>
      </c>
      <c r="AM197" s="4">
        <f>VALUE(data[[#This Row],[Strike]])</f>
        <v>4120</v>
      </c>
      <c r="AN197" s="5">
        <f ca="1">impliedVol(data[[#This Row],[OptType]],Details!$B$4,VALUE(data[[#This Row],[Strike]]),VALUE(data[[#This Row],[Cnt Price]]),Details!$B$6,data[[#This Row],[T]],Details!$B$7)</f>
        <v>0.28002409177310744</v>
      </c>
      <c r="AO197" s="7">
        <f t="array" aca="1" ref="AO197:AS197" ca="1">bsGreeks(data[[#This Row],[OptType]],Details!$B$4,VALUE(data[[#This Row],[Strike]]),Details!$B$6,data[[#This Row],[T]],AN197,Details!$B$7)</f>
        <v>0.33097545830320707</v>
      </c>
      <c r="AP197" s="7">
        <f ca="1"/>
        <v>9.7011884366901471E-4</v>
      </c>
      <c r="AQ197" s="6">
        <f ca="1"/>
        <v>4.8336954238510659</v>
      </c>
      <c r="AR197" s="6">
        <f ca="1"/>
        <v>-164.48889880292458</v>
      </c>
      <c r="AS197" s="6">
        <f ca="1"/>
        <v>140.61599702648471</v>
      </c>
      <c r="AU197" s="60">
        <f ca="1"/>
        <v>77.333085705322674</v>
      </c>
      <c r="AV197" s="61" t="str">
        <f ca="1"/>
        <v>c</v>
      </c>
      <c r="AW197" s="61">
        <f ca="1"/>
        <v>0.28002409177310744</v>
      </c>
      <c r="AX197" s="62">
        <f ca="1"/>
        <v>0.33097545830320707</v>
      </c>
      <c r="AY197" s="62">
        <f ca="1"/>
        <v>9.7011884366901471E-4</v>
      </c>
      <c r="AZ197" s="62">
        <f ca="1"/>
        <v>4.8336954238510659</v>
      </c>
      <c r="BA197" s="60">
        <f ca="1"/>
        <v>-164.48889880292458</v>
      </c>
      <c r="BB197" s="60">
        <f ca="1"/>
        <v>140.61599702648471</v>
      </c>
    </row>
    <row r="198" spans="1:54" x14ac:dyDescent="0.3">
      <c r="A198" t="s">
        <v>655</v>
      </c>
      <c r="B198" t="s">
        <v>656</v>
      </c>
      <c r="C198" t="s">
        <v>29</v>
      </c>
      <c r="D198" t="s">
        <v>85</v>
      </c>
      <c r="E198" t="s">
        <v>84</v>
      </c>
      <c r="F198" t="s">
        <v>118</v>
      </c>
      <c r="G198" t="s">
        <v>1131</v>
      </c>
      <c r="H198" t="s">
        <v>1067</v>
      </c>
      <c r="I198" t="s">
        <v>1211</v>
      </c>
      <c r="J198" t="s">
        <v>117</v>
      </c>
      <c r="K198" t="s">
        <v>117</v>
      </c>
      <c r="L198" t="s">
        <v>307</v>
      </c>
      <c r="M198" t="s">
        <v>99</v>
      </c>
      <c r="N198" t="s">
        <v>56</v>
      </c>
      <c r="O198" t="s">
        <v>36</v>
      </c>
      <c r="P198" t="s">
        <v>84</v>
      </c>
      <c r="Q198" t="s">
        <v>84</v>
      </c>
      <c r="V198" t="s">
        <v>49</v>
      </c>
      <c r="W198" t="s">
        <v>84</v>
      </c>
      <c r="X198" t="s">
        <v>1156</v>
      </c>
      <c r="Y198" t="s">
        <v>1211</v>
      </c>
      <c r="Z198" t="s">
        <v>84</v>
      </c>
      <c r="AA198" t="s">
        <v>84</v>
      </c>
      <c r="AB198" t="s">
        <v>36</v>
      </c>
      <c r="AC198" t="s">
        <v>1340</v>
      </c>
      <c r="AD198" t="s">
        <v>36</v>
      </c>
      <c r="AE198" t="s">
        <v>1340</v>
      </c>
      <c r="AF198" t="s">
        <v>86</v>
      </c>
      <c r="AG198" t="s">
        <v>269</v>
      </c>
      <c r="AH198" t="s">
        <v>183</v>
      </c>
      <c r="AI198" s="4">
        <f ca="1">data[[#This Row],[Expiry Date]]-TODAY()</f>
        <v>42</v>
      </c>
      <c r="AJ198" s="4">
        <f ca="1">data[[#This Row],[Maturity ( Days)]]/365</f>
        <v>0.11506849315068493</v>
      </c>
      <c r="AK198" s="4" t="str">
        <f>IF(data[[#This Row],[Option Type]]="put","p","c")</f>
        <v>p</v>
      </c>
      <c r="AL198" s="4">
        <f>(data[[#This Row],[Bid]]*data[[#This Row],[Bidsize]]+data[[#This Row],[Ask]]*data[[#This Row],[Asksize]])/(data[[#This Row],[Bidsize]]+data[[#This Row],[Asksize]])</f>
        <v>230.59999999999997</v>
      </c>
      <c r="AM198" s="4">
        <f>VALUE(data[[#This Row],[Strike]])</f>
        <v>4125</v>
      </c>
      <c r="AN198" s="5">
        <f ca="1">impliedVol(data[[#This Row],[OptType]],Details!$B$4,VALUE(data[[#This Row],[Strike]]),VALUE(data[[#This Row],[Cnt Price]]),Details!$B$6,data[[#This Row],[T]],Details!$B$7)</f>
        <v>0.21103972496600337</v>
      </c>
      <c r="AO198" s="7">
        <f t="array" aca="1" ref="AO198:AS198" ca="1">bsGreeks(data[[#This Row],[OptType]],Details!$B$4,VALUE(data[[#This Row],[Strike]]),Details!$B$6,data[[#This Row],[T]],AN198,Details!$B$7)</f>
        <v>-0.73378696343527905</v>
      </c>
      <c r="AP198" s="7">
        <f ca="1"/>
        <v>1.1655513384705399E-3</v>
      </c>
      <c r="AQ198" s="6">
        <f ca="1"/>
        <v>4.3767784504619023</v>
      </c>
      <c r="AR198" s="6">
        <f ca="1"/>
        <v>-101.41869716357782</v>
      </c>
      <c r="AS198" s="6">
        <f ca="1"/>
        <v>-358.37270981838441</v>
      </c>
      <c r="AU198" s="60">
        <f ca="1"/>
        <v>234.17382249503316</v>
      </c>
      <c r="AV198" s="61" t="str">
        <f ca="1"/>
        <v>p</v>
      </c>
      <c r="AW198" s="61">
        <f ca="1"/>
        <v>0.21103972496600337</v>
      </c>
      <c r="AX198" s="62">
        <f ca="1"/>
        <v>-0.73378696343527905</v>
      </c>
      <c r="AY198" s="62">
        <f ca="1"/>
        <v>1.1655513384705399E-3</v>
      </c>
      <c r="AZ198" s="62">
        <f ca="1"/>
        <v>4.3767784504619023</v>
      </c>
      <c r="BA198" s="60">
        <f ca="1"/>
        <v>-101.41869716357782</v>
      </c>
      <c r="BB198" s="60">
        <f ca="1"/>
        <v>-358.37270981838441</v>
      </c>
    </row>
    <row r="199" spans="1:54" x14ac:dyDescent="0.3">
      <c r="A199" t="s">
        <v>657</v>
      </c>
      <c r="B199" t="s">
        <v>658</v>
      </c>
      <c r="C199" t="s">
        <v>57</v>
      </c>
      <c r="D199" t="s">
        <v>94</v>
      </c>
      <c r="E199" t="s">
        <v>84</v>
      </c>
      <c r="F199" t="s">
        <v>118</v>
      </c>
      <c r="G199" t="s">
        <v>1185</v>
      </c>
      <c r="H199" t="s">
        <v>1280</v>
      </c>
      <c r="I199" t="s">
        <v>1306</v>
      </c>
      <c r="J199" t="s">
        <v>113</v>
      </c>
      <c r="K199" t="s">
        <v>111</v>
      </c>
      <c r="L199" t="s">
        <v>307</v>
      </c>
      <c r="M199" t="s">
        <v>237</v>
      </c>
      <c r="N199" t="s">
        <v>56</v>
      </c>
      <c r="O199" t="s">
        <v>36</v>
      </c>
      <c r="P199" t="s">
        <v>84</v>
      </c>
      <c r="Q199" t="s">
        <v>84</v>
      </c>
      <c r="V199" t="s">
        <v>49</v>
      </c>
      <c r="W199" t="s">
        <v>84</v>
      </c>
      <c r="X199" t="s">
        <v>1105</v>
      </c>
      <c r="Y199" t="s">
        <v>1306</v>
      </c>
      <c r="Z199" t="s">
        <v>84</v>
      </c>
      <c r="AA199" t="s">
        <v>84</v>
      </c>
      <c r="AB199" t="s">
        <v>36</v>
      </c>
      <c r="AC199" t="s">
        <v>1340</v>
      </c>
      <c r="AD199" t="s">
        <v>36</v>
      </c>
      <c r="AE199" t="s">
        <v>1340</v>
      </c>
      <c r="AF199" t="s">
        <v>86</v>
      </c>
      <c r="AG199" t="s">
        <v>269</v>
      </c>
      <c r="AH199" t="s">
        <v>183</v>
      </c>
      <c r="AI199" s="4">
        <f ca="1">data[[#This Row],[Expiry Date]]-TODAY()</f>
        <v>42</v>
      </c>
      <c r="AJ199" s="4">
        <f ca="1">data[[#This Row],[Maturity ( Days)]]/365</f>
        <v>0.11506849315068493</v>
      </c>
      <c r="AK199" s="4" t="str">
        <f>IF(data[[#This Row],[Option Type]]="put","p","c")</f>
        <v>c</v>
      </c>
      <c r="AL199" s="4">
        <f>(data[[#This Row],[Bid]]*data[[#This Row],[Bidsize]]+data[[#This Row],[Ask]]*data[[#This Row],[Asksize]])/(data[[#This Row],[Bidsize]]+data[[#This Row],[Asksize]])</f>
        <v>76.842857142857142</v>
      </c>
      <c r="AM199" s="4">
        <f>VALUE(data[[#This Row],[Strike]])</f>
        <v>4125</v>
      </c>
      <c r="AN199" s="5">
        <f ca="1">impliedVol(data[[#This Row],[OptType]],Details!$B$4,VALUE(data[[#This Row],[Strike]]),VALUE(data[[#This Row],[Cnt Price]]),Details!$B$6,data[[#This Row],[T]],Details!$B$7)</f>
        <v>0.2791666526012298</v>
      </c>
      <c r="AO199" s="7">
        <f t="array" aca="1" ref="AO199:AS199" ca="1">bsGreeks(data[[#This Row],[OptType]],Details!$B$4,VALUE(data[[#This Row],[Strike]]),Details!$B$6,data[[#This Row],[T]],AN199,Details!$B$7)</f>
        <v>0.32575588102202013</v>
      </c>
      <c r="AP199" s="7">
        <f ca="1"/>
        <v>9.6687261899994724E-4</v>
      </c>
      <c r="AQ199" s="6">
        <f ca="1"/>
        <v>4.802769505692555</v>
      </c>
      <c r="AR199" s="6">
        <f ca="1"/>
        <v>-162.91666351750956</v>
      </c>
      <c r="AS199" s="6">
        <f ca="1"/>
        <v>138.4750043263895</v>
      </c>
      <c r="AU199" s="60">
        <f ca="1"/>
        <v>75.447397758003717</v>
      </c>
      <c r="AV199" s="61" t="str">
        <f ca="1"/>
        <v>c</v>
      </c>
      <c r="AW199" s="61">
        <f ca="1"/>
        <v>0.2791666526012298</v>
      </c>
      <c r="AX199" s="62">
        <f ca="1"/>
        <v>0.32575588102202013</v>
      </c>
      <c r="AY199" s="62">
        <f ca="1"/>
        <v>9.6687261899994724E-4</v>
      </c>
      <c r="AZ199" s="62">
        <f ca="1"/>
        <v>4.802769505692555</v>
      </c>
      <c r="BA199" s="60">
        <f ca="1"/>
        <v>-162.91666351750956</v>
      </c>
      <c r="BB199" s="60">
        <f ca="1"/>
        <v>138.4750043263895</v>
      </c>
    </row>
    <row r="200" spans="1:54" x14ac:dyDescent="0.3">
      <c r="A200" t="s">
        <v>467</v>
      </c>
      <c r="B200" t="s">
        <v>468</v>
      </c>
      <c r="C200" t="s">
        <v>57</v>
      </c>
      <c r="D200" t="s">
        <v>182</v>
      </c>
      <c r="E200" t="s">
        <v>84</v>
      </c>
      <c r="F200" t="s">
        <v>216</v>
      </c>
      <c r="G200" t="s">
        <v>1385</v>
      </c>
      <c r="H200" t="s">
        <v>1381</v>
      </c>
      <c r="I200" t="s">
        <v>91</v>
      </c>
      <c r="J200" t="s">
        <v>113</v>
      </c>
      <c r="K200" t="s">
        <v>113</v>
      </c>
      <c r="L200" t="s">
        <v>307</v>
      </c>
      <c r="M200" t="s">
        <v>109</v>
      </c>
      <c r="N200" t="s">
        <v>56</v>
      </c>
      <c r="O200" t="s">
        <v>36</v>
      </c>
      <c r="P200" t="s">
        <v>84</v>
      </c>
      <c r="Q200" t="s">
        <v>84</v>
      </c>
      <c r="V200" t="s">
        <v>49</v>
      </c>
      <c r="W200" t="s">
        <v>84</v>
      </c>
      <c r="X200" t="s">
        <v>1105</v>
      </c>
      <c r="Y200" t="s">
        <v>91</v>
      </c>
      <c r="Z200" t="s">
        <v>84</v>
      </c>
      <c r="AA200" t="s">
        <v>84</v>
      </c>
      <c r="AB200" t="s">
        <v>36</v>
      </c>
      <c r="AC200" t="s">
        <v>1340</v>
      </c>
      <c r="AD200" t="s">
        <v>36</v>
      </c>
      <c r="AE200" t="s">
        <v>1340</v>
      </c>
      <c r="AF200" t="s">
        <v>86</v>
      </c>
      <c r="AG200" t="s">
        <v>269</v>
      </c>
      <c r="AH200" t="s">
        <v>183</v>
      </c>
      <c r="AI200" s="4">
        <f ca="1">data[[#This Row],[Expiry Date]]-TODAY()</f>
        <v>42</v>
      </c>
      <c r="AJ200" s="4">
        <f ca="1">data[[#This Row],[Maturity ( Days)]]/365</f>
        <v>0.11506849315068493</v>
      </c>
      <c r="AK200" s="4" t="str">
        <f>IF(data[[#This Row],[Option Type]]="put","p","c")</f>
        <v>c</v>
      </c>
      <c r="AL200" s="4">
        <f>(data[[#This Row],[Bid]]*data[[#This Row],[Bidsize]]+data[[#This Row],[Ask]]*data[[#This Row],[Asksize]])/(data[[#This Row],[Bidsize]]+data[[#This Row],[Asksize]])</f>
        <v>74.849999999999994</v>
      </c>
      <c r="AM200" s="4">
        <f>VALUE(data[[#This Row],[Strike]])</f>
        <v>4130</v>
      </c>
      <c r="AN200" s="5">
        <f ca="1">impliedVol(data[[#This Row],[OptType]],Details!$B$4,VALUE(data[[#This Row],[Strike]]),VALUE(data[[#This Row],[Cnt Price]]),Details!$B$6,data[[#This Row],[T]],Details!$B$7)</f>
        <v>0.27807416661115375</v>
      </c>
      <c r="AO200" s="7">
        <f t="array" aca="1" ref="AO200:AS200" ca="1">bsGreeks(data[[#This Row],[OptType]],Details!$B$4,VALUE(data[[#This Row],[Strike]]),Details!$B$6,data[[#This Row],[T]],AN200,Details!$B$7)</f>
        <v>0.32037474171534613</v>
      </c>
      <c r="AP200" s="7">
        <f ca="1"/>
        <v>9.640140913931911E-4</v>
      </c>
      <c r="AQ200" s="6">
        <f ca="1"/>
        <v>4.7698307643090514</v>
      </c>
      <c r="AR200" s="6">
        <f ca="1"/>
        <v>-161.14907810703917</v>
      </c>
      <c r="AS200" s="6">
        <f ca="1"/>
        <v>136.27081216701438</v>
      </c>
      <c r="AU200" s="60">
        <f ca="1"/>
        <v>73.476623880026864</v>
      </c>
      <c r="AV200" s="61" t="str">
        <f ca="1"/>
        <v>c</v>
      </c>
      <c r="AW200" s="61">
        <f ca="1"/>
        <v>0.27807416661115375</v>
      </c>
      <c r="AX200" s="62">
        <f ca="1"/>
        <v>0.32037474171534613</v>
      </c>
      <c r="AY200" s="62">
        <f ca="1"/>
        <v>9.640140913931911E-4</v>
      </c>
      <c r="AZ200" s="62">
        <f ca="1"/>
        <v>4.7698307643090514</v>
      </c>
      <c r="BA200" s="60">
        <f ca="1"/>
        <v>-161.14907810703917</v>
      </c>
      <c r="BB200" s="60">
        <f ca="1"/>
        <v>136.27081216701438</v>
      </c>
    </row>
    <row r="201" spans="1:54" x14ac:dyDescent="0.3">
      <c r="A201" t="s">
        <v>659</v>
      </c>
      <c r="B201" t="s">
        <v>660</v>
      </c>
      <c r="C201" t="s">
        <v>29</v>
      </c>
      <c r="D201" t="s">
        <v>94</v>
      </c>
      <c r="E201" t="s">
        <v>84</v>
      </c>
      <c r="F201" t="s">
        <v>216</v>
      </c>
      <c r="G201" t="s">
        <v>1561</v>
      </c>
      <c r="H201" t="s">
        <v>1130</v>
      </c>
      <c r="I201" t="s">
        <v>1212</v>
      </c>
      <c r="J201" t="s">
        <v>98</v>
      </c>
      <c r="K201" t="s">
        <v>98</v>
      </c>
      <c r="L201" t="s">
        <v>307</v>
      </c>
      <c r="M201" t="s">
        <v>113</v>
      </c>
      <c r="N201" t="s">
        <v>56</v>
      </c>
      <c r="O201" t="s">
        <v>36</v>
      </c>
      <c r="P201" t="s">
        <v>84</v>
      </c>
      <c r="Q201" t="s">
        <v>84</v>
      </c>
      <c r="V201" t="s">
        <v>49</v>
      </c>
      <c r="W201" t="s">
        <v>84</v>
      </c>
      <c r="X201" t="s">
        <v>1158</v>
      </c>
      <c r="Y201" t="s">
        <v>1212</v>
      </c>
      <c r="Z201" t="s">
        <v>84</v>
      </c>
      <c r="AA201" t="s">
        <v>84</v>
      </c>
      <c r="AB201" t="s">
        <v>36</v>
      </c>
      <c r="AC201" t="s">
        <v>1340</v>
      </c>
      <c r="AD201" t="s">
        <v>36</v>
      </c>
      <c r="AE201" t="s">
        <v>1340</v>
      </c>
      <c r="AF201" t="s">
        <v>86</v>
      </c>
      <c r="AG201" t="s">
        <v>269</v>
      </c>
      <c r="AH201" t="s">
        <v>183</v>
      </c>
      <c r="AI201" s="4">
        <f ca="1">data[[#This Row],[Expiry Date]]-TODAY()</f>
        <v>42</v>
      </c>
      <c r="AJ201" s="4">
        <f ca="1">data[[#This Row],[Maturity ( Days)]]/365</f>
        <v>0.11506849315068493</v>
      </c>
      <c r="AK201" s="4" t="str">
        <f>IF(data[[#This Row],[Option Type]]="put","p","c")</f>
        <v>p</v>
      </c>
      <c r="AL201" s="4">
        <f>(data[[#This Row],[Bid]]*data[[#This Row],[Bidsize]]+data[[#This Row],[Ask]]*data[[#This Row],[Asksize]])/(data[[#This Row],[Bidsize]]+data[[#This Row],[Asksize]])</f>
        <v>233.35</v>
      </c>
      <c r="AM201" s="4">
        <f>VALUE(data[[#This Row],[Strike]])</f>
        <v>4130</v>
      </c>
      <c r="AN201" s="5">
        <f ca="1">impliedVol(data[[#This Row],[OptType]],Details!$B$4,VALUE(data[[#This Row],[Strike]]),VALUE(data[[#This Row],[Cnt Price]]),Details!$B$6,data[[#This Row],[T]],Details!$B$7)</f>
        <v>0.20871809382035578</v>
      </c>
      <c r="AO201" s="7">
        <f t="array" aca="1" ref="AO201:AS201" ca="1">bsGreeks(data[[#This Row],[OptType]],Details!$B$4,VALUE(data[[#This Row],[Strike]]),Details!$B$6,data[[#This Row],[T]],AN201,Details!$B$7)</f>
        <v>-0.74188023086001786</v>
      </c>
      <c r="AP201" s="7">
        <f ca="1"/>
        <v>1.1600184161162563E-3</v>
      </c>
      <c r="AQ201" s="6">
        <f ca="1"/>
        <v>4.3080816683729362</v>
      </c>
      <c r="AR201" s="6">
        <f ca="1"/>
        <v>-98.407300471563616</v>
      </c>
      <c r="AS201" s="6">
        <f ca="1"/>
        <v>-362.34915972146109</v>
      </c>
      <c r="AU201" s="60">
        <f ca="1"/>
        <v>236.96366464573657</v>
      </c>
      <c r="AV201" s="61" t="str">
        <f ca="1"/>
        <v>p</v>
      </c>
      <c r="AW201" s="61">
        <f ca="1"/>
        <v>0.20871809382035578</v>
      </c>
      <c r="AX201" s="62">
        <f ca="1"/>
        <v>-0.74188023086001786</v>
      </c>
      <c r="AY201" s="62">
        <f ca="1"/>
        <v>1.1600184161162563E-3</v>
      </c>
      <c r="AZ201" s="62">
        <f ca="1"/>
        <v>4.3080816683729362</v>
      </c>
      <c r="BA201" s="60">
        <f ca="1"/>
        <v>-98.407300471563616</v>
      </c>
      <c r="BB201" s="60">
        <f ca="1"/>
        <v>-362.34915972146109</v>
      </c>
    </row>
    <row r="202" spans="1:54" x14ac:dyDescent="0.3">
      <c r="A202" t="s">
        <v>661</v>
      </c>
      <c r="B202" t="s">
        <v>662</v>
      </c>
      <c r="C202" t="s">
        <v>57</v>
      </c>
      <c r="D202" t="s">
        <v>85</v>
      </c>
      <c r="E202" t="s">
        <v>84</v>
      </c>
      <c r="F202" t="s">
        <v>210</v>
      </c>
      <c r="G202" t="s">
        <v>1328</v>
      </c>
      <c r="H202" t="s">
        <v>1562</v>
      </c>
      <c r="I202" t="s">
        <v>1039</v>
      </c>
      <c r="J202" t="s">
        <v>110</v>
      </c>
      <c r="K202" t="s">
        <v>107</v>
      </c>
      <c r="L202" t="s">
        <v>307</v>
      </c>
      <c r="M202" t="s">
        <v>105</v>
      </c>
      <c r="N202" t="s">
        <v>56</v>
      </c>
      <c r="O202" t="s">
        <v>36</v>
      </c>
      <c r="P202" t="s">
        <v>84</v>
      </c>
      <c r="Q202" t="s">
        <v>84</v>
      </c>
      <c r="V202" t="s">
        <v>49</v>
      </c>
      <c r="W202" t="s">
        <v>84</v>
      </c>
      <c r="X202" t="s">
        <v>1105</v>
      </c>
      <c r="Y202" t="s">
        <v>1039</v>
      </c>
      <c r="Z202" t="s">
        <v>84</v>
      </c>
      <c r="AA202" t="s">
        <v>84</v>
      </c>
      <c r="AB202" t="s">
        <v>36</v>
      </c>
      <c r="AC202" t="s">
        <v>1340</v>
      </c>
      <c r="AD202" t="s">
        <v>36</v>
      </c>
      <c r="AE202" t="s">
        <v>1340</v>
      </c>
      <c r="AF202" t="s">
        <v>86</v>
      </c>
      <c r="AG202" t="s">
        <v>269</v>
      </c>
      <c r="AH202" t="s">
        <v>183</v>
      </c>
      <c r="AI202" s="4">
        <f ca="1">data[[#This Row],[Expiry Date]]-TODAY()</f>
        <v>42</v>
      </c>
      <c r="AJ202" s="4">
        <f ca="1">data[[#This Row],[Maturity ( Days)]]/365</f>
        <v>0.11506849315068493</v>
      </c>
      <c r="AK202" s="4" t="str">
        <f>IF(data[[#This Row],[Option Type]]="put","p","c")</f>
        <v>c</v>
      </c>
      <c r="AL202" s="4">
        <f>(data[[#This Row],[Bid]]*data[[#This Row],[Bidsize]]+data[[#This Row],[Ask]]*data[[#This Row],[Asksize]])/(data[[#This Row],[Bidsize]]+data[[#This Row],[Asksize]])</f>
        <v>71.186666666666667</v>
      </c>
      <c r="AM202" s="4">
        <f>VALUE(data[[#This Row],[Strike]])</f>
        <v>4140</v>
      </c>
      <c r="AN202" s="5">
        <f ca="1">impliedVol(data[[#This Row],[OptType]],Details!$B$4,VALUE(data[[#This Row],[Strike]]),VALUE(data[[#This Row],[Cnt Price]]),Details!$B$6,data[[#This Row],[T]],Details!$B$7)</f>
        <v>0.27638915521843022</v>
      </c>
      <c r="AO202" s="7">
        <f t="array" aca="1" ref="AO202:AS202" ca="1">bsGreeks(data[[#This Row],[OptType]],Details!$B$4,VALUE(data[[#This Row],[Strike]]),Details!$B$6,data[[#This Row],[T]],AN202,Details!$B$7)</f>
        <v>0.30999524332404282</v>
      </c>
      <c r="AP202" s="7">
        <f ca="1"/>
        <v>9.5635109630459042E-4</v>
      </c>
      <c r="AQ202" s="6">
        <f ca="1"/>
        <v>4.7032417497917178</v>
      </c>
      <c r="AR202" s="6">
        <f ca="1"/>
        <v>-157.89941618634612</v>
      </c>
      <c r="AS202" s="6">
        <f ca="1"/>
        <v>131.99843373144284</v>
      </c>
      <c r="AU202" s="60">
        <f ca="1"/>
        <v>69.856116287965733</v>
      </c>
      <c r="AV202" s="61" t="str">
        <f ca="1"/>
        <v>c</v>
      </c>
      <c r="AW202" s="61">
        <f ca="1"/>
        <v>0.27638915521843022</v>
      </c>
      <c r="AX202" s="62">
        <f ca="1"/>
        <v>0.30999524332404282</v>
      </c>
      <c r="AY202" s="62">
        <f ca="1"/>
        <v>9.5635109630459042E-4</v>
      </c>
      <c r="AZ202" s="62">
        <f ca="1"/>
        <v>4.7032417497917178</v>
      </c>
      <c r="BA202" s="60">
        <f ca="1"/>
        <v>-157.89941618634612</v>
      </c>
      <c r="BB202" s="60">
        <f ca="1"/>
        <v>131.99843373144284</v>
      </c>
    </row>
    <row r="203" spans="1:54" x14ac:dyDescent="0.3">
      <c r="A203" t="s">
        <v>664</v>
      </c>
      <c r="B203" t="s">
        <v>665</v>
      </c>
      <c r="C203" t="s">
        <v>29</v>
      </c>
      <c r="D203" t="s">
        <v>85</v>
      </c>
      <c r="E203" t="s">
        <v>84</v>
      </c>
      <c r="F203" t="s">
        <v>210</v>
      </c>
      <c r="G203" t="s">
        <v>948</v>
      </c>
      <c r="H203" t="s">
        <v>1563</v>
      </c>
      <c r="I203" t="s">
        <v>862</v>
      </c>
      <c r="J203" t="s">
        <v>98</v>
      </c>
      <c r="K203" t="s">
        <v>98</v>
      </c>
      <c r="L203" t="s">
        <v>307</v>
      </c>
      <c r="M203" t="s">
        <v>94</v>
      </c>
      <c r="N203" t="s">
        <v>56</v>
      </c>
      <c r="O203" t="s">
        <v>36</v>
      </c>
      <c r="P203" t="s">
        <v>84</v>
      </c>
      <c r="Q203" t="s">
        <v>84</v>
      </c>
      <c r="V203" t="s">
        <v>49</v>
      </c>
      <c r="W203" t="s">
        <v>84</v>
      </c>
      <c r="X203" t="s">
        <v>824</v>
      </c>
      <c r="Y203" t="s">
        <v>862</v>
      </c>
      <c r="Z203" t="s">
        <v>84</v>
      </c>
      <c r="AA203" t="s">
        <v>84</v>
      </c>
      <c r="AB203" t="s">
        <v>36</v>
      </c>
      <c r="AC203" t="s">
        <v>1340</v>
      </c>
      <c r="AD203" t="s">
        <v>36</v>
      </c>
      <c r="AE203" t="s">
        <v>1340</v>
      </c>
      <c r="AF203" t="s">
        <v>86</v>
      </c>
      <c r="AG203" t="s">
        <v>269</v>
      </c>
      <c r="AH203" t="s">
        <v>183</v>
      </c>
      <c r="AI203" s="4">
        <f ca="1">data[[#This Row],[Expiry Date]]-TODAY()</f>
        <v>42</v>
      </c>
      <c r="AJ203" s="4">
        <f ca="1">data[[#This Row],[Maturity ( Days)]]/365</f>
        <v>0.11506849315068493</v>
      </c>
      <c r="AK203" s="4" t="str">
        <f>IF(data[[#This Row],[Option Type]]="put","p","c")</f>
        <v>p</v>
      </c>
      <c r="AL203" s="4">
        <f>(data[[#This Row],[Bid]]*data[[#This Row],[Bidsize]]+data[[#This Row],[Ask]]*data[[#This Row],[Asksize]])/(data[[#This Row],[Bidsize]]+data[[#This Row],[Asksize]])</f>
        <v>239.65</v>
      </c>
      <c r="AM203" s="4">
        <f>VALUE(data[[#This Row],[Strike]])</f>
        <v>4140</v>
      </c>
      <c r="AN203" s="5">
        <f ca="1">impliedVol(data[[#This Row],[OptType]],Details!$B$4,VALUE(data[[#This Row],[Strike]]),VALUE(data[[#This Row],[Cnt Price]]),Details!$B$6,data[[#This Row],[T]],Details!$B$7)</f>
        <v>0.20558936390695795</v>
      </c>
      <c r="AO203" s="7">
        <f t="array" aca="1" ref="AO203:AS203" ca="1">bsGreeks(data[[#This Row],[OptType]],Details!$B$4,VALUE(data[[#This Row],[Strike]]),Details!$B$6,data[[#This Row],[T]],AN203,Details!$B$7)</f>
        <v>-0.75640299920735854</v>
      </c>
      <c r="AP203" s="7">
        <f ca="1"/>
        <v>1.1421136544767375E-3</v>
      </c>
      <c r="AQ203" s="6">
        <f ca="1"/>
        <v>4.1780045673485464</v>
      </c>
      <c r="AR203" s="6">
        <f ca="1"/>
        <v>-93.445219071673222</v>
      </c>
      <c r="AS203" s="6">
        <f ca="1"/>
        <v>-369.64172002947345</v>
      </c>
      <c r="AU203" s="60">
        <f ca="1"/>
        <v>243.3368125199886</v>
      </c>
      <c r="AV203" s="61" t="str">
        <f ca="1"/>
        <v>p</v>
      </c>
      <c r="AW203" s="61">
        <f ca="1"/>
        <v>0.20558936390695795</v>
      </c>
      <c r="AX203" s="62">
        <f ca="1"/>
        <v>-0.75640299920735854</v>
      </c>
      <c r="AY203" s="62">
        <f ca="1"/>
        <v>1.1421136544767375E-3</v>
      </c>
      <c r="AZ203" s="62">
        <f ca="1"/>
        <v>4.1780045673485464</v>
      </c>
      <c r="BA203" s="60">
        <f ca="1"/>
        <v>-93.445219071673222</v>
      </c>
      <c r="BB203" s="60">
        <f ca="1"/>
        <v>-369.64172002947345</v>
      </c>
    </row>
    <row r="204" spans="1:54" x14ac:dyDescent="0.3">
      <c r="A204" t="s">
        <v>666</v>
      </c>
      <c r="B204" t="s">
        <v>667</v>
      </c>
      <c r="C204" t="s">
        <v>57</v>
      </c>
      <c r="D204" t="s">
        <v>94</v>
      </c>
      <c r="E204" t="s">
        <v>84</v>
      </c>
      <c r="F204" t="s">
        <v>165</v>
      </c>
      <c r="G204" t="s">
        <v>1055</v>
      </c>
      <c r="H204" t="s">
        <v>1056</v>
      </c>
      <c r="I204" t="s">
        <v>923</v>
      </c>
      <c r="J204" t="s">
        <v>111</v>
      </c>
      <c r="K204" t="s">
        <v>111</v>
      </c>
      <c r="L204" t="s">
        <v>307</v>
      </c>
      <c r="M204" t="s">
        <v>107</v>
      </c>
      <c r="N204" t="s">
        <v>56</v>
      </c>
      <c r="O204" t="s">
        <v>36</v>
      </c>
      <c r="P204" t="s">
        <v>84</v>
      </c>
      <c r="Q204" t="s">
        <v>84</v>
      </c>
      <c r="V204" t="s">
        <v>49</v>
      </c>
      <c r="W204" t="s">
        <v>84</v>
      </c>
      <c r="X204" t="s">
        <v>1105</v>
      </c>
      <c r="Y204" t="s">
        <v>923</v>
      </c>
      <c r="Z204" t="s">
        <v>84</v>
      </c>
      <c r="AA204" t="s">
        <v>84</v>
      </c>
      <c r="AB204" t="s">
        <v>36</v>
      </c>
      <c r="AC204" t="s">
        <v>1340</v>
      </c>
      <c r="AD204" t="s">
        <v>36</v>
      </c>
      <c r="AE204" t="s">
        <v>1340</v>
      </c>
      <c r="AF204" t="s">
        <v>86</v>
      </c>
      <c r="AG204" t="s">
        <v>269</v>
      </c>
      <c r="AH204" t="s">
        <v>183</v>
      </c>
      <c r="AI204" s="4">
        <f ca="1">data[[#This Row],[Expiry Date]]-TODAY()</f>
        <v>42</v>
      </c>
      <c r="AJ204" s="4">
        <f ca="1">data[[#This Row],[Maturity ( Days)]]/365</f>
        <v>0.11506849315068493</v>
      </c>
      <c r="AK204" s="4" t="str">
        <f>IF(data[[#This Row],[Option Type]]="put","p","c")</f>
        <v>c</v>
      </c>
      <c r="AL204" s="4">
        <f>(data[[#This Row],[Bid]]*data[[#This Row],[Bidsize]]+data[[#This Row],[Ask]]*data[[#This Row],[Asksize]])/(data[[#This Row],[Bidsize]]+data[[#This Row],[Asksize]])</f>
        <v>67.5</v>
      </c>
      <c r="AM204" s="4">
        <f>VALUE(data[[#This Row],[Strike]])</f>
        <v>4150</v>
      </c>
      <c r="AN204" s="5">
        <f ca="1">impliedVol(data[[#This Row],[OptType]],Details!$B$4,VALUE(data[[#This Row],[Strike]]),VALUE(data[[#This Row],[Cnt Price]]),Details!$B$6,data[[#This Row],[T]],Details!$B$7)</f>
        <v>0.27442239306560068</v>
      </c>
      <c r="AO204" s="7">
        <f t="array" aca="1" ref="AO204:AS204" ca="1">bsGreeks(data[[#This Row],[OptType]],Details!$B$4,VALUE(data[[#This Row],[Strike]]),Details!$B$6,data[[#This Row],[T]],AN204,Details!$B$7)</f>
        <v>0.29944278726031753</v>
      </c>
      <c r="AP204" s="7">
        <f ca="1"/>
        <v>9.4848590860071875E-4</v>
      </c>
      <c r="AQ204" s="6">
        <f ca="1"/>
        <v>4.6313688906930466</v>
      </c>
      <c r="AR204" s="6">
        <f ca="1"/>
        <v>-154.34652772613276</v>
      </c>
      <c r="AS204" s="6">
        <f ca="1"/>
        <v>127.65052365378878</v>
      </c>
      <c r="AU204" s="60">
        <f ca="1"/>
        <v>66.213032894972002</v>
      </c>
      <c r="AV204" s="61" t="str">
        <f ca="1"/>
        <v>c</v>
      </c>
      <c r="AW204" s="61">
        <f ca="1"/>
        <v>0.27442239306560068</v>
      </c>
      <c r="AX204" s="62">
        <f ca="1"/>
        <v>0.29944278726031753</v>
      </c>
      <c r="AY204" s="62">
        <f ca="1"/>
        <v>9.4848590860071875E-4</v>
      </c>
      <c r="AZ204" s="62">
        <f ca="1"/>
        <v>4.6313688906930466</v>
      </c>
      <c r="BA204" s="60">
        <f ca="1"/>
        <v>-154.34652772613276</v>
      </c>
      <c r="BB204" s="60">
        <f ca="1"/>
        <v>127.65052365378878</v>
      </c>
    </row>
    <row r="205" spans="1:54" x14ac:dyDescent="0.3">
      <c r="A205" t="s">
        <v>668</v>
      </c>
      <c r="B205" t="s">
        <v>669</v>
      </c>
      <c r="C205" t="s">
        <v>29</v>
      </c>
      <c r="D205" t="s">
        <v>85</v>
      </c>
      <c r="E205" t="s">
        <v>84</v>
      </c>
      <c r="F205" t="s">
        <v>165</v>
      </c>
      <c r="G205" t="s">
        <v>1406</v>
      </c>
      <c r="H205" t="s">
        <v>1564</v>
      </c>
      <c r="I205" t="s">
        <v>1214</v>
      </c>
      <c r="J205" t="s">
        <v>98</v>
      </c>
      <c r="K205" t="s">
        <v>98</v>
      </c>
      <c r="L205" t="s">
        <v>307</v>
      </c>
      <c r="M205" t="s">
        <v>865</v>
      </c>
      <c r="N205" t="s">
        <v>56</v>
      </c>
      <c r="O205" t="s">
        <v>36</v>
      </c>
      <c r="P205" t="s">
        <v>84</v>
      </c>
      <c r="Q205" t="s">
        <v>84</v>
      </c>
      <c r="V205" t="s">
        <v>49</v>
      </c>
      <c r="W205" t="s">
        <v>84</v>
      </c>
      <c r="X205" t="s">
        <v>1156</v>
      </c>
      <c r="Y205" t="s">
        <v>1214</v>
      </c>
      <c r="Z205" t="s">
        <v>84</v>
      </c>
      <c r="AA205" t="s">
        <v>84</v>
      </c>
      <c r="AB205" t="s">
        <v>36</v>
      </c>
      <c r="AC205" t="s">
        <v>1340</v>
      </c>
      <c r="AD205" t="s">
        <v>36</v>
      </c>
      <c r="AE205" t="s">
        <v>1340</v>
      </c>
      <c r="AF205" t="s">
        <v>86</v>
      </c>
      <c r="AG205" t="s">
        <v>269</v>
      </c>
      <c r="AH205" t="s">
        <v>183</v>
      </c>
      <c r="AI205" s="4">
        <f ca="1">data[[#This Row],[Expiry Date]]-TODAY()</f>
        <v>42</v>
      </c>
      <c r="AJ205" s="4">
        <f ca="1">data[[#This Row],[Maturity ( Days)]]/365</f>
        <v>0.11506849315068493</v>
      </c>
      <c r="AK205" s="4" t="str">
        <f>IF(data[[#This Row],[Option Type]]="put","p","c")</f>
        <v>p</v>
      </c>
      <c r="AL205" s="4">
        <f>(data[[#This Row],[Bid]]*data[[#This Row],[Bidsize]]+data[[#This Row],[Ask]]*data[[#This Row],[Asksize]])/(data[[#This Row],[Bidsize]]+data[[#This Row],[Asksize]])</f>
        <v>246</v>
      </c>
      <c r="AM205" s="4">
        <f>VALUE(data[[#This Row],[Strike]])</f>
        <v>4150</v>
      </c>
      <c r="AN205" s="5">
        <f ca="1">impliedVol(data[[#This Row],[OptType]],Details!$B$4,VALUE(data[[#This Row],[Strike]]),VALUE(data[[#This Row],[Cnt Price]]),Details!$B$6,data[[#This Row],[T]],Details!$B$7)</f>
        <v>0.20215114149627764</v>
      </c>
      <c r="AO205" s="7">
        <f t="array" aca="1" ref="AO205:AS205" ca="1">bsGreeks(data[[#This Row],[OptType]],Details!$B$4,VALUE(data[[#This Row],[Strike]]),Details!$B$6,data[[#This Row],[T]],AN205,Details!$B$7)</f>
        <v>-0.77124520372467353</v>
      </c>
      <c r="AP205" s="7">
        <f ca="1"/>
        <v>1.1220016263137958E-3</v>
      </c>
      <c r="AQ205" s="6">
        <f ca="1"/>
        <v>4.0357906354904935</v>
      </c>
      <c r="AR205" s="6">
        <f ca="1"/>
        <v>-88.135232604489218</v>
      </c>
      <c r="AS205" s="6">
        <f ca="1"/>
        <v>-377.08449444773134</v>
      </c>
      <c r="AU205" s="60">
        <f ca="1"/>
        <v>249.76148584558723</v>
      </c>
      <c r="AV205" s="61" t="str">
        <f ca="1"/>
        <v>p</v>
      </c>
      <c r="AW205" s="61">
        <f ca="1"/>
        <v>0.20215114149627764</v>
      </c>
      <c r="AX205" s="62">
        <f ca="1"/>
        <v>-0.77124520372467353</v>
      </c>
      <c r="AY205" s="62">
        <f ca="1"/>
        <v>1.1220016263137958E-3</v>
      </c>
      <c r="AZ205" s="62">
        <f ca="1"/>
        <v>4.0357906354904935</v>
      </c>
      <c r="BA205" s="60">
        <f ca="1"/>
        <v>-88.135232604489218</v>
      </c>
      <c r="BB205" s="60">
        <f ca="1"/>
        <v>-377.08449444773134</v>
      </c>
    </row>
    <row r="206" spans="1:54" x14ac:dyDescent="0.3">
      <c r="A206" t="s">
        <v>670</v>
      </c>
      <c r="B206" t="s">
        <v>671</v>
      </c>
      <c r="C206" t="s">
        <v>57</v>
      </c>
      <c r="D206" t="s">
        <v>85</v>
      </c>
      <c r="E206" t="s">
        <v>84</v>
      </c>
      <c r="F206" t="s">
        <v>211</v>
      </c>
      <c r="G206" t="s">
        <v>1176</v>
      </c>
      <c r="H206" t="s">
        <v>935</v>
      </c>
      <c r="I206" t="s">
        <v>1307</v>
      </c>
      <c r="J206" t="s">
        <v>111</v>
      </c>
      <c r="K206" t="s">
        <v>182</v>
      </c>
      <c r="L206" t="s">
        <v>307</v>
      </c>
      <c r="M206" t="s">
        <v>94</v>
      </c>
      <c r="N206" t="s">
        <v>56</v>
      </c>
      <c r="O206" t="s">
        <v>36</v>
      </c>
      <c r="P206" t="s">
        <v>84</v>
      </c>
      <c r="Q206" t="s">
        <v>84</v>
      </c>
      <c r="V206" t="s">
        <v>49</v>
      </c>
      <c r="W206" t="s">
        <v>84</v>
      </c>
      <c r="X206" t="s">
        <v>1105</v>
      </c>
      <c r="Y206" t="s">
        <v>1307</v>
      </c>
      <c r="Z206" t="s">
        <v>84</v>
      </c>
      <c r="AA206" t="s">
        <v>84</v>
      </c>
      <c r="AB206" t="s">
        <v>36</v>
      </c>
      <c r="AC206" t="s">
        <v>1340</v>
      </c>
      <c r="AD206" t="s">
        <v>36</v>
      </c>
      <c r="AE206" t="s">
        <v>1340</v>
      </c>
      <c r="AF206" t="s">
        <v>86</v>
      </c>
      <c r="AG206" t="s">
        <v>269</v>
      </c>
      <c r="AH206" t="s">
        <v>183</v>
      </c>
      <c r="AI206" s="4">
        <f ca="1">data[[#This Row],[Expiry Date]]-TODAY()</f>
        <v>42</v>
      </c>
      <c r="AJ206" s="4">
        <f ca="1">data[[#This Row],[Maturity ( Days)]]/365</f>
        <v>0.11506849315068493</v>
      </c>
      <c r="AK206" s="4" t="str">
        <f>IF(data[[#This Row],[Option Type]]="put","p","c")</f>
        <v>c</v>
      </c>
      <c r="AL206" s="4">
        <f>(data[[#This Row],[Bid]]*data[[#This Row],[Bidsize]]+data[[#This Row],[Ask]]*data[[#This Row],[Asksize]])/(data[[#This Row],[Bidsize]]+data[[#This Row],[Asksize]])</f>
        <v>63.984375</v>
      </c>
      <c r="AM206" s="4">
        <f>VALUE(data[[#This Row],[Strike]])</f>
        <v>4160</v>
      </c>
      <c r="AN206" s="5">
        <f ca="1">impliedVol(data[[#This Row],[OptType]],Details!$B$4,VALUE(data[[#This Row],[Strike]]),VALUE(data[[#This Row],[Cnt Price]]),Details!$B$6,data[[#This Row],[T]],Details!$B$7)</f>
        <v>0.27258406504077182</v>
      </c>
      <c r="AO206" s="7">
        <f t="array" aca="1" ref="AO206:AS206" ca="1">bsGreeks(data[[#This Row],[OptType]],Details!$B$4,VALUE(data[[#This Row],[Strike]]),Details!$B$6,data[[#This Row],[T]],AN206,Details!$B$7)</f>
        <v>0.28903519790240995</v>
      </c>
      <c r="AP206" s="7">
        <f ca="1"/>
        <v>9.3940443756472211E-4</v>
      </c>
      <c r="AQ206" s="6">
        <f ca="1"/>
        <v>4.5562968895429643</v>
      </c>
      <c r="AR206" s="6">
        <f ca="1"/>
        <v>-150.79428806572042</v>
      </c>
      <c r="AS206" s="6">
        <f ca="1"/>
        <v>123.34844345115053</v>
      </c>
      <c r="AU206" s="60">
        <f ca="1"/>
        <v>62.74054524501048</v>
      </c>
      <c r="AV206" s="61" t="str">
        <f ca="1"/>
        <v>c</v>
      </c>
      <c r="AW206" s="61">
        <f ca="1"/>
        <v>0.27258406504077182</v>
      </c>
      <c r="AX206" s="62">
        <f ca="1"/>
        <v>0.28903519790240995</v>
      </c>
      <c r="AY206" s="62">
        <f ca="1"/>
        <v>9.3940443756472211E-4</v>
      </c>
      <c r="AZ206" s="62">
        <f ca="1"/>
        <v>4.5562968895429643</v>
      </c>
      <c r="BA206" s="60">
        <f ca="1"/>
        <v>-150.79428806572042</v>
      </c>
      <c r="BB206" s="60">
        <f ca="1"/>
        <v>123.34844345115053</v>
      </c>
    </row>
    <row r="207" spans="1:54" x14ac:dyDescent="0.3">
      <c r="A207" t="s">
        <v>672</v>
      </c>
      <c r="B207" t="s">
        <v>673</v>
      </c>
      <c r="C207" t="s">
        <v>29</v>
      </c>
      <c r="D207" t="s">
        <v>114</v>
      </c>
      <c r="E207" t="s">
        <v>84</v>
      </c>
      <c r="F207" t="s">
        <v>211</v>
      </c>
      <c r="G207" t="s">
        <v>1396</v>
      </c>
      <c r="H207" t="s">
        <v>1565</v>
      </c>
      <c r="I207" t="s">
        <v>863</v>
      </c>
      <c r="J207" t="s">
        <v>98</v>
      </c>
      <c r="K207" t="s">
        <v>98</v>
      </c>
      <c r="L207" t="s">
        <v>307</v>
      </c>
      <c r="M207" t="s">
        <v>145</v>
      </c>
      <c r="N207" t="s">
        <v>56</v>
      </c>
      <c r="O207" t="s">
        <v>36</v>
      </c>
      <c r="P207" t="s">
        <v>84</v>
      </c>
      <c r="Q207" t="s">
        <v>84</v>
      </c>
      <c r="V207" t="s">
        <v>49</v>
      </c>
      <c r="W207" t="s">
        <v>84</v>
      </c>
      <c r="X207" t="s">
        <v>818</v>
      </c>
      <c r="Y207" t="s">
        <v>863</v>
      </c>
      <c r="Z207" t="s">
        <v>84</v>
      </c>
      <c r="AA207" t="s">
        <v>84</v>
      </c>
      <c r="AB207" t="s">
        <v>36</v>
      </c>
      <c r="AC207" t="s">
        <v>1340</v>
      </c>
      <c r="AD207" t="s">
        <v>36</v>
      </c>
      <c r="AE207" t="s">
        <v>1340</v>
      </c>
      <c r="AF207" t="s">
        <v>86</v>
      </c>
      <c r="AG207" t="s">
        <v>269</v>
      </c>
      <c r="AH207" t="s">
        <v>183</v>
      </c>
      <c r="AI207" s="4">
        <f ca="1">data[[#This Row],[Expiry Date]]-TODAY()</f>
        <v>42</v>
      </c>
      <c r="AJ207" s="4">
        <f ca="1">data[[#This Row],[Maturity ( Days)]]/365</f>
        <v>0.11506849315068493</v>
      </c>
      <c r="AK207" s="4" t="str">
        <f>IF(data[[#This Row],[Option Type]]="put","p","c")</f>
        <v>p</v>
      </c>
      <c r="AL207" s="4">
        <f>(data[[#This Row],[Bid]]*data[[#This Row],[Bidsize]]+data[[#This Row],[Ask]]*data[[#This Row],[Asksize]])/(data[[#This Row],[Bidsize]]+data[[#This Row],[Asksize]])</f>
        <v>252.5</v>
      </c>
      <c r="AM207" s="4">
        <f>VALUE(data[[#This Row],[Strike]])</f>
        <v>4160</v>
      </c>
      <c r="AN207" s="5">
        <f ca="1">impliedVol(data[[#This Row],[OptType]],Details!$B$4,VALUE(data[[#This Row],[Strike]]),VALUE(data[[#This Row],[Cnt Price]]),Details!$B$6,data[[#This Row],[T]],Details!$B$7)</f>
        <v>0.19861781810329868</v>
      </c>
      <c r="AO207" s="7">
        <f t="array" aca="1" ref="AO207:AS207" ca="1">bsGreeks(data[[#This Row],[OptType]],Details!$B$4,VALUE(data[[#This Row],[Strike]]),Details!$B$6,data[[#This Row],[T]],AN207,Details!$B$7)</f>
        <v>-0.78614071345679959</v>
      </c>
      <c r="AP207" s="7">
        <f ca="1"/>
        <v>1.0988152215519339E-3</v>
      </c>
      <c r="AQ207" s="6">
        <f ca="1"/>
        <v>3.8833078210026586</v>
      </c>
      <c r="AR207" s="6">
        <f ca="1"/>
        <v>-82.653790981660308</v>
      </c>
      <c r="AS207" s="6">
        <f ca="1"/>
        <v>-384.56863889078232</v>
      </c>
      <c r="AU207" s="60">
        <f ca="1"/>
        <v>256.33660456638609</v>
      </c>
      <c r="AV207" s="61" t="str">
        <f ca="1"/>
        <v>p</v>
      </c>
      <c r="AW207" s="61">
        <f ca="1"/>
        <v>0.19861781810329868</v>
      </c>
      <c r="AX207" s="62">
        <f ca="1"/>
        <v>-0.78614071345679959</v>
      </c>
      <c r="AY207" s="62">
        <f ca="1"/>
        <v>1.0988152215519339E-3</v>
      </c>
      <c r="AZ207" s="62">
        <f ca="1"/>
        <v>3.8833078210026586</v>
      </c>
      <c r="BA207" s="60">
        <f ca="1"/>
        <v>-82.653790981660308</v>
      </c>
      <c r="BB207" s="60">
        <f ca="1"/>
        <v>-384.56863889078232</v>
      </c>
    </row>
    <row r="208" spans="1:54" x14ac:dyDescent="0.3">
      <c r="A208" t="s">
        <v>674</v>
      </c>
      <c r="B208" t="s">
        <v>675</v>
      </c>
      <c r="C208" t="s">
        <v>57</v>
      </c>
      <c r="D208" t="s">
        <v>85</v>
      </c>
      <c r="E208" t="s">
        <v>84</v>
      </c>
      <c r="F208" t="s">
        <v>199</v>
      </c>
      <c r="G208" t="s">
        <v>906</v>
      </c>
      <c r="H208" t="s">
        <v>1273</v>
      </c>
      <c r="I208" t="s">
        <v>241</v>
      </c>
      <c r="J208" t="s">
        <v>121</v>
      </c>
      <c r="K208" t="s">
        <v>121</v>
      </c>
      <c r="L208" t="s">
        <v>307</v>
      </c>
      <c r="M208" t="s">
        <v>113</v>
      </c>
      <c r="N208" t="s">
        <v>56</v>
      </c>
      <c r="O208" t="s">
        <v>36</v>
      </c>
      <c r="P208" t="s">
        <v>84</v>
      </c>
      <c r="Q208" t="s">
        <v>84</v>
      </c>
      <c r="V208" t="s">
        <v>49</v>
      </c>
      <c r="W208" t="s">
        <v>84</v>
      </c>
      <c r="X208" t="s">
        <v>1105</v>
      </c>
      <c r="Y208" t="s">
        <v>241</v>
      </c>
      <c r="Z208" t="s">
        <v>84</v>
      </c>
      <c r="AA208" t="s">
        <v>84</v>
      </c>
      <c r="AB208" t="s">
        <v>36</v>
      </c>
      <c r="AC208" t="s">
        <v>1340</v>
      </c>
      <c r="AD208" t="s">
        <v>36</v>
      </c>
      <c r="AE208" t="s">
        <v>1340</v>
      </c>
      <c r="AF208" t="s">
        <v>86</v>
      </c>
      <c r="AG208" t="s">
        <v>269</v>
      </c>
      <c r="AH208" t="s">
        <v>183</v>
      </c>
      <c r="AI208" s="4">
        <f ca="1">data[[#This Row],[Expiry Date]]-TODAY()</f>
        <v>42</v>
      </c>
      <c r="AJ208" s="4">
        <f ca="1">data[[#This Row],[Maturity ( Days)]]/365</f>
        <v>0.11506849315068493</v>
      </c>
      <c r="AK208" s="4" t="str">
        <f>IF(data[[#This Row],[Option Type]]="put","p","c")</f>
        <v>c</v>
      </c>
      <c r="AL208" s="4">
        <f>(data[[#This Row],[Bid]]*data[[#This Row],[Bidsize]]+data[[#This Row],[Ask]]*data[[#This Row],[Asksize]])/(data[[#This Row],[Bidsize]]+data[[#This Row],[Asksize]])</f>
        <v>60.550000000000004</v>
      </c>
      <c r="AM208" s="4">
        <f>VALUE(data[[#This Row],[Strike]])</f>
        <v>4170</v>
      </c>
      <c r="AN208" s="5">
        <f ca="1">impliedVol(data[[#This Row],[OptType]],Details!$B$4,VALUE(data[[#This Row],[Strike]]),VALUE(data[[#This Row],[Cnt Price]]),Details!$B$6,data[[#This Row],[T]],Details!$B$7)</f>
        <v>0.27068128110712086</v>
      </c>
      <c r="AO208" s="7">
        <f t="array" aca="1" ref="AO208:AS208" ca="1">bsGreeks(data[[#This Row],[OptType]],Details!$B$4,VALUE(data[[#This Row],[Strike]]),Details!$B$6,data[[#This Row],[T]],AN208,Details!$B$7)</f>
        <v>0.27863149564893647</v>
      </c>
      <c r="AP208" s="7">
        <f ca="1"/>
        <v>9.2955008715247492E-4</v>
      </c>
      <c r="AQ208" s="6">
        <f ca="1"/>
        <v>4.4770295721487914</v>
      </c>
      <c r="AR208" s="6">
        <f ca="1"/>
        <v>-147.10515063235681</v>
      </c>
      <c r="AS208" s="6">
        <f ca="1"/>
        <v>119.03877088215036</v>
      </c>
      <c r="AU208" s="60">
        <f ca="1"/>
        <v>59.349391472903562</v>
      </c>
      <c r="AV208" s="61" t="str">
        <f ca="1"/>
        <v>c</v>
      </c>
      <c r="AW208" s="61">
        <f ca="1"/>
        <v>0.27068128110712086</v>
      </c>
      <c r="AX208" s="62">
        <f ca="1"/>
        <v>0.27863149564893647</v>
      </c>
      <c r="AY208" s="62">
        <f ca="1"/>
        <v>9.2955008715247492E-4</v>
      </c>
      <c r="AZ208" s="62">
        <f ca="1"/>
        <v>4.4770295721487914</v>
      </c>
      <c r="BA208" s="60">
        <f ca="1"/>
        <v>-147.10515063235681</v>
      </c>
      <c r="BB208" s="60">
        <f ca="1"/>
        <v>119.03877088215036</v>
      </c>
    </row>
    <row r="209" spans="1:54" x14ac:dyDescent="0.3">
      <c r="A209" t="s">
        <v>676</v>
      </c>
      <c r="B209" t="s">
        <v>677</v>
      </c>
      <c r="C209" t="s">
        <v>29</v>
      </c>
      <c r="D209" t="s">
        <v>85</v>
      </c>
      <c r="E209" t="s">
        <v>84</v>
      </c>
      <c r="F209" t="s">
        <v>199</v>
      </c>
      <c r="G209" t="s">
        <v>1565</v>
      </c>
      <c r="H209" t="s">
        <v>913</v>
      </c>
      <c r="I209" t="s">
        <v>294</v>
      </c>
      <c r="J209" t="s">
        <v>98</v>
      </c>
      <c r="K209" t="s">
        <v>98</v>
      </c>
      <c r="L209" t="s">
        <v>307</v>
      </c>
      <c r="M209" t="s">
        <v>85</v>
      </c>
      <c r="N209" t="s">
        <v>56</v>
      </c>
      <c r="O209" t="s">
        <v>36</v>
      </c>
      <c r="P209" t="s">
        <v>84</v>
      </c>
      <c r="Q209" t="s">
        <v>84</v>
      </c>
      <c r="V209" t="s">
        <v>49</v>
      </c>
      <c r="W209" t="s">
        <v>84</v>
      </c>
      <c r="X209" t="s">
        <v>221</v>
      </c>
      <c r="Y209" t="s">
        <v>294</v>
      </c>
      <c r="Z209" t="s">
        <v>84</v>
      </c>
      <c r="AA209" t="s">
        <v>84</v>
      </c>
      <c r="AB209" t="s">
        <v>36</v>
      </c>
      <c r="AC209" t="s">
        <v>1340</v>
      </c>
      <c r="AD209" t="s">
        <v>36</v>
      </c>
      <c r="AE209" t="s">
        <v>1340</v>
      </c>
      <c r="AF209" t="s">
        <v>86</v>
      </c>
      <c r="AG209" t="s">
        <v>269</v>
      </c>
      <c r="AH209" t="s">
        <v>183</v>
      </c>
      <c r="AI209" s="4">
        <f ca="1">data[[#This Row],[Expiry Date]]-TODAY()</f>
        <v>42</v>
      </c>
      <c r="AJ209" s="4">
        <f ca="1">data[[#This Row],[Maturity ( Days)]]/365</f>
        <v>0.11506849315068493</v>
      </c>
      <c r="AK209" s="4" t="str">
        <f>IF(data[[#This Row],[Option Type]]="put","p","c")</f>
        <v>p</v>
      </c>
      <c r="AL209" s="4">
        <f>(data[[#This Row],[Bid]]*data[[#This Row],[Bidsize]]+data[[#This Row],[Ask]]*data[[#This Row],[Asksize]])/(data[[#This Row],[Bidsize]]+data[[#This Row],[Asksize]])</f>
        <v>259.09999999999997</v>
      </c>
      <c r="AM209" s="4">
        <f>VALUE(data[[#This Row],[Strike]])</f>
        <v>4170</v>
      </c>
      <c r="AN209" s="5">
        <f ca="1">impliedVol(data[[#This Row],[OptType]],Details!$B$4,VALUE(data[[#This Row],[Strike]]),VALUE(data[[#This Row],[Cnt Price]]),Details!$B$6,data[[#This Row],[T]],Details!$B$7)</f>
        <v>0.19483901048034208</v>
      </c>
      <c r="AO209" s="7">
        <f t="array" aca="1" ref="AO209:AS209" ca="1">bsGreeks(data[[#This Row],[OptType]],Details!$B$4,VALUE(data[[#This Row],[Strike]]),Details!$B$6,data[[#This Row],[T]],AN209,Details!$B$7)</f>
        <v>-0.80125289086084794</v>
      </c>
      <c r="AP209" s="7">
        <f ca="1"/>
        <v>1.0725079146637984E-3</v>
      </c>
      <c r="AQ209" s="6">
        <f ca="1"/>
        <v>3.7182224170127158</v>
      </c>
      <c r="AR209" s="6">
        <f ca="1"/>
        <v>-76.896668816969566</v>
      </c>
      <c r="AS209" s="6">
        <f ca="1"/>
        <v>-392.16227712130234</v>
      </c>
      <c r="AU209" s="60">
        <f ca="1"/>
        <v>263.01285072420069</v>
      </c>
      <c r="AV209" s="61" t="str">
        <f ca="1"/>
        <v>p</v>
      </c>
      <c r="AW209" s="61">
        <f ca="1"/>
        <v>0.19483901048034208</v>
      </c>
      <c r="AX209" s="62">
        <f ca="1"/>
        <v>-0.80125289086084794</v>
      </c>
      <c r="AY209" s="62">
        <f ca="1"/>
        <v>1.0725079146637984E-3</v>
      </c>
      <c r="AZ209" s="62">
        <f ca="1"/>
        <v>3.7182224170127158</v>
      </c>
      <c r="BA209" s="60">
        <f ca="1"/>
        <v>-76.896668816969566</v>
      </c>
      <c r="BB209" s="60">
        <f ca="1"/>
        <v>-392.16227712130234</v>
      </c>
    </row>
    <row r="210" spans="1:54" x14ac:dyDescent="0.3">
      <c r="A210" t="s">
        <v>678</v>
      </c>
      <c r="B210" t="s">
        <v>679</v>
      </c>
      <c r="C210" t="s">
        <v>57</v>
      </c>
      <c r="D210" t="s">
        <v>85</v>
      </c>
      <c r="E210" t="s">
        <v>84</v>
      </c>
      <c r="F210" t="s">
        <v>157</v>
      </c>
      <c r="G210" t="s">
        <v>1057</v>
      </c>
      <c r="H210" t="s">
        <v>1321</v>
      </c>
      <c r="I210" t="s">
        <v>1215</v>
      </c>
      <c r="J210" t="s">
        <v>107</v>
      </c>
      <c r="K210" t="s">
        <v>107</v>
      </c>
      <c r="L210" t="s">
        <v>307</v>
      </c>
      <c r="M210" t="s">
        <v>125</v>
      </c>
      <c r="N210" t="s">
        <v>56</v>
      </c>
      <c r="O210" t="s">
        <v>36</v>
      </c>
      <c r="P210" t="s">
        <v>84</v>
      </c>
      <c r="Q210" t="s">
        <v>84</v>
      </c>
      <c r="V210" t="s">
        <v>49</v>
      </c>
      <c r="W210" t="s">
        <v>84</v>
      </c>
      <c r="X210" t="s">
        <v>1105</v>
      </c>
      <c r="Y210" t="s">
        <v>1215</v>
      </c>
      <c r="Z210" t="s">
        <v>84</v>
      </c>
      <c r="AA210" t="s">
        <v>84</v>
      </c>
      <c r="AB210" t="s">
        <v>36</v>
      </c>
      <c r="AC210" t="s">
        <v>1340</v>
      </c>
      <c r="AD210" t="s">
        <v>36</v>
      </c>
      <c r="AE210" t="s">
        <v>1340</v>
      </c>
      <c r="AF210" t="s">
        <v>86</v>
      </c>
      <c r="AG210" t="s">
        <v>269</v>
      </c>
      <c r="AH210" t="s">
        <v>183</v>
      </c>
      <c r="AI210" s="4">
        <f ca="1">data[[#This Row],[Expiry Date]]-TODAY()</f>
        <v>42</v>
      </c>
      <c r="AJ210" s="4">
        <f ca="1">data[[#This Row],[Maturity ( Days)]]/365</f>
        <v>0.11506849315068493</v>
      </c>
      <c r="AK210" s="4" t="str">
        <f>IF(data[[#This Row],[Option Type]]="put","p","c")</f>
        <v>c</v>
      </c>
      <c r="AL210" s="4">
        <f>(data[[#This Row],[Bid]]*data[[#This Row],[Bidsize]]+data[[#This Row],[Ask]]*data[[#This Row],[Asksize]])/(data[[#This Row],[Bidsize]]+data[[#This Row],[Asksize]])</f>
        <v>58.95</v>
      </c>
      <c r="AM210" s="4">
        <f>VALUE(data[[#This Row],[Strike]])</f>
        <v>4175</v>
      </c>
      <c r="AN210" s="5">
        <f ca="1">impliedVol(data[[#This Row],[OptType]],Details!$B$4,VALUE(data[[#This Row],[Strike]]),VALUE(data[[#This Row],[Cnt Price]]),Details!$B$6,data[[#This Row],[T]],Details!$B$7)</f>
        <v>0.26989866863966872</v>
      </c>
      <c r="AO210" s="7">
        <f t="array" aca="1" ref="AO210:AS210" ca="1">bsGreeks(data[[#This Row],[OptType]],Details!$B$4,VALUE(data[[#This Row],[Strike]]),Details!$B$6,data[[#This Row],[T]],AN210,Details!$B$7)</f>
        <v>0.27359769316536031</v>
      </c>
      <c r="AP210" s="7">
        <f ca="1"/>
        <v>9.2393900244178563E-4</v>
      </c>
      <c r="AQ210" s="6">
        <f ca="1"/>
        <v>4.4371385168337163</v>
      </c>
      <c r="AR210" s="6">
        <f ca="1"/>
        <v>-145.3564281629879</v>
      </c>
      <c r="AS210" s="6">
        <f ca="1"/>
        <v>116.94644556403087</v>
      </c>
      <c r="AU210" s="60">
        <f ca="1"/>
        <v>57.770383663934354</v>
      </c>
      <c r="AV210" s="61" t="str">
        <f ca="1"/>
        <v>c</v>
      </c>
      <c r="AW210" s="61">
        <f ca="1"/>
        <v>0.26989866863966872</v>
      </c>
      <c r="AX210" s="62">
        <f ca="1"/>
        <v>0.27359769316536031</v>
      </c>
      <c r="AY210" s="62">
        <f ca="1"/>
        <v>9.2393900244178563E-4</v>
      </c>
      <c r="AZ210" s="62">
        <f ca="1"/>
        <v>4.4371385168337163</v>
      </c>
      <c r="BA210" s="60">
        <f ca="1"/>
        <v>-145.3564281629879</v>
      </c>
      <c r="BB210" s="60">
        <f ca="1"/>
        <v>116.94644556403087</v>
      </c>
    </row>
    <row r="211" spans="1:54" x14ac:dyDescent="0.3">
      <c r="A211" t="s">
        <v>680</v>
      </c>
      <c r="B211" t="s">
        <v>681</v>
      </c>
      <c r="C211" t="s">
        <v>29</v>
      </c>
      <c r="D211" t="s">
        <v>107</v>
      </c>
      <c r="E211" t="s">
        <v>84</v>
      </c>
      <c r="F211" t="s">
        <v>200</v>
      </c>
      <c r="G211" t="s">
        <v>1566</v>
      </c>
      <c r="H211" t="s">
        <v>1567</v>
      </c>
      <c r="I211" t="s">
        <v>1000</v>
      </c>
      <c r="J211" t="s">
        <v>101</v>
      </c>
      <c r="K211" t="s">
        <v>101</v>
      </c>
      <c r="L211" t="s">
        <v>307</v>
      </c>
      <c r="M211" t="s">
        <v>121</v>
      </c>
      <c r="N211" t="s">
        <v>56</v>
      </c>
      <c r="O211" t="s">
        <v>36</v>
      </c>
      <c r="P211" t="s">
        <v>84</v>
      </c>
      <c r="Q211" t="s">
        <v>84</v>
      </c>
      <c r="V211" t="s">
        <v>49</v>
      </c>
      <c r="W211" t="s">
        <v>84</v>
      </c>
      <c r="X211" t="s">
        <v>953</v>
      </c>
      <c r="Y211" t="s">
        <v>1000</v>
      </c>
      <c r="Z211" t="s">
        <v>84</v>
      </c>
      <c r="AA211" t="s">
        <v>84</v>
      </c>
      <c r="AB211" t="s">
        <v>36</v>
      </c>
      <c r="AC211" t="s">
        <v>1340</v>
      </c>
      <c r="AD211" t="s">
        <v>36</v>
      </c>
      <c r="AE211" t="s">
        <v>1340</v>
      </c>
      <c r="AF211" t="s">
        <v>86</v>
      </c>
      <c r="AG211" t="s">
        <v>269</v>
      </c>
      <c r="AH211" t="s">
        <v>183</v>
      </c>
      <c r="AI211" s="4">
        <f ca="1">data[[#This Row],[Expiry Date]]-TODAY()</f>
        <v>42</v>
      </c>
      <c r="AJ211" s="4">
        <f ca="1">data[[#This Row],[Maturity ( Days)]]/365</f>
        <v>0.11506849315068493</v>
      </c>
      <c r="AK211" s="4" t="str">
        <f>IF(data[[#This Row],[Option Type]]="put","p","c")</f>
        <v>p</v>
      </c>
      <c r="AL211" s="4">
        <f>(data[[#This Row],[Bid]]*data[[#This Row],[Bidsize]]+data[[#This Row],[Ask]]*data[[#This Row],[Asksize]])/(data[[#This Row],[Bidsize]]+data[[#This Row],[Asksize]])</f>
        <v>265.85000000000002</v>
      </c>
      <c r="AM211" s="4">
        <f>VALUE(data[[#This Row],[Strike]])</f>
        <v>4180</v>
      </c>
      <c r="AN211" s="5">
        <f ca="1">impliedVol(data[[#This Row],[OptType]],Details!$B$4,VALUE(data[[#This Row],[Strike]]),VALUE(data[[#This Row],[Cnt Price]]),Details!$B$6,data[[#This Row],[T]],Details!$B$7)</f>
        <v>0.19091306698100396</v>
      </c>
      <c r="AO211" s="7">
        <f t="array" aca="1" ref="AO211:AS211" ca="1">bsGreeks(data[[#This Row],[OptType]],Details!$B$4,VALUE(data[[#This Row],[Strike]]),Details!$B$6,data[[#This Row],[T]],AN211,Details!$B$7)</f>
        <v>-0.8164277517696843</v>
      </c>
      <c r="AP211" s="7">
        <f ca="1"/>
        <v>1.0425282138568097E-3</v>
      </c>
      <c r="AQ211" s="6">
        <f ca="1"/>
        <v>3.5414606079897557</v>
      </c>
      <c r="AR211" s="6">
        <f ca="1"/>
        <v>-70.959373660156189</v>
      </c>
      <c r="AS211" s="6">
        <f ca="1"/>
        <v>-399.80152721384059</v>
      </c>
      <c r="AU211" s="60">
        <f ca="1"/>
        <v>269.83959087553558</v>
      </c>
      <c r="AV211" s="61" t="str">
        <f ca="1"/>
        <v>p</v>
      </c>
      <c r="AW211" s="61">
        <f ca="1"/>
        <v>0.19091306698100396</v>
      </c>
      <c r="AX211" s="62">
        <f ca="1"/>
        <v>-0.8164277517696843</v>
      </c>
      <c r="AY211" s="62">
        <f ca="1"/>
        <v>1.0425282138568097E-3</v>
      </c>
      <c r="AZ211" s="62">
        <f ca="1"/>
        <v>3.5414606079897557</v>
      </c>
      <c r="BA211" s="60">
        <f ca="1"/>
        <v>-70.959373660156189</v>
      </c>
      <c r="BB211" s="60">
        <f ca="1"/>
        <v>-399.80152721384059</v>
      </c>
    </row>
    <row r="212" spans="1:54" x14ac:dyDescent="0.3">
      <c r="A212" t="s">
        <v>682</v>
      </c>
      <c r="B212" t="s">
        <v>683</v>
      </c>
      <c r="C212" t="s">
        <v>57</v>
      </c>
      <c r="D212" t="s">
        <v>85</v>
      </c>
      <c r="E212" t="s">
        <v>84</v>
      </c>
      <c r="F212" t="s">
        <v>200</v>
      </c>
      <c r="G212" t="s">
        <v>1568</v>
      </c>
      <c r="H212" t="s">
        <v>1569</v>
      </c>
      <c r="I212" t="s">
        <v>922</v>
      </c>
      <c r="J212" t="s">
        <v>182</v>
      </c>
      <c r="K212" t="s">
        <v>1011</v>
      </c>
      <c r="L212" t="s">
        <v>307</v>
      </c>
      <c r="M212" t="s">
        <v>102</v>
      </c>
      <c r="N212" t="s">
        <v>56</v>
      </c>
      <c r="O212" t="s">
        <v>36</v>
      </c>
      <c r="P212" t="s">
        <v>84</v>
      </c>
      <c r="Q212" t="s">
        <v>84</v>
      </c>
      <c r="V212" t="s">
        <v>49</v>
      </c>
      <c r="W212" t="s">
        <v>84</v>
      </c>
      <c r="X212" t="s">
        <v>1158</v>
      </c>
      <c r="Y212" t="s">
        <v>922</v>
      </c>
      <c r="Z212" t="s">
        <v>84</v>
      </c>
      <c r="AA212" t="s">
        <v>84</v>
      </c>
      <c r="AB212" t="s">
        <v>36</v>
      </c>
      <c r="AC212" t="s">
        <v>1340</v>
      </c>
      <c r="AD212" t="s">
        <v>36</v>
      </c>
      <c r="AE212" t="s">
        <v>1340</v>
      </c>
      <c r="AF212" t="s">
        <v>86</v>
      </c>
      <c r="AG212" t="s">
        <v>269</v>
      </c>
      <c r="AH212" t="s">
        <v>183</v>
      </c>
      <c r="AI212" s="4">
        <f ca="1">data[[#This Row],[Expiry Date]]-TODAY()</f>
        <v>42</v>
      </c>
      <c r="AJ212" s="4">
        <f ca="1">data[[#This Row],[Maturity ( Days)]]/365</f>
        <v>0.11506849315068493</v>
      </c>
      <c r="AK212" s="4" t="str">
        <f>IF(data[[#This Row],[Option Type]]="put","p","c")</f>
        <v>c</v>
      </c>
      <c r="AL212" s="4">
        <f>(data[[#This Row],[Bid]]*data[[#This Row],[Bidsize]]+data[[#This Row],[Ask]]*data[[#This Row],[Asksize]])/(data[[#This Row],[Bidsize]]+data[[#This Row],[Asksize]])</f>
        <v>57.54038461538461</v>
      </c>
      <c r="AM212" s="4">
        <f>VALUE(data[[#This Row],[Strike]])</f>
        <v>4180</v>
      </c>
      <c r="AN212" s="5">
        <f ca="1">impliedVol(data[[#This Row],[OptType]],Details!$B$4,VALUE(data[[#This Row],[Strike]]),VALUE(data[[#This Row],[Cnt Price]]),Details!$B$6,data[[#This Row],[T]],Details!$B$7)</f>
        <v>0.26948597917322031</v>
      </c>
      <c r="AO212" s="7">
        <f t="array" aca="1" ref="AO212:AS212" ca="1">bsGreeks(data[[#This Row],[OptType]],Details!$B$4,VALUE(data[[#This Row],[Strike]]),Details!$B$6,data[[#This Row],[T]],AN212,Details!$B$7)</f>
        <v>0.2689066620349958</v>
      </c>
      <c r="AP212" s="7">
        <f ca="1"/>
        <v>9.1741072110152725E-4</v>
      </c>
      <c r="AQ212" s="6">
        <f ca="1"/>
        <v>4.3990503172328017</v>
      </c>
      <c r="AR212" s="6">
        <f ca="1"/>
        <v>-143.8697981880315</v>
      </c>
      <c r="AS212" s="6">
        <f ca="1"/>
        <v>114.9872228188663</v>
      </c>
      <c r="AU212" s="60">
        <f ca="1"/>
        <v>56.38043816182028</v>
      </c>
      <c r="AV212" s="61" t="str">
        <f ca="1"/>
        <v>c</v>
      </c>
      <c r="AW212" s="61">
        <f ca="1"/>
        <v>0.26948597917322031</v>
      </c>
      <c r="AX212" s="62">
        <f ca="1"/>
        <v>0.2689066620349958</v>
      </c>
      <c r="AY212" s="62">
        <f ca="1"/>
        <v>9.1741072110152725E-4</v>
      </c>
      <c r="AZ212" s="62">
        <f ca="1"/>
        <v>4.3990503172328017</v>
      </c>
      <c r="BA212" s="60">
        <f ca="1"/>
        <v>-143.8697981880315</v>
      </c>
      <c r="BB212" s="60">
        <f ca="1"/>
        <v>114.9872228188663</v>
      </c>
    </row>
    <row r="213" spans="1:54" x14ac:dyDescent="0.3">
      <c r="A213" t="s">
        <v>684</v>
      </c>
      <c r="B213" t="s">
        <v>685</v>
      </c>
      <c r="C213" t="s">
        <v>29</v>
      </c>
      <c r="D213" t="s">
        <v>101</v>
      </c>
      <c r="E213" t="s">
        <v>84</v>
      </c>
      <c r="F213" t="s">
        <v>190</v>
      </c>
      <c r="G213" t="s">
        <v>1233</v>
      </c>
      <c r="H213" t="s">
        <v>1570</v>
      </c>
      <c r="I213" t="s">
        <v>1216</v>
      </c>
      <c r="J213" t="s">
        <v>101</v>
      </c>
      <c r="K213" t="s">
        <v>101</v>
      </c>
      <c r="L213" t="s">
        <v>307</v>
      </c>
      <c r="M213" t="s">
        <v>83</v>
      </c>
      <c r="N213" t="s">
        <v>56</v>
      </c>
      <c r="O213" t="s">
        <v>36</v>
      </c>
      <c r="P213" t="s">
        <v>84</v>
      </c>
      <c r="Q213" t="s">
        <v>84</v>
      </c>
      <c r="V213" t="s">
        <v>49</v>
      </c>
      <c r="W213" t="s">
        <v>84</v>
      </c>
      <c r="X213" t="s">
        <v>1158</v>
      </c>
      <c r="Y213" t="s">
        <v>1216</v>
      </c>
      <c r="Z213" t="s">
        <v>84</v>
      </c>
      <c r="AA213" t="s">
        <v>84</v>
      </c>
      <c r="AB213" t="s">
        <v>36</v>
      </c>
      <c r="AC213" t="s">
        <v>1340</v>
      </c>
      <c r="AD213" t="s">
        <v>36</v>
      </c>
      <c r="AE213" t="s">
        <v>1340</v>
      </c>
      <c r="AF213" t="s">
        <v>86</v>
      </c>
      <c r="AG213" t="s">
        <v>269</v>
      </c>
      <c r="AH213" t="s">
        <v>183</v>
      </c>
      <c r="AI213" s="4">
        <f ca="1">data[[#This Row],[Expiry Date]]-TODAY()</f>
        <v>42</v>
      </c>
      <c r="AJ213" s="4">
        <f ca="1">data[[#This Row],[Maturity ( Days)]]/365</f>
        <v>0.11506849315068493</v>
      </c>
      <c r="AK213" s="4" t="str">
        <f>IF(data[[#This Row],[Option Type]]="put","p","c")</f>
        <v>p</v>
      </c>
      <c r="AL213" s="4">
        <f>(data[[#This Row],[Bid]]*data[[#This Row],[Bidsize]]+data[[#This Row],[Ask]]*data[[#This Row],[Asksize]])/(data[[#This Row],[Bidsize]]+data[[#This Row],[Asksize]])</f>
        <v>272.45</v>
      </c>
      <c r="AM213" s="4">
        <f>VALUE(data[[#This Row],[Strike]])</f>
        <v>4190</v>
      </c>
      <c r="AN213" s="5">
        <f ca="1">impliedVol(data[[#This Row],[OptType]],Details!$B$4,VALUE(data[[#This Row],[Strike]]),VALUE(data[[#This Row],[Cnt Price]]),Details!$B$6,data[[#This Row],[T]],Details!$B$7)</f>
        <v>0.18592885170309725</v>
      </c>
      <c r="AO213" s="7">
        <f t="array" aca="1" ref="AO213:AS213" ca="1">bsGreeks(data[[#This Row],[OptType]],Details!$B$4,VALUE(data[[#This Row],[Strike]]),Details!$B$6,data[[#This Row],[T]],AN213,Details!$B$7)</f>
        <v>-0.8328803466135295</v>
      </c>
      <c r="AP213" s="7">
        <f ca="1"/>
        <v>1.0085913018788152E-3</v>
      </c>
      <c r="AQ213" s="6">
        <f ca="1"/>
        <v>3.3367291038881564</v>
      </c>
      <c r="AR213" s="6">
        <f ca="1"/>
        <v>-64.130951267717194</v>
      </c>
      <c r="AS213" s="6">
        <f ca="1"/>
        <v>-408.00134918648882</v>
      </c>
      <c r="AU213" s="60">
        <f ca="1"/>
        <v>276.52197996596442</v>
      </c>
      <c r="AV213" s="61" t="str">
        <f ca="1"/>
        <v>p</v>
      </c>
      <c r="AW213" s="61">
        <f ca="1"/>
        <v>0.18592885170309725</v>
      </c>
      <c r="AX213" s="62">
        <f ca="1"/>
        <v>-0.8328803466135295</v>
      </c>
      <c r="AY213" s="62">
        <f ca="1"/>
        <v>1.0085913018788152E-3</v>
      </c>
      <c r="AZ213" s="62">
        <f ca="1"/>
        <v>3.3367291038881564</v>
      </c>
      <c r="BA213" s="60">
        <f ca="1"/>
        <v>-64.130951267717194</v>
      </c>
      <c r="BB213" s="60">
        <f ca="1"/>
        <v>-408.00134918648882</v>
      </c>
    </row>
    <row r="214" spans="1:54" x14ac:dyDescent="0.3">
      <c r="A214" t="s">
        <v>686</v>
      </c>
      <c r="B214" t="s">
        <v>687</v>
      </c>
      <c r="C214" t="s">
        <v>57</v>
      </c>
      <c r="D214" t="s">
        <v>94</v>
      </c>
      <c r="E214" t="s">
        <v>84</v>
      </c>
      <c r="F214" t="s">
        <v>190</v>
      </c>
      <c r="G214" t="s">
        <v>1309</v>
      </c>
      <c r="H214" t="s">
        <v>1095</v>
      </c>
      <c r="I214" t="s">
        <v>1310</v>
      </c>
      <c r="J214" t="s">
        <v>182</v>
      </c>
      <c r="K214" t="s">
        <v>1011</v>
      </c>
      <c r="L214" t="s">
        <v>307</v>
      </c>
      <c r="M214" t="s">
        <v>107</v>
      </c>
      <c r="N214" t="s">
        <v>56</v>
      </c>
      <c r="O214" t="s">
        <v>36</v>
      </c>
      <c r="P214" t="s">
        <v>84</v>
      </c>
      <c r="Q214" t="s">
        <v>84</v>
      </c>
      <c r="V214" t="s">
        <v>49</v>
      </c>
      <c r="W214" t="s">
        <v>84</v>
      </c>
      <c r="X214" t="s">
        <v>1105</v>
      </c>
      <c r="Y214" t="s">
        <v>1310</v>
      </c>
      <c r="Z214" t="s">
        <v>84</v>
      </c>
      <c r="AA214" t="s">
        <v>84</v>
      </c>
      <c r="AB214" t="s">
        <v>36</v>
      </c>
      <c r="AC214" t="s">
        <v>1340</v>
      </c>
      <c r="AD214" t="s">
        <v>36</v>
      </c>
      <c r="AE214" t="s">
        <v>1340</v>
      </c>
      <c r="AF214" t="s">
        <v>86</v>
      </c>
      <c r="AG214" t="s">
        <v>269</v>
      </c>
      <c r="AH214" t="s">
        <v>183</v>
      </c>
      <c r="AI214" s="4">
        <f ca="1">data[[#This Row],[Expiry Date]]-TODAY()</f>
        <v>42</v>
      </c>
      <c r="AJ214" s="4">
        <f ca="1">data[[#This Row],[Maturity ( Days)]]/365</f>
        <v>0.11506849315068493</v>
      </c>
      <c r="AK214" s="4" t="str">
        <f>IF(data[[#This Row],[Option Type]]="put","p","c")</f>
        <v>c</v>
      </c>
      <c r="AL214" s="4">
        <f>(data[[#This Row],[Bid]]*data[[#This Row],[Bidsize]]+data[[#This Row],[Ask]]*data[[#This Row],[Asksize]])/(data[[#This Row],[Bidsize]]+data[[#This Row],[Asksize]])</f>
        <v>54.340384615384615</v>
      </c>
      <c r="AM214" s="4">
        <f>VALUE(data[[#This Row],[Strike]])</f>
        <v>4190</v>
      </c>
      <c r="AN214" s="5">
        <f ca="1">impliedVol(data[[#This Row],[OptType]],Details!$B$4,VALUE(data[[#This Row],[Strike]]),VALUE(data[[#This Row],[Cnt Price]]),Details!$B$6,data[[#This Row],[T]],Details!$B$7)</f>
        <v>0.26762431093532968</v>
      </c>
      <c r="AO214" s="7">
        <f t="array" aca="1" ref="AO214:AS214" ca="1">bsGreeks(data[[#This Row],[OptType]],Details!$B$4,VALUE(data[[#This Row],[Strike]]),Details!$B$6,data[[#This Row],[T]],AN214,Details!$B$7)</f>
        <v>0.25869833349203952</v>
      </c>
      <c r="AP214" s="7">
        <f ca="1"/>
        <v>9.0573924612587003E-4</v>
      </c>
      <c r="AQ214" s="6">
        <f ca="1"/>
        <v>4.3130817743489347</v>
      </c>
      <c r="AR214" s="6">
        <f ca="1"/>
        <v>-140.05462192295727</v>
      </c>
      <c r="AS214" s="6">
        <f ca="1"/>
        <v>110.73893246247604</v>
      </c>
      <c r="AU214" s="60">
        <f ca="1"/>
        <v>53.223063869318139</v>
      </c>
      <c r="AV214" s="61" t="str">
        <f ca="1"/>
        <v>c</v>
      </c>
      <c r="AW214" s="61">
        <f ca="1"/>
        <v>0.26762431093532968</v>
      </c>
      <c r="AX214" s="62">
        <f ca="1"/>
        <v>0.25869833349203952</v>
      </c>
      <c r="AY214" s="62">
        <f ca="1"/>
        <v>9.0573924612587003E-4</v>
      </c>
      <c r="AZ214" s="62">
        <f ca="1"/>
        <v>4.3130817743489347</v>
      </c>
      <c r="BA214" s="60">
        <f ca="1"/>
        <v>-140.05462192295727</v>
      </c>
      <c r="BB214" s="60">
        <f ca="1"/>
        <v>110.73893246247604</v>
      </c>
    </row>
    <row r="215" spans="1:54" x14ac:dyDescent="0.3">
      <c r="A215" t="s">
        <v>688</v>
      </c>
      <c r="B215" t="s">
        <v>689</v>
      </c>
      <c r="C215" t="s">
        <v>57</v>
      </c>
      <c r="D215" t="s">
        <v>85</v>
      </c>
      <c r="E215" t="s">
        <v>84</v>
      </c>
      <c r="F215" t="s">
        <v>119</v>
      </c>
      <c r="G215" t="s">
        <v>1096</v>
      </c>
      <c r="H215" t="s">
        <v>1360</v>
      </c>
      <c r="I215" t="s">
        <v>1311</v>
      </c>
      <c r="J215" t="s">
        <v>106</v>
      </c>
      <c r="K215" t="s">
        <v>160</v>
      </c>
      <c r="L215" t="s">
        <v>307</v>
      </c>
      <c r="M215" t="s">
        <v>1068</v>
      </c>
      <c r="N215" t="s">
        <v>56</v>
      </c>
      <c r="O215" t="s">
        <v>36</v>
      </c>
      <c r="P215" t="s">
        <v>84</v>
      </c>
      <c r="Q215" t="s">
        <v>84</v>
      </c>
      <c r="V215" t="s">
        <v>49</v>
      </c>
      <c r="W215" t="s">
        <v>84</v>
      </c>
      <c r="X215" t="s">
        <v>1105</v>
      </c>
      <c r="Y215" t="s">
        <v>1311</v>
      </c>
      <c r="Z215" t="s">
        <v>84</v>
      </c>
      <c r="AA215" t="s">
        <v>84</v>
      </c>
      <c r="AB215" t="s">
        <v>36</v>
      </c>
      <c r="AC215" t="s">
        <v>1340</v>
      </c>
      <c r="AD215" t="s">
        <v>36</v>
      </c>
      <c r="AE215" t="s">
        <v>1340</v>
      </c>
      <c r="AF215" t="s">
        <v>86</v>
      </c>
      <c r="AG215" t="s">
        <v>269</v>
      </c>
      <c r="AH215" t="s">
        <v>183</v>
      </c>
      <c r="AI215" s="4">
        <f ca="1">data[[#This Row],[Expiry Date]]-TODAY()</f>
        <v>42</v>
      </c>
      <c r="AJ215" s="4">
        <f ca="1">data[[#This Row],[Maturity ( Days)]]/365</f>
        <v>0.11506849315068493</v>
      </c>
      <c r="AK215" s="4" t="str">
        <f>IF(data[[#This Row],[Option Type]]="put","p","c")</f>
        <v>c</v>
      </c>
      <c r="AL215" s="4">
        <f>(data[[#This Row],[Bid]]*data[[#This Row],[Bidsize]]+data[[#This Row],[Ask]]*data[[#This Row],[Asksize]])/(data[[#This Row],[Bidsize]]+data[[#This Row],[Asksize]])</f>
        <v>51.266666666666666</v>
      </c>
      <c r="AM215" s="4">
        <f>VALUE(data[[#This Row],[Strike]])</f>
        <v>4200</v>
      </c>
      <c r="AN215" s="5">
        <f ca="1">impliedVol(data[[#This Row],[OptType]],Details!$B$4,VALUE(data[[#This Row],[Strike]]),VALUE(data[[#This Row],[Cnt Price]]),Details!$B$6,data[[#This Row],[T]],Details!$B$7)</f>
        <v>0.26580080225332275</v>
      </c>
      <c r="AO215" s="7">
        <f t="array" aca="1" ref="AO215:AS215" ca="1">bsGreeks(data[[#This Row],[OptType]],Details!$B$4,VALUE(data[[#This Row],[Strike]]),Details!$B$6,data[[#This Row],[T]],AN215,Details!$B$7)</f>
        <v>0.2486120928312916</v>
      </c>
      <c r="AP215" s="7">
        <f ca="1"/>
        <v>8.9310151610771113E-4</v>
      </c>
      <c r="AQ215" s="6">
        <f ca="1"/>
        <v>4.2239236344686137</v>
      </c>
      <c r="AR215" s="6">
        <f ca="1"/>
        <v>-136.19679594090402</v>
      </c>
      <c r="AS215" s="6">
        <f ca="1"/>
        <v>106.53132148412882</v>
      </c>
      <c r="AU215" s="60">
        <f ca="1"/>
        <v>50.191574526682984</v>
      </c>
      <c r="AV215" s="61" t="str">
        <f ca="1"/>
        <v>c</v>
      </c>
      <c r="AW215" s="61">
        <f ca="1"/>
        <v>0.26580080225332275</v>
      </c>
      <c r="AX215" s="62">
        <f ca="1"/>
        <v>0.2486120928312916</v>
      </c>
      <c r="AY215" s="62">
        <f ca="1"/>
        <v>8.9310151610771113E-4</v>
      </c>
      <c r="AZ215" s="62">
        <f ca="1"/>
        <v>4.2239236344686137</v>
      </c>
      <c r="BA215" s="60">
        <f ca="1"/>
        <v>-136.19679594090402</v>
      </c>
      <c r="BB215" s="60">
        <f ca="1"/>
        <v>106.53132148412882</v>
      </c>
    </row>
    <row r="216" spans="1:54" x14ac:dyDescent="0.3">
      <c r="A216" t="s">
        <v>471</v>
      </c>
      <c r="B216" t="s">
        <v>472</v>
      </c>
      <c r="C216" t="s">
        <v>29</v>
      </c>
      <c r="D216" t="s">
        <v>85</v>
      </c>
      <c r="E216" t="s">
        <v>84</v>
      </c>
      <c r="F216" t="s">
        <v>119</v>
      </c>
      <c r="G216" t="s">
        <v>1571</v>
      </c>
      <c r="H216" t="s">
        <v>1354</v>
      </c>
      <c r="I216" t="s">
        <v>1217</v>
      </c>
      <c r="J216" t="s">
        <v>101</v>
      </c>
      <c r="K216" t="s">
        <v>101</v>
      </c>
      <c r="L216" t="s">
        <v>307</v>
      </c>
      <c r="M216" t="s">
        <v>98</v>
      </c>
      <c r="N216" t="s">
        <v>56</v>
      </c>
      <c r="O216" t="s">
        <v>36</v>
      </c>
      <c r="P216" t="s">
        <v>84</v>
      </c>
      <c r="Q216" t="s">
        <v>84</v>
      </c>
      <c r="V216" t="s">
        <v>49</v>
      </c>
      <c r="W216" t="s">
        <v>84</v>
      </c>
      <c r="X216" t="s">
        <v>1105</v>
      </c>
      <c r="Y216" t="s">
        <v>1217</v>
      </c>
      <c r="Z216" t="s">
        <v>84</v>
      </c>
      <c r="AA216" t="s">
        <v>84</v>
      </c>
      <c r="AB216" t="s">
        <v>36</v>
      </c>
      <c r="AC216" t="s">
        <v>1340</v>
      </c>
      <c r="AD216" t="s">
        <v>36</v>
      </c>
      <c r="AE216" t="s">
        <v>1340</v>
      </c>
      <c r="AF216" t="s">
        <v>86</v>
      </c>
      <c r="AG216" t="s">
        <v>269</v>
      </c>
      <c r="AH216" t="s">
        <v>183</v>
      </c>
      <c r="AI216" s="4">
        <f ca="1">data[[#This Row],[Expiry Date]]-TODAY()</f>
        <v>42</v>
      </c>
      <c r="AJ216" s="4">
        <f ca="1">data[[#This Row],[Maturity ( Days)]]/365</f>
        <v>0.11506849315068493</v>
      </c>
      <c r="AK216" s="4" t="str">
        <f>IF(data[[#This Row],[Option Type]]="put","p","c")</f>
        <v>p</v>
      </c>
      <c r="AL216" s="4">
        <f>(data[[#This Row],[Bid]]*data[[#This Row],[Bidsize]]+data[[#This Row],[Ask]]*data[[#This Row],[Asksize]])/(data[[#This Row],[Bidsize]]+data[[#This Row],[Asksize]])</f>
        <v>279.60000000000002</v>
      </c>
      <c r="AM216" s="4">
        <f>VALUE(data[[#This Row],[Strike]])</f>
        <v>4200</v>
      </c>
      <c r="AN216" s="5">
        <f ca="1">impliedVol(data[[#This Row],[OptType]],Details!$B$4,VALUE(data[[#This Row],[Strike]]),VALUE(data[[#This Row],[Cnt Price]]),Details!$B$6,data[[#This Row],[T]],Details!$B$7)</f>
        <v>0.18186935382732256</v>
      </c>
      <c r="AO216" s="7">
        <f t="array" aca="1" ref="AO216:AS216" ca="1">bsGreeks(data[[#This Row],[OptType]],Details!$B$4,VALUE(data[[#This Row],[Strike]]),Details!$B$6,data[[#This Row],[T]],AN216,Details!$B$7)</f>
        <v>-0.84783574445511145</v>
      </c>
      <c r="AP216" s="7">
        <f ca="1"/>
        <v>9.6973393576369241E-4</v>
      </c>
      <c r="AQ216" s="6">
        <f ca="1"/>
        <v>3.1381309458489017</v>
      </c>
      <c r="AR216" s="6">
        <f ca="1"/>
        <v>-58.037699085363009</v>
      </c>
      <c r="AS216" s="6">
        <f ca="1"/>
        <v>-415.58738976278391</v>
      </c>
      <c r="AU216" s="60">
        <f ca="1"/>
        <v>283.74827909321994</v>
      </c>
      <c r="AV216" s="61" t="str">
        <f ca="1"/>
        <v>p</v>
      </c>
      <c r="AW216" s="61">
        <f ca="1"/>
        <v>0.18186935382732256</v>
      </c>
      <c r="AX216" s="62">
        <f ca="1"/>
        <v>-0.84783574445511145</v>
      </c>
      <c r="AY216" s="62">
        <f ca="1"/>
        <v>9.6973393576369241E-4</v>
      </c>
      <c r="AZ216" s="62">
        <f ca="1"/>
        <v>3.1381309458489017</v>
      </c>
      <c r="BA216" s="60">
        <f ca="1"/>
        <v>-58.037699085363009</v>
      </c>
      <c r="BB216" s="60">
        <f ca="1"/>
        <v>-415.58738976278391</v>
      </c>
    </row>
    <row r="217" spans="1:54" x14ac:dyDescent="0.3">
      <c r="A217" t="s">
        <v>690</v>
      </c>
      <c r="B217" t="s">
        <v>691</v>
      </c>
      <c r="C217" t="s">
        <v>57</v>
      </c>
      <c r="D217" t="s">
        <v>85</v>
      </c>
      <c r="E217" t="s">
        <v>84</v>
      </c>
      <c r="F217" t="s">
        <v>212</v>
      </c>
      <c r="G217" t="s">
        <v>1213</v>
      </c>
      <c r="H217" t="s">
        <v>1349</v>
      </c>
      <c r="I217" t="s">
        <v>1312</v>
      </c>
      <c r="J217" t="s">
        <v>105</v>
      </c>
      <c r="K217" t="s">
        <v>241</v>
      </c>
      <c r="L217" t="s">
        <v>307</v>
      </c>
      <c r="M217" t="s">
        <v>96</v>
      </c>
      <c r="N217" t="s">
        <v>56</v>
      </c>
      <c r="O217" t="s">
        <v>36</v>
      </c>
      <c r="P217" t="s">
        <v>84</v>
      </c>
      <c r="Q217" t="s">
        <v>84</v>
      </c>
      <c r="V217" t="s">
        <v>49</v>
      </c>
      <c r="W217" t="s">
        <v>84</v>
      </c>
      <c r="X217" t="s">
        <v>1105</v>
      </c>
      <c r="Y217" t="s">
        <v>1312</v>
      </c>
      <c r="Z217" t="s">
        <v>84</v>
      </c>
      <c r="AA217" t="s">
        <v>84</v>
      </c>
      <c r="AB217" t="s">
        <v>36</v>
      </c>
      <c r="AC217" t="s">
        <v>1340</v>
      </c>
      <c r="AD217" t="s">
        <v>36</v>
      </c>
      <c r="AE217" t="s">
        <v>1340</v>
      </c>
      <c r="AF217" t="s">
        <v>86</v>
      </c>
      <c r="AG217" t="s">
        <v>269</v>
      </c>
      <c r="AH217" t="s">
        <v>183</v>
      </c>
      <c r="AI217" s="4">
        <f ca="1">data[[#This Row],[Expiry Date]]-TODAY()</f>
        <v>42</v>
      </c>
      <c r="AJ217" s="4">
        <f ca="1">data[[#This Row],[Maturity ( Days)]]/365</f>
        <v>0.11506849315068493</v>
      </c>
      <c r="AK217" s="4" t="str">
        <f>IF(data[[#This Row],[Option Type]]="put","p","c")</f>
        <v>c</v>
      </c>
      <c r="AL217" s="4">
        <f>(data[[#This Row],[Bid]]*data[[#This Row],[Bidsize]]+data[[#This Row],[Ask]]*data[[#This Row],[Asksize]])/(data[[#This Row],[Bidsize]]+data[[#This Row],[Asksize]])</f>
        <v>48.361016949152543</v>
      </c>
      <c r="AM217" s="4">
        <f>VALUE(data[[#This Row],[Strike]])</f>
        <v>4210</v>
      </c>
      <c r="AN217" s="5">
        <f ca="1">impliedVol(data[[#This Row],[OptType]],Details!$B$4,VALUE(data[[#This Row],[Strike]]),VALUE(data[[#This Row],[Cnt Price]]),Details!$B$6,data[[#This Row],[T]],Details!$B$7)</f>
        <v>0.26411903011303806</v>
      </c>
      <c r="AO217" s="7">
        <f t="array" aca="1" ref="AO217:AS217" ca="1">bsGreeks(data[[#This Row],[OptType]],Details!$B$4,VALUE(data[[#This Row],[Strike]]),Details!$B$6,data[[#This Row],[T]],AN217,Details!$B$7)</f>
        <v>0.23875840769444717</v>
      </c>
      <c r="AP217" s="7">
        <f ca="1"/>
        <v>8.7937463512653745E-4</v>
      </c>
      <c r="AQ217" s="6">
        <f ca="1"/>
        <v>4.1326875531596565</v>
      </c>
      <c r="AR217" s="6">
        <f ca="1"/>
        <v>-132.38415686920717</v>
      </c>
      <c r="AS217" s="6">
        <f ca="1"/>
        <v>102.40953806563324</v>
      </c>
      <c r="AU217" s="60">
        <f ca="1"/>
        <v>47.327305862462708</v>
      </c>
      <c r="AV217" s="61" t="str">
        <f ca="1"/>
        <v>c</v>
      </c>
      <c r="AW217" s="61">
        <f ca="1"/>
        <v>0.26411903011303806</v>
      </c>
      <c r="AX217" s="62">
        <f ca="1"/>
        <v>0.23875840769444717</v>
      </c>
      <c r="AY217" s="62">
        <f ca="1"/>
        <v>8.7937463512653745E-4</v>
      </c>
      <c r="AZ217" s="62">
        <f ca="1"/>
        <v>4.1326875531596565</v>
      </c>
      <c r="BA217" s="60">
        <f ca="1"/>
        <v>-132.38415686920717</v>
      </c>
      <c r="BB217" s="60">
        <f ca="1"/>
        <v>102.40953806563324</v>
      </c>
    </row>
    <row r="218" spans="1:54" x14ac:dyDescent="0.3">
      <c r="A218" t="s">
        <v>692</v>
      </c>
      <c r="B218" t="s">
        <v>693</v>
      </c>
      <c r="C218" t="s">
        <v>57</v>
      </c>
      <c r="D218" t="s">
        <v>85</v>
      </c>
      <c r="E218" t="s">
        <v>84</v>
      </c>
      <c r="F218" t="s">
        <v>213</v>
      </c>
      <c r="G218" t="s">
        <v>1347</v>
      </c>
      <c r="H218" t="s">
        <v>1072</v>
      </c>
      <c r="I218" t="s">
        <v>282</v>
      </c>
      <c r="J218" t="s">
        <v>144</v>
      </c>
      <c r="K218" t="s">
        <v>1139</v>
      </c>
      <c r="L218" t="s">
        <v>307</v>
      </c>
      <c r="M218" t="s">
        <v>114</v>
      </c>
      <c r="N218" t="s">
        <v>56</v>
      </c>
      <c r="O218" t="s">
        <v>36</v>
      </c>
      <c r="P218" t="s">
        <v>84</v>
      </c>
      <c r="Q218" t="s">
        <v>84</v>
      </c>
      <c r="V218" t="s">
        <v>49</v>
      </c>
      <c r="W218" t="s">
        <v>84</v>
      </c>
      <c r="X218" t="s">
        <v>818</v>
      </c>
      <c r="Y218" t="s">
        <v>282</v>
      </c>
      <c r="Z218" t="s">
        <v>84</v>
      </c>
      <c r="AA218" t="s">
        <v>84</v>
      </c>
      <c r="AB218" t="s">
        <v>36</v>
      </c>
      <c r="AC218" t="s">
        <v>1340</v>
      </c>
      <c r="AD218" t="s">
        <v>36</v>
      </c>
      <c r="AE218" t="s">
        <v>1340</v>
      </c>
      <c r="AF218" t="s">
        <v>86</v>
      </c>
      <c r="AG218" t="s">
        <v>269</v>
      </c>
      <c r="AH218" t="s">
        <v>183</v>
      </c>
      <c r="AI218" s="4">
        <f ca="1">data[[#This Row],[Expiry Date]]-TODAY()</f>
        <v>42</v>
      </c>
      <c r="AJ218" s="4">
        <f ca="1">data[[#This Row],[Maturity ( Days)]]/365</f>
        <v>0.11506849315068493</v>
      </c>
      <c r="AK218" s="4" t="str">
        <f>IF(data[[#This Row],[Option Type]]="put","p","c")</f>
        <v>c</v>
      </c>
      <c r="AL218" s="4">
        <f>(data[[#This Row],[Bid]]*data[[#This Row],[Bidsize]]+data[[#This Row],[Ask]]*data[[#This Row],[Asksize]])/(data[[#This Row],[Bidsize]]+data[[#This Row],[Asksize]])</f>
        <v>45.481632653061226</v>
      </c>
      <c r="AM218" s="4">
        <f>VALUE(data[[#This Row],[Strike]])</f>
        <v>4220</v>
      </c>
      <c r="AN218" s="5">
        <f ca="1">impliedVol(data[[#This Row],[OptType]],Details!$B$4,VALUE(data[[#This Row],[Strike]]),VALUE(data[[#This Row],[Cnt Price]]),Details!$B$6,data[[#This Row],[T]],Details!$B$7)</f>
        <v>0.26224214253312589</v>
      </c>
      <c r="AO218" s="7">
        <f t="array" aca="1" ref="AO218:AS218" ca="1">bsGreeks(data[[#This Row],[OptType]],Details!$B$4,VALUE(data[[#This Row],[Strike]]),Details!$B$6,data[[#This Row],[T]],AN218,Details!$B$7)</f>
        <v>0.22883327677265558</v>
      </c>
      <c r="AP218" s="7">
        <f ca="1"/>
        <v>8.6506915291142505E-4</v>
      </c>
      <c r="AQ218" s="6">
        <f ca="1"/>
        <v>4.0365678259178512</v>
      </c>
      <c r="AR218" s="6">
        <f ca="1"/>
        <v>-128.36086952930967</v>
      </c>
      <c r="AS218" s="6">
        <f ca="1"/>
        <v>98.252421833037573</v>
      </c>
      <c r="AU218" s="60">
        <f ca="1"/>
        <v>44.489662058920317</v>
      </c>
      <c r="AV218" s="61" t="str">
        <f ca="1"/>
        <v>c</v>
      </c>
      <c r="AW218" s="61">
        <f ca="1"/>
        <v>0.26224214253312589</v>
      </c>
      <c r="AX218" s="62">
        <f ca="1"/>
        <v>0.22883327677265558</v>
      </c>
      <c r="AY218" s="62">
        <f ca="1"/>
        <v>8.6506915291142505E-4</v>
      </c>
      <c r="AZ218" s="62">
        <f ca="1"/>
        <v>4.0365678259178512</v>
      </c>
      <c r="BA218" s="60">
        <f ca="1"/>
        <v>-128.36086952930967</v>
      </c>
      <c r="BB218" s="60">
        <f ca="1"/>
        <v>98.252421833037573</v>
      </c>
    </row>
    <row r="219" spans="1:54" x14ac:dyDescent="0.3">
      <c r="A219" t="s">
        <v>477</v>
      </c>
      <c r="B219" t="s">
        <v>478</v>
      </c>
      <c r="C219" t="s">
        <v>29</v>
      </c>
      <c r="D219" t="s">
        <v>85</v>
      </c>
      <c r="E219" t="s">
        <v>84</v>
      </c>
      <c r="F219" t="s">
        <v>120</v>
      </c>
      <c r="G219" t="s">
        <v>1058</v>
      </c>
      <c r="H219" t="s">
        <v>1138</v>
      </c>
      <c r="I219" t="s">
        <v>934</v>
      </c>
      <c r="J219" t="s">
        <v>101</v>
      </c>
      <c r="K219" t="s">
        <v>101</v>
      </c>
      <c r="L219" t="s">
        <v>307</v>
      </c>
      <c r="M219" t="s">
        <v>94</v>
      </c>
      <c r="N219" t="s">
        <v>56</v>
      </c>
      <c r="O219" t="s">
        <v>36</v>
      </c>
      <c r="P219" t="s">
        <v>84</v>
      </c>
      <c r="Q219" t="s">
        <v>84</v>
      </c>
      <c r="V219" t="s">
        <v>49</v>
      </c>
      <c r="W219" t="s">
        <v>84</v>
      </c>
      <c r="X219" t="s">
        <v>868</v>
      </c>
      <c r="Y219" t="s">
        <v>934</v>
      </c>
      <c r="Z219" t="s">
        <v>84</v>
      </c>
      <c r="AA219" t="s">
        <v>84</v>
      </c>
      <c r="AB219" t="s">
        <v>36</v>
      </c>
      <c r="AC219" t="s">
        <v>1340</v>
      </c>
      <c r="AD219" t="s">
        <v>36</v>
      </c>
      <c r="AE219" t="s">
        <v>1340</v>
      </c>
      <c r="AF219" t="s">
        <v>86</v>
      </c>
      <c r="AG219" t="s">
        <v>269</v>
      </c>
      <c r="AH219" t="s">
        <v>183</v>
      </c>
      <c r="AI219" s="4">
        <f ca="1">data[[#This Row],[Expiry Date]]-TODAY()</f>
        <v>42</v>
      </c>
      <c r="AJ219" s="4">
        <f ca="1">data[[#This Row],[Maturity ( Days)]]/365</f>
        <v>0.11506849315068493</v>
      </c>
      <c r="AK219" s="4" t="str">
        <f>IF(data[[#This Row],[Option Type]]="put","p","c")</f>
        <v>p</v>
      </c>
      <c r="AL219" s="4">
        <f>(data[[#This Row],[Bid]]*data[[#This Row],[Bidsize]]+data[[#This Row],[Ask]]*data[[#This Row],[Asksize]])/(data[[#This Row],[Bidsize]]+data[[#This Row],[Asksize]])</f>
        <v>297.5</v>
      </c>
      <c r="AM219" s="4">
        <f>VALUE(data[[#This Row],[Strike]])</f>
        <v>4225</v>
      </c>
      <c r="AN219" s="5">
        <f ca="1">impliedVol(data[[#This Row],[OptType]],Details!$B$4,VALUE(data[[#This Row],[Strike]]),VALUE(data[[#This Row],[Cnt Price]]),Details!$B$6,data[[#This Row],[T]],Details!$B$7)</f>
        <v>0.16817837902628033</v>
      </c>
      <c r="AO219" s="7">
        <f t="array" aca="1" ref="AO219:AS219" ca="1">bsGreeks(data[[#This Row],[OptType]],Details!$B$4,VALUE(data[[#This Row],[Strike]]),Details!$B$6,data[[#This Row],[T]],AN219,Details!$B$7)</f>
        <v>-0.88870662629759156</v>
      </c>
      <c r="AP219" s="7">
        <f ca="1"/>
        <v>8.4475134598664149E-4</v>
      </c>
      <c r="AQ219" s="6">
        <f ca="1"/>
        <v>2.5278889908128259</v>
      </c>
      <c r="AR219" s="6">
        <f ca="1"/>
        <v>-40.215452189276441</v>
      </c>
      <c r="AS219" s="6">
        <f ca="1"/>
        <v>-436.13023488181278</v>
      </c>
      <c r="AU219" s="60">
        <f ca="1"/>
        <v>301.85509686153546</v>
      </c>
      <c r="AV219" s="61" t="str">
        <f ca="1"/>
        <v>p</v>
      </c>
      <c r="AW219" s="61">
        <f ca="1"/>
        <v>0.16817837902628033</v>
      </c>
      <c r="AX219" s="62">
        <f ca="1"/>
        <v>-0.88870662629759156</v>
      </c>
      <c r="AY219" s="62">
        <f ca="1"/>
        <v>8.4475134598664149E-4</v>
      </c>
      <c r="AZ219" s="62">
        <f ca="1"/>
        <v>2.5278889908128259</v>
      </c>
      <c r="BA219" s="60">
        <f ca="1"/>
        <v>-40.215452189276441</v>
      </c>
      <c r="BB219" s="60">
        <f ca="1"/>
        <v>-436.13023488181278</v>
      </c>
    </row>
    <row r="220" spans="1:54" x14ac:dyDescent="0.3">
      <c r="A220" t="s">
        <v>479</v>
      </c>
      <c r="B220" t="s">
        <v>480</v>
      </c>
      <c r="C220" t="s">
        <v>57</v>
      </c>
      <c r="D220" t="s">
        <v>85</v>
      </c>
      <c r="E220" t="s">
        <v>84</v>
      </c>
      <c r="F220" t="s">
        <v>120</v>
      </c>
      <c r="G220" t="s">
        <v>937</v>
      </c>
      <c r="H220" t="s">
        <v>1003</v>
      </c>
      <c r="I220" t="s">
        <v>827</v>
      </c>
      <c r="J220" t="s">
        <v>144</v>
      </c>
      <c r="K220" t="s">
        <v>144</v>
      </c>
      <c r="L220" t="s">
        <v>307</v>
      </c>
      <c r="M220" t="s">
        <v>109</v>
      </c>
      <c r="N220" t="s">
        <v>56</v>
      </c>
      <c r="O220" t="s">
        <v>36</v>
      </c>
      <c r="P220" t="s">
        <v>84</v>
      </c>
      <c r="Q220" t="s">
        <v>84</v>
      </c>
      <c r="V220" t="s">
        <v>49</v>
      </c>
      <c r="W220" t="s">
        <v>84</v>
      </c>
      <c r="X220" t="s">
        <v>1105</v>
      </c>
      <c r="Y220" t="s">
        <v>827</v>
      </c>
      <c r="Z220" t="s">
        <v>84</v>
      </c>
      <c r="AA220" t="s">
        <v>84</v>
      </c>
      <c r="AB220" t="s">
        <v>36</v>
      </c>
      <c r="AC220" t="s">
        <v>1340</v>
      </c>
      <c r="AD220" t="s">
        <v>36</v>
      </c>
      <c r="AE220" t="s">
        <v>1340</v>
      </c>
      <c r="AF220" t="s">
        <v>86</v>
      </c>
      <c r="AG220" t="s">
        <v>269</v>
      </c>
      <c r="AH220" t="s">
        <v>183</v>
      </c>
      <c r="AI220" s="4">
        <f ca="1">data[[#This Row],[Expiry Date]]-TODAY()</f>
        <v>42</v>
      </c>
      <c r="AJ220" s="4">
        <f ca="1">data[[#This Row],[Maturity ( Days)]]/365</f>
        <v>0.11506849315068493</v>
      </c>
      <c r="AK220" s="4" t="str">
        <f>IF(data[[#This Row],[Option Type]]="put","p","c")</f>
        <v>c</v>
      </c>
      <c r="AL220" s="4">
        <f>(data[[#This Row],[Bid]]*data[[#This Row],[Bidsize]]+data[[#This Row],[Ask]]*data[[#This Row],[Asksize]])/(data[[#This Row],[Bidsize]]+data[[#This Row],[Asksize]])</f>
        <v>44</v>
      </c>
      <c r="AM220" s="4">
        <f>VALUE(data[[#This Row],[Strike]])</f>
        <v>4225</v>
      </c>
      <c r="AN220" s="5">
        <f ca="1">impliedVol(data[[#This Row],[OptType]],Details!$B$4,VALUE(data[[#This Row],[Strike]]),VALUE(data[[#This Row],[Cnt Price]]),Details!$B$6,data[[#This Row],[T]],Details!$B$7)</f>
        <v>0.26109802638000379</v>
      </c>
      <c r="AO220" s="7">
        <f t="array" aca="1" ref="AO220:AS220" ca="1">bsGreeks(data[[#This Row],[OptType]],Details!$B$4,VALUE(data[[#This Row],[Strike]]),Details!$B$6,data[[#This Row],[T]],AN220,Details!$B$7)</f>
        <v>0.22371466829492259</v>
      </c>
      <c r="AP220" s="7">
        <f ca="1"/>
        <v>8.5782629760896504E-4</v>
      </c>
      <c r="AQ220" s="6">
        <f ca="1"/>
        <v>3.9853079794719788</v>
      </c>
      <c r="AR220" s="6">
        <f ca="1"/>
        <v>-126.16664324209286</v>
      </c>
      <c r="AS220" s="6">
        <f ca="1"/>
        <v>96.108122564766163</v>
      </c>
      <c r="AU220" s="60">
        <f ca="1"/>
        <v>43.029558323399897</v>
      </c>
      <c r="AV220" s="61" t="str">
        <f ca="1"/>
        <v>c</v>
      </c>
      <c r="AW220" s="61">
        <f ca="1"/>
        <v>0.26109802638000379</v>
      </c>
      <c r="AX220" s="62">
        <f ca="1"/>
        <v>0.22371466829492259</v>
      </c>
      <c r="AY220" s="62">
        <f ca="1"/>
        <v>8.5782629760896504E-4</v>
      </c>
      <c r="AZ220" s="62">
        <f ca="1"/>
        <v>3.9853079794719788</v>
      </c>
      <c r="BA220" s="60">
        <f ca="1"/>
        <v>-126.16664324209286</v>
      </c>
      <c r="BB220" s="60">
        <f ca="1"/>
        <v>96.108122564766163</v>
      </c>
    </row>
    <row r="221" spans="1:54" x14ac:dyDescent="0.3">
      <c r="A221" t="s">
        <v>694</v>
      </c>
      <c r="B221" t="s">
        <v>695</v>
      </c>
      <c r="C221" t="s">
        <v>57</v>
      </c>
      <c r="D221" t="s">
        <v>85</v>
      </c>
      <c r="E221" t="s">
        <v>84</v>
      </c>
      <c r="F221" t="s">
        <v>201</v>
      </c>
      <c r="G221" t="s">
        <v>1378</v>
      </c>
      <c r="H221" t="s">
        <v>1004</v>
      </c>
      <c r="I221" t="s">
        <v>1171</v>
      </c>
      <c r="J221" t="s">
        <v>1110</v>
      </c>
      <c r="K221" t="s">
        <v>911</v>
      </c>
      <c r="L221" t="s">
        <v>307</v>
      </c>
      <c r="M221" t="s">
        <v>101</v>
      </c>
      <c r="N221" t="s">
        <v>56</v>
      </c>
      <c r="O221" t="s">
        <v>36</v>
      </c>
      <c r="P221" t="s">
        <v>84</v>
      </c>
      <c r="Q221" t="s">
        <v>84</v>
      </c>
      <c r="V221" t="s">
        <v>49</v>
      </c>
      <c r="W221" t="s">
        <v>84</v>
      </c>
      <c r="X221" t="s">
        <v>1158</v>
      </c>
      <c r="Y221" t="s">
        <v>1171</v>
      </c>
      <c r="Z221" t="s">
        <v>84</v>
      </c>
      <c r="AA221" t="s">
        <v>84</v>
      </c>
      <c r="AB221" t="s">
        <v>36</v>
      </c>
      <c r="AC221" t="s">
        <v>1340</v>
      </c>
      <c r="AD221" t="s">
        <v>36</v>
      </c>
      <c r="AE221" t="s">
        <v>1340</v>
      </c>
      <c r="AF221" t="s">
        <v>86</v>
      </c>
      <c r="AG221" t="s">
        <v>269</v>
      </c>
      <c r="AH221" t="s">
        <v>183</v>
      </c>
      <c r="AI221" s="4">
        <f ca="1">data[[#This Row],[Expiry Date]]-TODAY()</f>
        <v>42</v>
      </c>
      <c r="AJ221" s="4">
        <f ca="1">data[[#This Row],[Maturity ( Days)]]/365</f>
        <v>0.11506849315068493</v>
      </c>
      <c r="AK221" s="4" t="str">
        <f>IF(data[[#This Row],[Option Type]]="put","p","c")</f>
        <v>c</v>
      </c>
      <c r="AL221" s="4">
        <f>(data[[#This Row],[Bid]]*data[[#This Row],[Bidsize]]+data[[#This Row],[Ask]]*data[[#This Row],[Asksize]])/(data[[#This Row],[Bidsize]]+data[[#This Row],[Asksize]])</f>
        <v>42.780357142857142</v>
      </c>
      <c r="AM221" s="4">
        <f>VALUE(data[[#This Row],[Strike]])</f>
        <v>4230</v>
      </c>
      <c r="AN221" s="5">
        <f ca="1">impliedVol(data[[#This Row],[OptType]],Details!$B$4,VALUE(data[[#This Row],[Strike]]),VALUE(data[[#This Row],[Cnt Price]]),Details!$B$6,data[[#This Row],[T]],Details!$B$7)</f>
        <v>0.26053941197071706</v>
      </c>
      <c r="AO221" s="7">
        <f t="array" aca="1" ref="AO221:AS221" ca="1">bsGreeks(data[[#This Row],[OptType]],Details!$B$4,VALUE(data[[#This Row],[Strike]]),Details!$B$6,data[[#This Row],[T]],AN221,Details!$B$7)</f>
        <v>0.21919681564604954</v>
      </c>
      <c r="AP221" s="7">
        <f ca="1"/>
        <v>8.496967850041996E-4</v>
      </c>
      <c r="AQ221" s="6">
        <f ca="1"/>
        <v>3.9390940254925404</v>
      </c>
      <c r="AR221" s="6">
        <f ca="1"/>
        <v>-124.42285768733637</v>
      </c>
      <c r="AS221" s="6">
        <f ca="1"/>
        <v>94.205354299068162</v>
      </c>
      <c r="AU221" s="60">
        <f ca="1"/>
        <v>41.829036928450023</v>
      </c>
      <c r="AV221" s="61" t="str">
        <f ca="1"/>
        <v>c</v>
      </c>
      <c r="AW221" s="61">
        <f ca="1"/>
        <v>0.26053941197071706</v>
      </c>
      <c r="AX221" s="62">
        <f ca="1"/>
        <v>0.21919681564604954</v>
      </c>
      <c r="AY221" s="62">
        <f ca="1"/>
        <v>8.496967850041996E-4</v>
      </c>
      <c r="AZ221" s="62">
        <f ca="1"/>
        <v>3.9390940254925404</v>
      </c>
      <c r="BA221" s="60">
        <f ca="1"/>
        <v>-124.42285768733637</v>
      </c>
      <c r="BB221" s="60">
        <f ca="1"/>
        <v>94.205354299068162</v>
      </c>
    </row>
    <row r="222" spans="1:54" x14ac:dyDescent="0.3">
      <c r="A222" t="s">
        <v>696</v>
      </c>
      <c r="B222" t="s">
        <v>697</v>
      </c>
      <c r="C222" t="s">
        <v>57</v>
      </c>
      <c r="D222" t="s">
        <v>85</v>
      </c>
      <c r="E222" t="s">
        <v>84</v>
      </c>
      <c r="F222" t="s">
        <v>202</v>
      </c>
      <c r="G222" t="s">
        <v>1007</v>
      </c>
      <c r="H222" t="s">
        <v>1005</v>
      </c>
      <c r="I222" t="s">
        <v>1313</v>
      </c>
      <c r="J222" t="s">
        <v>834</v>
      </c>
      <c r="K222" t="s">
        <v>146</v>
      </c>
      <c r="L222" t="s">
        <v>307</v>
      </c>
      <c r="M222" t="s">
        <v>1155</v>
      </c>
      <c r="N222" t="s">
        <v>56</v>
      </c>
      <c r="O222" t="s">
        <v>36</v>
      </c>
      <c r="P222" t="s">
        <v>84</v>
      </c>
      <c r="Q222" t="s">
        <v>84</v>
      </c>
      <c r="V222" t="s">
        <v>49</v>
      </c>
      <c r="W222" t="s">
        <v>84</v>
      </c>
      <c r="X222" t="s">
        <v>1105</v>
      </c>
      <c r="Y222" t="s">
        <v>1313</v>
      </c>
      <c r="Z222" t="s">
        <v>84</v>
      </c>
      <c r="AA222" t="s">
        <v>84</v>
      </c>
      <c r="AB222" t="s">
        <v>36</v>
      </c>
      <c r="AC222" t="s">
        <v>1340</v>
      </c>
      <c r="AD222" t="s">
        <v>36</v>
      </c>
      <c r="AE222" t="s">
        <v>1340</v>
      </c>
      <c r="AF222" t="s">
        <v>86</v>
      </c>
      <c r="AG222" t="s">
        <v>269</v>
      </c>
      <c r="AH222" t="s">
        <v>183</v>
      </c>
      <c r="AI222" s="4">
        <f ca="1">data[[#This Row],[Expiry Date]]-TODAY()</f>
        <v>42</v>
      </c>
      <c r="AJ222" s="4">
        <f ca="1">data[[#This Row],[Maturity ( Days)]]/365</f>
        <v>0.11506849315068493</v>
      </c>
      <c r="AK222" s="4" t="str">
        <f>IF(data[[#This Row],[Option Type]]="put","p","c")</f>
        <v>c</v>
      </c>
      <c r="AL222" s="4">
        <f>(data[[#This Row],[Bid]]*data[[#This Row],[Bidsize]]+data[[#This Row],[Ask]]*data[[#This Row],[Asksize]])/(data[[#This Row],[Bidsize]]+data[[#This Row],[Asksize]])</f>
        <v>40.01525423728814</v>
      </c>
      <c r="AM222" s="4">
        <f>VALUE(data[[#This Row],[Strike]])</f>
        <v>4240</v>
      </c>
      <c r="AN222" s="5">
        <f ca="1">impliedVol(data[[#This Row],[OptType]],Details!$B$4,VALUE(data[[#This Row],[Strike]]),VALUE(data[[#This Row],[Cnt Price]]),Details!$B$6,data[[#This Row],[T]],Details!$B$7)</f>
        <v>0.25840215665608751</v>
      </c>
      <c r="AO222" s="7">
        <f t="array" aca="1" ref="AO222:AS222" ca="1">bsGreeks(data[[#This Row],[OptType]],Details!$B$4,VALUE(data[[#This Row],[Strike]]),Details!$B$6,data[[#This Row],[T]],AN222,Details!$B$7)</f>
        <v>0.20926205953310278</v>
      </c>
      <c r="AP222" s="7">
        <f ca="1"/>
        <v>8.3391412311576243E-4</v>
      </c>
      <c r="AQ222" s="6">
        <f ca="1"/>
        <v>3.8342145148218467</v>
      </c>
      <c r="AR222" s="6">
        <f ca="1"/>
        <v>-120.09478306067057</v>
      </c>
      <c r="AS222" s="6">
        <f ca="1"/>
        <v>90.030733353097901</v>
      </c>
      <c r="AU222" s="60">
        <f ca="1"/>
        <v>39.105864796340256</v>
      </c>
      <c r="AV222" s="61" t="str">
        <f ca="1"/>
        <v>c</v>
      </c>
      <c r="AW222" s="61">
        <f ca="1"/>
        <v>0.25840215665608751</v>
      </c>
      <c r="AX222" s="62">
        <f ca="1"/>
        <v>0.20926205953310278</v>
      </c>
      <c r="AY222" s="62">
        <f ca="1"/>
        <v>8.3391412311576243E-4</v>
      </c>
      <c r="AZ222" s="62">
        <f ca="1"/>
        <v>3.8342145148218467</v>
      </c>
      <c r="BA222" s="60">
        <f ca="1"/>
        <v>-120.09478306067057</v>
      </c>
      <c r="BB222" s="60">
        <f ca="1"/>
        <v>90.030733353097901</v>
      </c>
    </row>
    <row r="223" spans="1:54" x14ac:dyDescent="0.3">
      <c r="A223" t="s">
        <v>483</v>
      </c>
      <c r="B223" t="s">
        <v>484</v>
      </c>
      <c r="C223" t="s">
        <v>29</v>
      </c>
      <c r="D223" t="s">
        <v>94</v>
      </c>
      <c r="E223" t="s">
        <v>84</v>
      </c>
      <c r="F223" t="s">
        <v>202</v>
      </c>
      <c r="G223" t="s">
        <v>1413</v>
      </c>
      <c r="H223" t="s">
        <v>1572</v>
      </c>
      <c r="I223" t="s">
        <v>485</v>
      </c>
      <c r="J223" t="s">
        <v>101</v>
      </c>
      <c r="K223" t="s">
        <v>101</v>
      </c>
      <c r="L223" t="s">
        <v>307</v>
      </c>
      <c r="M223" t="s">
        <v>101</v>
      </c>
      <c r="N223" t="s">
        <v>56</v>
      </c>
      <c r="O223" t="s">
        <v>36</v>
      </c>
      <c r="P223" t="s">
        <v>84</v>
      </c>
      <c r="Q223" t="s">
        <v>84</v>
      </c>
      <c r="V223" t="s">
        <v>49</v>
      </c>
      <c r="W223" t="s">
        <v>84</v>
      </c>
      <c r="X223" t="s">
        <v>274</v>
      </c>
      <c r="Y223" t="s">
        <v>485</v>
      </c>
      <c r="Z223" t="s">
        <v>84</v>
      </c>
      <c r="AA223" t="s">
        <v>84</v>
      </c>
      <c r="AB223" t="s">
        <v>36</v>
      </c>
      <c r="AC223" t="s">
        <v>1340</v>
      </c>
      <c r="AD223" t="s">
        <v>36</v>
      </c>
      <c r="AE223" t="s">
        <v>1340</v>
      </c>
      <c r="AF223" t="s">
        <v>86</v>
      </c>
      <c r="AG223" t="s">
        <v>269</v>
      </c>
      <c r="AH223" t="s">
        <v>183</v>
      </c>
      <c r="AI223" s="4">
        <f ca="1">data[[#This Row],[Expiry Date]]-TODAY()</f>
        <v>42</v>
      </c>
      <c r="AJ223" s="4">
        <f ca="1">data[[#This Row],[Maturity ( Days)]]/365</f>
        <v>0.11506849315068493</v>
      </c>
      <c r="AK223" s="4" t="str">
        <f>IF(data[[#This Row],[Option Type]]="put","p","c")</f>
        <v>p</v>
      </c>
      <c r="AL223" s="4">
        <f>(data[[#This Row],[Bid]]*data[[#This Row],[Bidsize]]+data[[#This Row],[Ask]]*data[[#This Row],[Asksize]])/(data[[#This Row],[Bidsize]]+data[[#This Row],[Asksize]])</f>
        <v>308.60000000000002</v>
      </c>
      <c r="AM223" s="4">
        <f>VALUE(data[[#This Row],[Strike]])</f>
        <v>4240</v>
      </c>
      <c r="AN223" s="5">
        <f ca="1">impliedVol(data[[#This Row],[OptType]],Details!$B$4,VALUE(data[[#This Row],[Strike]]),VALUE(data[[#This Row],[Cnt Price]]),Details!$B$6,data[[#This Row],[T]],Details!$B$7)</f>
        <v>0.15768228256583797</v>
      </c>
      <c r="AO223" s="7">
        <f t="array" aca="1" ref="AO223:AS223" ca="1">bsGreeks(data[[#This Row],[OptType]],Details!$B$4,VALUE(data[[#This Row],[Strike]]),Details!$B$6,data[[#This Row],[T]],AN223,Details!$B$7)</f>
        <v>-0.91478173915575534</v>
      </c>
      <c r="AP223" s="7">
        <f ca="1"/>
        <v>7.4080949251787462E-4</v>
      </c>
      <c r="AQ223" s="6">
        <f ca="1"/>
        <v>2.0784921112114874</v>
      </c>
      <c r="AR223" s="6">
        <f ca="1"/>
        <v>-28.309290335027136</v>
      </c>
      <c r="AS223" s="6">
        <f ca="1"/>
        <v>-449.19952325956871</v>
      </c>
      <c r="AU223" s="60">
        <f ca="1"/>
        <v>313.08692489907116</v>
      </c>
      <c r="AV223" s="61" t="str">
        <f ca="1"/>
        <v>p</v>
      </c>
      <c r="AW223" s="61">
        <f ca="1"/>
        <v>0.15768228256583797</v>
      </c>
      <c r="AX223" s="62">
        <f ca="1"/>
        <v>-0.91478173915575534</v>
      </c>
      <c r="AY223" s="62">
        <f ca="1"/>
        <v>7.4080949251787462E-4</v>
      </c>
      <c r="AZ223" s="62">
        <f ca="1"/>
        <v>2.0784921112114874</v>
      </c>
      <c r="BA223" s="60">
        <f ca="1"/>
        <v>-28.309290335027136</v>
      </c>
      <c r="BB223" s="60">
        <f ca="1"/>
        <v>-449.19952325956871</v>
      </c>
    </row>
    <row r="224" spans="1:54" x14ac:dyDescent="0.3">
      <c r="A224" t="s">
        <v>698</v>
      </c>
      <c r="B224" t="s">
        <v>699</v>
      </c>
      <c r="C224" t="s">
        <v>57</v>
      </c>
      <c r="D224" t="s">
        <v>85</v>
      </c>
      <c r="E224" t="s">
        <v>84</v>
      </c>
      <c r="F224" t="s">
        <v>122</v>
      </c>
      <c r="G224" t="s">
        <v>1010</v>
      </c>
      <c r="H224" t="s">
        <v>1006</v>
      </c>
      <c r="I224" t="s">
        <v>1315</v>
      </c>
      <c r="J224" t="s">
        <v>1139</v>
      </c>
      <c r="K224" t="s">
        <v>993</v>
      </c>
      <c r="L224" t="s">
        <v>307</v>
      </c>
      <c r="M224" t="s">
        <v>865</v>
      </c>
      <c r="N224" t="s">
        <v>56</v>
      </c>
      <c r="O224" t="s">
        <v>36</v>
      </c>
      <c r="P224" t="s">
        <v>84</v>
      </c>
      <c r="Q224" t="s">
        <v>84</v>
      </c>
      <c r="V224" t="s">
        <v>49</v>
      </c>
      <c r="W224" t="s">
        <v>84</v>
      </c>
      <c r="X224" t="s">
        <v>1243</v>
      </c>
      <c r="Y224" t="s">
        <v>1315</v>
      </c>
      <c r="Z224" t="s">
        <v>84</v>
      </c>
      <c r="AA224" t="s">
        <v>84</v>
      </c>
      <c r="AB224" t="s">
        <v>36</v>
      </c>
      <c r="AC224" t="s">
        <v>1340</v>
      </c>
      <c r="AD224" t="s">
        <v>36</v>
      </c>
      <c r="AE224" t="s">
        <v>1340</v>
      </c>
      <c r="AF224" t="s">
        <v>86</v>
      </c>
      <c r="AG224" t="s">
        <v>269</v>
      </c>
      <c r="AH224" t="s">
        <v>183</v>
      </c>
      <c r="AI224" s="4">
        <f ca="1">data[[#This Row],[Expiry Date]]-TODAY()</f>
        <v>42</v>
      </c>
      <c r="AJ224" s="4">
        <f ca="1">data[[#This Row],[Maturity ( Days)]]/365</f>
        <v>0.11506849315068493</v>
      </c>
      <c r="AK224" s="4" t="str">
        <f>IF(data[[#This Row],[Option Type]]="put","p","c")</f>
        <v>c</v>
      </c>
      <c r="AL224" s="4">
        <f>(data[[#This Row],[Bid]]*data[[#This Row],[Bidsize]]+data[[#This Row],[Ask]]*data[[#This Row],[Asksize]])/(data[[#This Row],[Bidsize]]+data[[#This Row],[Asksize]])</f>
        <v>37.777777777777779</v>
      </c>
      <c r="AM224" s="4">
        <f>VALUE(data[[#This Row],[Strike]])</f>
        <v>4250</v>
      </c>
      <c r="AN224" s="5">
        <f ca="1">impliedVol(data[[#This Row],[OptType]],Details!$B$4,VALUE(data[[#This Row],[Strike]]),VALUE(data[[#This Row],[Cnt Price]]),Details!$B$6,data[[#This Row],[T]],Details!$B$7)</f>
        <v>0.25736421274838833</v>
      </c>
      <c r="AO224" s="7">
        <f t="array" aca="1" ref="AO224:AS224" ca="1">bsGreeks(data[[#This Row],[OptType]],Details!$B$4,VALUE(data[[#This Row],[Strike]]),Details!$B$6,data[[#This Row],[T]],AN224,Details!$B$7)</f>
        <v>0.20057106618687343</v>
      </c>
      <c r="AP224" s="7">
        <f ca="1"/>
        <v>8.1642349908385501E-4</v>
      </c>
      <c r="AQ224" s="6">
        <f ca="1"/>
        <v>3.7387170382385797</v>
      </c>
      <c r="AR224" s="6">
        <f ca="1"/>
        <v>-116.60755062050242</v>
      </c>
      <c r="AS224" s="6">
        <f ca="1"/>
        <v>86.357862000177406</v>
      </c>
      <c r="AU224" s="60">
        <f ca="1"/>
        <v>36.905316562653979</v>
      </c>
      <c r="AV224" s="61" t="str">
        <f ca="1"/>
        <v>c</v>
      </c>
      <c r="AW224" s="61">
        <f ca="1"/>
        <v>0.25736421274838833</v>
      </c>
      <c r="AX224" s="62">
        <f ca="1"/>
        <v>0.20057106618687343</v>
      </c>
      <c r="AY224" s="62">
        <f ca="1"/>
        <v>8.1642349908385501E-4</v>
      </c>
      <c r="AZ224" s="62">
        <f ca="1"/>
        <v>3.7387170382385797</v>
      </c>
      <c r="BA224" s="60">
        <f ca="1"/>
        <v>-116.60755062050242</v>
      </c>
      <c r="BB224" s="60">
        <f ca="1"/>
        <v>86.357862000177406</v>
      </c>
    </row>
    <row r="225" spans="1:54" x14ac:dyDescent="0.3">
      <c r="A225" t="s">
        <v>700</v>
      </c>
      <c r="B225" t="s">
        <v>701</v>
      </c>
      <c r="C225" t="s">
        <v>29</v>
      </c>
      <c r="D225" t="s">
        <v>85</v>
      </c>
      <c r="E225" t="s">
        <v>84</v>
      </c>
      <c r="F225" t="s">
        <v>122</v>
      </c>
      <c r="G225" t="s">
        <v>1573</v>
      </c>
      <c r="H225" t="s">
        <v>1398</v>
      </c>
      <c r="I225" t="s">
        <v>1220</v>
      </c>
      <c r="J225" t="s">
        <v>101</v>
      </c>
      <c r="K225" t="s">
        <v>101</v>
      </c>
      <c r="L225" t="s">
        <v>307</v>
      </c>
      <c r="M225" t="s">
        <v>93</v>
      </c>
      <c r="N225" t="s">
        <v>56</v>
      </c>
      <c r="O225" t="s">
        <v>36</v>
      </c>
      <c r="P225" t="s">
        <v>84</v>
      </c>
      <c r="Q225" t="s">
        <v>84</v>
      </c>
      <c r="V225" t="s">
        <v>49</v>
      </c>
      <c r="W225" t="s">
        <v>84</v>
      </c>
      <c r="X225" t="s">
        <v>1105</v>
      </c>
      <c r="Y225" t="s">
        <v>1220</v>
      </c>
      <c r="Z225" t="s">
        <v>84</v>
      </c>
      <c r="AA225" t="s">
        <v>84</v>
      </c>
      <c r="AB225" t="s">
        <v>36</v>
      </c>
      <c r="AC225" t="s">
        <v>1340</v>
      </c>
      <c r="AD225" t="s">
        <v>36</v>
      </c>
      <c r="AE225" t="s">
        <v>1340</v>
      </c>
      <c r="AF225" t="s">
        <v>86</v>
      </c>
      <c r="AG225" t="s">
        <v>269</v>
      </c>
      <c r="AH225" t="s">
        <v>183</v>
      </c>
      <c r="AI225" s="4">
        <f ca="1">data[[#This Row],[Expiry Date]]-TODAY()</f>
        <v>42</v>
      </c>
      <c r="AJ225" s="4">
        <f ca="1">data[[#This Row],[Maturity ( Days)]]/365</f>
        <v>0.11506849315068493</v>
      </c>
      <c r="AK225" s="4" t="str">
        <f>IF(data[[#This Row],[Option Type]]="put","p","c")</f>
        <v>p</v>
      </c>
      <c r="AL225" s="4">
        <f>(data[[#This Row],[Bid]]*data[[#This Row],[Bidsize]]+data[[#This Row],[Ask]]*data[[#This Row],[Asksize]])/(data[[#This Row],[Bidsize]]+data[[#This Row],[Asksize]])</f>
        <v>316.14999999999998</v>
      </c>
      <c r="AM225" s="4">
        <f>VALUE(data[[#This Row],[Strike]])</f>
        <v>4250</v>
      </c>
      <c r="AN225" s="5">
        <f ca="1">impliedVol(data[[#This Row],[OptType]],Details!$B$4,VALUE(data[[#This Row],[Strike]]),VALUE(data[[#This Row],[Cnt Price]]),Details!$B$6,data[[#This Row],[T]],Details!$B$7)</f>
        <v>0.14896047588779501</v>
      </c>
      <c r="AO225" s="7">
        <f t="array" aca="1" ref="AO225:AS225" ca="1">bsGreeks(data[[#This Row],[OptType]],Details!$B$4,VALUE(data[[#This Row],[Strike]]),Details!$B$6,data[[#This Row],[T]],AN225,Details!$B$7)</f>
        <v>-0.93328728180252751</v>
      </c>
      <c r="AP225" s="7">
        <f ca="1"/>
        <v>6.5073292324467592E-4</v>
      </c>
      <c r="AQ225" s="6">
        <f ca="1"/>
        <v>1.7247762960343633</v>
      </c>
      <c r="AR225" s="6">
        <f ca="1"/>
        <v>-19.658393834231028</v>
      </c>
      <c r="AS225" s="6">
        <f ca="1"/>
        <v>-458.4371279342738</v>
      </c>
      <c r="AU225" s="60">
        <f ca="1"/>
        <v>320.73027455140254</v>
      </c>
      <c r="AV225" s="61" t="str">
        <f ca="1"/>
        <v>p</v>
      </c>
      <c r="AW225" s="63">
        <f ca="1"/>
        <v>0.14896047588779501</v>
      </c>
      <c r="AX225" s="62">
        <f ca="1"/>
        <v>-0.93328728180252751</v>
      </c>
      <c r="AY225" s="62">
        <f ca="1"/>
        <v>6.5073292324467592E-4</v>
      </c>
      <c r="AZ225" s="62">
        <f ca="1"/>
        <v>1.7247762960343633</v>
      </c>
      <c r="BA225" s="60">
        <f ca="1"/>
        <v>-19.658393834231028</v>
      </c>
      <c r="BB225" s="60">
        <f ca="1"/>
        <v>-458.4371279342738</v>
      </c>
    </row>
    <row r="226" spans="1:54" x14ac:dyDescent="0.3">
      <c r="A226" t="s">
        <v>702</v>
      </c>
      <c r="B226" t="s">
        <v>703</v>
      </c>
      <c r="C226" t="s">
        <v>57</v>
      </c>
      <c r="D226" t="s">
        <v>85</v>
      </c>
      <c r="E226" t="s">
        <v>84</v>
      </c>
      <c r="F226" t="s">
        <v>203</v>
      </c>
      <c r="G226" t="s">
        <v>1386</v>
      </c>
      <c r="H226" t="s">
        <v>1335</v>
      </c>
      <c r="I226" t="s">
        <v>1316</v>
      </c>
      <c r="J226" t="s">
        <v>1031</v>
      </c>
      <c r="K226" t="s">
        <v>1033</v>
      </c>
      <c r="L226" t="s">
        <v>307</v>
      </c>
      <c r="M226" t="s">
        <v>96</v>
      </c>
      <c r="N226" t="s">
        <v>56</v>
      </c>
      <c r="O226" t="s">
        <v>36</v>
      </c>
      <c r="P226" t="s">
        <v>84</v>
      </c>
      <c r="Q226" t="s">
        <v>84</v>
      </c>
      <c r="V226" t="s">
        <v>49</v>
      </c>
      <c r="W226" t="s">
        <v>84</v>
      </c>
      <c r="X226" t="s">
        <v>1105</v>
      </c>
      <c r="Y226" t="s">
        <v>1316</v>
      </c>
      <c r="Z226" t="s">
        <v>84</v>
      </c>
      <c r="AA226" t="s">
        <v>84</v>
      </c>
      <c r="AB226" t="s">
        <v>36</v>
      </c>
      <c r="AC226" t="s">
        <v>1340</v>
      </c>
      <c r="AD226" t="s">
        <v>36</v>
      </c>
      <c r="AE226" t="s">
        <v>1340</v>
      </c>
      <c r="AF226" t="s">
        <v>86</v>
      </c>
      <c r="AG226" t="s">
        <v>269</v>
      </c>
      <c r="AH226" t="s">
        <v>183</v>
      </c>
      <c r="AI226" s="4">
        <f ca="1">data[[#This Row],[Expiry Date]]-TODAY()</f>
        <v>42</v>
      </c>
      <c r="AJ226" s="4">
        <f ca="1">data[[#This Row],[Maturity ( Days)]]/365</f>
        <v>0.11506849315068493</v>
      </c>
      <c r="AK226" s="4" t="str">
        <f>IF(data[[#This Row],[Option Type]]="put","p","c")</f>
        <v>c</v>
      </c>
      <c r="AL226" s="4">
        <f>(data[[#This Row],[Bid]]*data[[#This Row],[Bidsize]]+data[[#This Row],[Ask]]*data[[#This Row],[Asksize]])/(data[[#This Row],[Bidsize]]+data[[#This Row],[Asksize]])</f>
        <v>35.30375939849624</v>
      </c>
      <c r="AM226" s="4">
        <f>VALUE(data[[#This Row],[Strike]])</f>
        <v>4260</v>
      </c>
      <c r="AN226" s="5">
        <f ca="1">impliedVol(data[[#This Row],[OptType]],Details!$B$4,VALUE(data[[#This Row],[Strike]]),VALUE(data[[#This Row],[Cnt Price]]),Details!$B$6,data[[#This Row],[T]],Details!$B$7)</f>
        <v>0.25544033378529868</v>
      </c>
      <c r="AO226" s="7">
        <f t="array" aca="1" ref="AO226:AS226" ca="1">bsGreeks(data[[#This Row],[OptType]],Details!$B$4,VALUE(data[[#This Row],[Strike]]),Details!$B$6,data[[#This Row],[T]],AN226,Details!$B$7)</f>
        <v>0.1911450814779001</v>
      </c>
      <c r="AP226" s="7">
        <f ca="1"/>
        <v>7.9889088963499199E-4</v>
      </c>
      <c r="AQ226" s="6">
        <f ca="1"/>
        <v>3.6310805689558903</v>
      </c>
      <c r="AR226" s="6">
        <f ca="1"/>
        <v>-112.38325799157585</v>
      </c>
      <c r="AS226" s="6">
        <f ca="1"/>
        <v>82.379825186167722</v>
      </c>
      <c r="AU226" s="60">
        <f ca="1"/>
        <v>34.471280058857587</v>
      </c>
      <c r="AV226" s="61" t="str">
        <f ca="1"/>
        <v>c</v>
      </c>
      <c r="AW226" s="63">
        <f ca="1"/>
        <v>0.25544033378529868</v>
      </c>
      <c r="AX226" s="62">
        <f ca="1"/>
        <v>0.1911450814779001</v>
      </c>
      <c r="AY226" s="62">
        <f ca="1"/>
        <v>7.9889088963499199E-4</v>
      </c>
      <c r="AZ226" s="62">
        <f ca="1"/>
        <v>3.6310805689558903</v>
      </c>
      <c r="BA226" s="60">
        <f ca="1"/>
        <v>-112.38325799157585</v>
      </c>
      <c r="BB226" s="60">
        <f ca="1"/>
        <v>82.379825186167722</v>
      </c>
    </row>
    <row r="227" spans="1:54" x14ac:dyDescent="0.3">
      <c r="A227" t="s">
        <v>486</v>
      </c>
      <c r="B227" t="s">
        <v>487</v>
      </c>
      <c r="C227" t="s">
        <v>29</v>
      </c>
      <c r="D227" t="s">
        <v>85</v>
      </c>
      <c r="E227" t="s">
        <v>84</v>
      </c>
      <c r="F227" t="s">
        <v>203</v>
      </c>
      <c r="G227" t="s">
        <v>1358</v>
      </c>
      <c r="H227" t="s">
        <v>1365</v>
      </c>
      <c r="I227" t="s">
        <v>1012</v>
      </c>
      <c r="J227" t="s">
        <v>123</v>
      </c>
      <c r="K227" t="s">
        <v>123</v>
      </c>
      <c r="L227" t="s">
        <v>307</v>
      </c>
      <c r="M227" t="s">
        <v>98</v>
      </c>
      <c r="N227" t="s">
        <v>56</v>
      </c>
      <c r="O227" t="s">
        <v>36</v>
      </c>
      <c r="P227" t="s">
        <v>84</v>
      </c>
      <c r="Q227" t="s">
        <v>84</v>
      </c>
      <c r="V227" t="s">
        <v>49</v>
      </c>
      <c r="W227" t="s">
        <v>84</v>
      </c>
      <c r="X227" t="s">
        <v>953</v>
      </c>
      <c r="Y227" t="s">
        <v>1012</v>
      </c>
      <c r="Z227" t="s">
        <v>84</v>
      </c>
      <c r="AA227" t="s">
        <v>84</v>
      </c>
      <c r="AB227" t="s">
        <v>36</v>
      </c>
      <c r="AC227" t="s">
        <v>1340</v>
      </c>
      <c r="AD227" t="s">
        <v>36</v>
      </c>
      <c r="AE227" t="s">
        <v>1340</v>
      </c>
      <c r="AF227" t="s">
        <v>86</v>
      </c>
      <c r="AG227" t="s">
        <v>269</v>
      </c>
      <c r="AH227" t="s">
        <v>183</v>
      </c>
      <c r="AI227" s="4">
        <f ca="1">data[[#This Row],[Expiry Date]]-TODAY()</f>
        <v>42</v>
      </c>
      <c r="AJ227" s="4">
        <f ca="1">data[[#This Row],[Maturity ( Days)]]/365</f>
        <v>0.11506849315068493</v>
      </c>
      <c r="AK227" s="4" t="str">
        <f>IF(data[[#This Row],[Option Type]]="put","p","c")</f>
        <v>p</v>
      </c>
      <c r="AL227" s="4">
        <f>(data[[#This Row],[Bid]]*data[[#This Row],[Bidsize]]+data[[#This Row],[Ask]]*data[[#This Row],[Asksize]])/(data[[#This Row],[Bidsize]]+data[[#This Row],[Asksize]])</f>
        <v>323.75</v>
      </c>
      <c r="AM227" s="4">
        <f>VALUE(data[[#This Row],[Strike]])</f>
        <v>4260</v>
      </c>
      <c r="AN227" s="5">
        <f ca="1">impliedVol(data[[#This Row],[OptType]],Details!$B$4,VALUE(data[[#This Row],[Strike]]),VALUE(data[[#This Row],[Cnt Price]]),Details!$B$6,data[[#This Row],[T]],Details!$B$7)</f>
        <v>0.13715728377440214</v>
      </c>
      <c r="AO227" s="7">
        <f t="array" aca="1" ref="AO227:AS227" ca="1">bsGreeks(data[[#This Row],[OptType]],Details!$B$4,VALUE(data[[#This Row],[Strike]]),Details!$B$6,data[[#This Row],[T]],AN227,Details!$B$7)</f>
        <v>-0.95396380484846555</v>
      </c>
      <c r="AP227" s="7">
        <f ca="1"/>
        <v>5.273509537444506E-4</v>
      </c>
      <c r="AQ227" s="6">
        <f ca="1"/>
        <v>1.2869970620504958</v>
      </c>
      <c r="AR227" s="6">
        <f ca="1"/>
        <v>-9.842933542810206</v>
      </c>
      <c r="AS227" s="6">
        <f ca="1"/>
        <v>-468.66230444144054</v>
      </c>
      <c r="AU227" s="60">
        <f ca="1"/>
        <v>328.43384845539731</v>
      </c>
      <c r="AV227" s="61" t="str">
        <f ca="1"/>
        <v>p</v>
      </c>
      <c r="AW227" s="63">
        <f ca="1"/>
        <v>0.13715728377440214</v>
      </c>
      <c r="AX227" s="62">
        <f ca="1"/>
        <v>-0.95396380484846555</v>
      </c>
      <c r="AY227" s="62">
        <f ca="1"/>
        <v>5.273509537444506E-4</v>
      </c>
      <c r="AZ227" s="62">
        <f ca="1"/>
        <v>1.2869970620504958</v>
      </c>
      <c r="BA227" s="60">
        <f ca="1"/>
        <v>-9.842933542810206</v>
      </c>
      <c r="BB227" s="60">
        <f ca="1"/>
        <v>-468.66230444144054</v>
      </c>
    </row>
    <row r="228" spans="1:54" x14ac:dyDescent="0.3">
      <c r="A228" t="s">
        <v>704</v>
      </c>
      <c r="B228" t="s">
        <v>705</v>
      </c>
      <c r="C228" t="s">
        <v>57</v>
      </c>
      <c r="D228" t="s">
        <v>85</v>
      </c>
      <c r="E228" t="s">
        <v>84</v>
      </c>
      <c r="F228" t="s">
        <v>204</v>
      </c>
      <c r="G228" t="s">
        <v>1061</v>
      </c>
      <c r="H228" t="s">
        <v>928</v>
      </c>
      <c r="I228" t="s">
        <v>1166</v>
      </c>
      <c r="J228" t="s">
        <v>831</v>
      </c>
      <c r="K228" t="s">
        <v>1167</v>
      </c>
      <c r="L228" t="s">
        <v>307</v>
      </c>
      <c r="M228" t="s">
        <v>125</v>
      </c>
      <c r="N228" t="s">
        <v>56</v>
      </c>
      <c r="O228" t="s">
        <v>36</v>
      </c>
      <c r="P228" t="s">
        <v>84</v>
      </c>
      <c r="Q228" t="s">
        <v>84</v>
      </c>
      <c r="V228" t="s">
        <v>49</v>
      </c>
      <c r="W228" t="s">
        <v>84</v>
      </c>
      <c r="X228" t="s">
        <v>1105</v>
      </c>
      <c r="Y228" t="s">
        <v>1166</v>
      </c>
      <c r="Z228" t="s">
        <v>84</v>
      </c>
      <c r="AA228" t="s">
        <v>84</v>
      </c>
      <c r="AB228" t="s">
        <v>36</v>
      </c>
      <c r="AC228" t="s">
        <v>1340</v>
      </c>
      <c r="AD228" t="s">
        <v>36</v>
      </c>
      <c r="AE228" t="s">
        <v>1340</v>
      </c>
      <c r="AF228" t="s">
        <v>86</v>
      </c>
      <c r="AG228" t="s">
        <v>269</v>
      </c>
      <c r="AH228" t="s">
        <v>183</v>
      </c>
      <c r="AI228" s="4">
        <f ca="1">data[[#This Row],[Expiry Date]]-TODAY()</f>
        <v>42</v>
      </c>
      <c r="AJ228" s="4">
        <f ca="1">data[[#This Row],[Maturity ( Days)]]/365</f>
        <v>0.11506849315068493</v>
      </c>
      <c r="AK228" s="4" t="str">
        <f>IF(data[[#This Row],[Option Type]]="put","p","c")</f>
        <v>c</v>
      </c>
      <c r="AL228" s="4">
        <f>(data[[#This Row],[Bid]]*data[[#This Row],[Bidsize]]+data[[#This Row],[Ask]]*data[[#This Row],[Asksize]])/(data[[#This Row],[Bidsize]]+data[[#This Row],[Asksize]])</f>
        <v>33.228742514970058</v>
      </c>
      <c r="AM228" s="4">
        <f>VALUE(data[[#This Row],[Strike]])</f>
        <v>4270</v>
      </c>
      <c r="AN228" s="5">
        <f ca="1">impliedVol(data[[#This Row],[OptType]],Details!$B$4,VALUE(data[[#This Row],[Strike]]),VALUE(data[[#This Row],[Cnt Price]]),Details!$B$6,data[[#This Row],[T]],Details!$B$7)</f>
        <v>0.25433710054232267</v>
      </c>
      <c r="AO228" s="7">
        <f t="array" aca="1" ref="AO228:AS228" ca="1">bsGreeks(data[[#This Row],[OptType]],Details!$B$4,VALUE(data[[#This Row],[Strike]]),Details!$B$6,data[[#This Row],[T]],AN228,Details!$B$7)</f>
        <v>0.18272589462066902</v>
      </c>
      <c r="AP228" s="7">
        <f ca="1"/>
        <v>7.8030053077766915E-4</v>
      </c>
      <c r="AQ228" s="6">
        <f ca="1"/>
        <v>3.5312670507185726</v>
      </c>
      <c r="AR228" s="6">
        <f ca="1"/>
        <v>-108.79911978070319</v>
      </c>
      <c r="AS228" s="6">
        <f ca="1"/>
        <v>78.811177157534928</v>
      </c>
      <c r="AU228" s="60">
        <f ca="1"/>
        <v>32.432159920125287</v>
      </c>
      <c r="AV228" s="61" t="str">
        <f ca="1"/>
        <v>c</v>
      </c>
      <c r="AW228" s="63">
        <f ca="1"/>
        <v>0.25433710054232267</v>
      </c>
      <c r="AX228" s="62">
        <f ca="1"/>
        <v>0.18272589462066902</v>
      </c>
      <c r="AY228" s="62">
        <f ca="1"/>
        <v>7.8030053077766915E-4</v>
      </c>
      <c r="AZ228" s="62">
        <f ca="1"/>
        <v>3.5312670507185726</v>
      </c>
      <c r="BA228" s="60">
        <f ca="1"/>
        <v>-108.79911978070319</v>
      </c>
      <c r="BB228" s="60">
        <f ca="1"/>
        <v>78.811177157534928</v>
      </c>
    </row>
    <row r="229" spans="1:54" x14ac:dyDescent="0.3">
      <c r="A229" t="s">
        <v>706</v>
      </c>
      <c r="B229" t="s">
        <v>707</v>
      </c>
      <c r="C229" t="s">
        <v>57</v>
      </c>
      <c r="D229" t="s">
        <v>85</v>
      </c>
      <c r="E229" t="s">
        <v>84</v>
      </c>
      <c r="F229" t="s">
        <v>141</v>
      </c>
      <c r="G229" t="s">
        <v>939</v>
      </c>
      <c r="H229" t="s">
        <v>1574</v>
      </c>
      <c r="I229" t="s">
        <v>1317</v>
      </c>
      <c r="J229" t="s">
        <v>1326</v>
      </c>
      <c r="K229" t="s">
        <v>1167</v>
      </c>
      <c r="L229" t="s">
        <v>307</v>
      </c>
      <c r="M229" t="s">
        <v>107</v>
      </c>
      <c r="N229" t="s">
        <v>56</v>
      </c>
      <c r="O229" t="s">
        <v>36</v>
      </c>
      <c r="P229" t="s">
        <v>84</v>
      </c>
      <c r="Q229" t="s">
        <v>84</v>
      </c>
      <c r="V229" t="s">
        <v>49</v>
      </c>
      <c r="W229" t="s">
        <v>84</v>
      </c>
      <c r="X229" t="s">
        <v>1105</v>
      </c>
      <c r="Y229" t="s">
        <v>1317</v>
      </c>
      <c r="Z229" t="s">
        <v>84</v>
      </c>
      <c r="AA229" t="s">
        <v>84</v>
      </c>
      <c r="AB229" t="s">
        <v>36</v>
      </c>
      <c r="AC229" t="s">
        <v>1340</v>
      </c>
      <c r="AD229" t="s">
        <v>36</v>
      </c>
      <c r="AE229" t="s">
        <v>1340</v>
      </c>
      <c r="AF229" t="s">
        <v>86</v>
      </c>
      <c r="AG229" t="s">
        <v>269</v>
      </c>
      <c r="AH229" t="s">
        <v>183</v>
      </c>
      <c r="AI229" s="4">
        <f ca="1">data[[#This Row],[Expiry Date]]-TODAY()</f>
        <v>42</v>
      </c>
      <c r="AJ229" s="4">
        <f ca="1">data[[#This Row],[Maturity ( Days)]]/365</f>
        <v>0.11506849315068493</v>
      </c>
      <c r="AK229" s="4" t="str">
        <f>IF(data[[#This Row],[Option Type]]="put","p","c")</f>
        <v>c</v>
      </c>
      <c r="AL229" s="4">
        <f>(data[[#This Row],[Bid]]*data[[#This Row],[Bidsize]]+data[[#This Row],[Ask]]*data[[#This Row],[Asksize]])/(data[[#This Row],[Bidsize]]+data[[#This Row],[Asksize]])</f>
        <v>32.046875</v>
      </c>
      <c r="AM229" s="4">
        <f>VALUE(data[[#This Row],[Strike]])</f>
        <v>4275</v>
      </c>
      <c r="AN229" s="5">
        <f ca="1">impliedVol(data[[#This Row],[OptType]],Details!$B$4,VALUE(data[[#This Row],[Strike]]),VALUE(data[[#This Row],[Cnt Price]]),Details!$B$6,data[[#This Row],[T]],Details!$B$7)</f>
        <v>0.25328188021767445</v>
      </c>
      <c r="AO229" s="7">
        <f t="array" aca="1" ref="AO229:AS229" ca="1">bsGreeks(data[[#This Row],[OptType]],Details!$B$4,VALUE(data[[#This Row],[Strike]]),Details!$B$6,data[[#This Row],[T]],AN229,Details!$B$7)</f>
        <v>0.17806203615513233</v>
      </c>
      <c r="AP229" s="7">
        <f ca="1"/>
        <v>7.7094331442820478E-4</v>
      </c>
      <c r="AQ229" s="6">
        <f ca="1"/>
        <v>3.4744455654487023</v>
      </c>
      <c r="AR229" s="6">
        <f ca="1"/>
        <v>-106.59516732454635</v>
      </c>
      <c r="AS229" s="6">
        <f ca="1"/>
        <v>76.838032721278196</v>
      </c>
      <c r="AU229" s="60">
        <f ca="1"/>
        <v>31.270130586604523</v>
      </c>
      <c r="AV229" s="61" t="str">
        <f ca="1"/>
        <v>c</v>
      </c>
      <c r="AW229" s="63">
        <f ca="1"/>
        <v>0.25328188021767445</v>
      </c>
      <c r="AX229" s="62">
        <f ca="1"/>
        <v>0.17806203615513233</v>
      </c>
      <c r="AY229" s="62">
        <f ca="1"/>
        <v>7.7094331442820478E-4</v>
      </c>
      <c r="AZ229" s="62">
        <f ca="1"/>
        <v>3.4744455654487023</v>
      </c>
      <c r="BA229" s="60">
        <f ca="1"/>
        <v>-106.59516732454635</v>
      </c>
      <c r="BB229" s="60">
        <f ca="1"/>
        <v>76.838032721278196</v>
      </c>
    </row>
    <row r="230" spans="1:54" x14ac:dyDescent="0.3">
      <c r="A230" t="s">
        <v>708</v>
      </c>
      <c r="B230" t="s">
        <v>709</v>
      </c>
      <c r="C230" t="s">
        <v>57</v>
      </c>
      <c r="D230" t="s">
        <v>85</v>
      </c>
      <c r="E230" t="s">
        <v>84</v>
      </c>
      <c r="F230" t="s">
        <v>205</v>
      </c>
      <c r="G230" t="s">
        <v>1575</v>
      </c>
      <c r="H230" t="s">
        <v>1218</v>
      </c>
      <c r="I230" t="s">
        <v>1014</v>
      </c>
      <c r="J230" t="s">
        <v>839</v>
      </c>
      <c r="K230" t="s">
        <v>884</v>
      </c>
      <c r="L230" t="s">
        <v>307</v>
      </c>
      <c r="M230" t="s">
        <v>116</v>
      </c>
      <c r="N230" t="s">
        <v>56</v>
      </c>
      <c r="O230" t="s">
        <v>36</v>
      </c>
      <c r="P230" t="s">
        <v>84</v>
      </c>
      <c r="Q230" t="s">
        <v>84</v>
      </c>
      <c r="V230" t="s">
        <v>49</v>
      </c>
      <c r="W230" t="s">
        <v>84</v>
      </c>
      <c r="X230" t="s">
        <v>953</v>
      </c>
      <c r="Y230" t="s">
        <v>1014</v>
      </c>
      <c r="Z230" t="s">
        <v>84</v>
      </c>
      <c r="AA230" t="s">
        <v>84</v>
      </c>
      <c r="AB230" t="s">
        <v>36</v>
      </c>
      <c r="AC230" t="s">
        <v>1340</v>
      </c>
      <c r="AD230" t="s">
        <v>36</v>
      </c>
      <c r="AE230" t="s">
        <v>1340</v>
      </c>
      <c r="AF230" t="s">
        <v>86</v>
      </c>
      <c r="AG230" t="s">
        <v>269</v>
      </c>
      <c r="AH230" t="s">
        <v>183</v>
      </c>
      <c r="AI230" s="4">
        <f ca="1">data[[#This Row],[Expiry Date]]-TODAY()</f>
        <v>42</v>
      </c>
      <c r="AJ230" s="4">
        <f ca="1">data[[#This Row],[Maturity ( Days)]]/365</f>
        <v>0.11506849315068493</v>
      </c>
      <c r="AK230" s="4" t="str">
        <f>IF(data[[#This Row],[Option Type]]="put","p","c")</f>
        <v>c</v>
      </c>
      <c r="AL230" s="4">
        <f>(data[[#This Row],[Bid]]*data[[#This Row],[Bidsize]]+data[[#This Row],[Ask]]*data[[#This Row],[Asksize]])/(data[[#This Row],[Bidsize]]+data[[#This Row],[Asksize]])</f>
        <v>31.1</v>
      </c>
      <c r="AM230" s="4">
        <f>VALUE(data[[#This Row],[Strike]])</f>
        <v>4280</v>
      </c>
      <c r="AN230" s="5">
        <f ca="1">impliedVol(data[[#This Row],[OptType]],Details!$B$4,VALUE(data[[#This Row],[Strike]]),VALUE(data[[#This Row],[Cnt Price]]),Details!$B$6,data[[#This Row],[T]],Details!$B$7)</f>
        <v>0.25282680413019276</v>
      </c>
      <c r="AO230" s="7">
        <f t="array" aca="1" ref="AO230:AS230" ca="1">bsGreeks(data[[#This Row],[OptType]],Details!$B$4,VALUE(data[[#This Row],[Strike]]),Details!$B$6,data[[#This Row],[T]],AN230,Details!$B$7)</f>
        <v>0.17406550422734618</v>
      </c>
      <c r="AP230" s="7">
        <f ca="1"/>
        <v>7.6131081915253483E-4</v>
      </c>
      <c r="AQ230" s="6">
        <f ca="1"/>
        <v>3.4248697567181541</v>
      </c>
      <c r="AR230" s="6">
        <f ca="1"/>
        <v>-104.87429807807246</v>
      </c>
      <c r="AS230" s="6">
        <f ca="1"/>
        <v>75.13963170670101</v>
      </c>
      <c r="AU230" s="60">
        <f ca="1"/>
        <v>30.340347752431512</v>
      </c>
      <c r="AV230" s="61" t="str">
        <f ca="1"/>
        <v>c</v>
      </c>
      <c r="AW230" s="63">
        <f ca="1"/>
        <v>0.25282680413019276</v>
      </c>
      <c r="AX230" s="62">
        <f ca="1"/>
        <v>0.17406550422734618</v>
      </c>
      <c r="AY230" s="62">
        <f ca="1"/>
        <v>7.6131081915253483E-4</v>
      </c>
      <c r="AZ230" s="62">
        <f ca="1"/>
        <v>3.4248697567181541</v>
      </c>
      <c r="BA230" s="60">
        <f ca="1"/>
        <v>-104.87429807807246</v>
      </c>
      <c r="BB230" s="60">
        <f ca="1"/>
        <v>75.13963170670101</v>
      </c>
    </row>
    <row r="231" spans="1:54" x14ac:dyDescent="0.3">
      <c r="A231" t="s">
        <v>494</v>
      </c>
      <c r="B231" t="s">
        <v>495</v>
      </c>
      <c r="C231" t="s">
        <v>29</v>
      </c>
      <c r="D231" t="s">
        <v>85</v>
      </c>
      <c r="E231" t="s">
        <v>84</v>
      </c>
      <c r="F231" t="s">
        <v>206</v>
      </c>
      <c r="G231" t="s">
        <v>1367</v>
      </c>
      <c r="H231" t="s">
        <v>1355</v>
      </c>
      <c r="I231" t="s">
        <v>496</v>
      </c>
      <c r="J231" t="s">
        <v>123</v>
      </c>
      <c r="K231" t="s">
        <v>123</v>
      </c>
      <c r="L231" t="s">
        <v>307</v>
      </c>
      <c r="M231" t="s">
        <v>94</v>
      </c>
      <c r="N231" t="s">
        <v>56</v>
      </c>
      <c r="O231" t="s">
        <v>36</v>
      </c>
      <c r="P231" t="s">
        <v>84</v>
      </c>
      <c r="Q231" t="s">
        <v>84</v>
      </c>
      <c r="V231" t="s">
        <v>49</v>
      </c>
      <c r="W231" t="s">
        <v>84</v>
      </c>
      <c r="X231" t="s">
        <v>274</v>
      </c>
      <c r="Y231" t="s">
        <v>496</v>
      </c>
      <c r="Z231" t="s">
        <v>84</v>
      </c>
      <c r="AA231" t="s">
        <v>84</v>
      </c>
      <c r="AB231" t="s">
        <v>36</v>
      </c>
      <c r="AC231" t="s">
        <v>1340</v>
      </c>
      <c r="AD231" t="s">
        <v>36</v>
      </c>
      <c r="AE231" t="s">
        <v>1340</v>
      </c>
      <c r="AF231" t="s">
        <v>86</v>
      </c>
      <c r="AG231" t="s">
        <v>269</v>
      </c>
      <c r="AH231" t="s">
        <v>183</v>
      </c>
      <c r="AI231" s="4">
        <f ca="1">data[[#This Row],[Expiry Date]]-TODAY()</f>
        <v>42</v>
      </c>
      <c r="AJ231" s="4">
        <f ca="1">data[[#This Row],[Maturity ( Days)]]/365</f>
        <v>0.11506849315068493</v>
      </c>
      <c r="AK231" s="4" t="str">
        <f>IF(data[[#This Row],[Option Type]]="put","p","c")</f>
        <v>p</v>
      </c>
      <c r="AL231" s="4">
        <f>(data[[#This Row],[Bid]]*data[[#This Row],[Bidsize]]+data[[#This Row],[Ask]]*data[[#This Row],[Asksize]])/(data[[#This Row],[Bidsize]]+data[[#This Row],[Asksize]])</f>
        <v>347.3</v>
      </c>
      <c r="AM231" s="4">
        <f>VALUE(data[[#This Row],[Strike]])</f>
        <v>4290</v>
      </c>
      <c r="AN231" s="5">
        <f ca="1">impliedVol(data[[#This Row],[OptType]],Details!$B$4,VALUE(data[[#This Row],[Strike]]),VALUE(data[[#This Row],[Cnt Price]]),Details!$B$6,data[[#This Row],[T]],Details!$B$7)</f>
        <v>2.3359981527732243</v>
      </c>
      <c r="AO231" s="7">
        <f t="array" aca="1" ref="AO231:AS231" ca="1">bsGreeks(data[[#This Row],[OptType]],Details!$B$4,VALUE(data[[#This Row],[Strike]]),Details!$B$6,data[[#This Row],[T]],AN231,Details!$B$7)</f>
        <v>-0.38702738016678762</v>
      </c>
      <c r="AP231" s="7">
        <f ca="1"/>
        <v>1.2278990364570616E-4</v>
      </c>
      <c r="AQ231" s="6">
        <f ca="1"/>
        <v>5.1038052865371579</v>
      </c>
      <c r="AR231" s="6">
        <f ca="1"/>
        <v>-1411.2030921289054</v>
      </c>
      <c r="AS231" s="6">
        <f ca="1"/>
        <v>-341.47558094906623</v>
      </c>
      <c r="AU231" s="60">
        <f ca="1"/>
        <v>1449.9535608382976</v>
      </c>
      <c r="AV231" s="61" t="str">
        <f ca="1"/>
        <v>p</v>
      </c>
      <c r="AW231" s="63">
        <f ca="1"/>
        <v>2.3359981527732243</v>
      </c>
      <c r="AX231" s="62">
        <f ca="1"/>
        <v>-0.38702738016678762</v>
      </c>
      <c r="AY231" s="62">
        <f ca="1"/>
        <v>1.2278990364570616E-4</v>
      </c>
      <c r="AZ231" s="62">
        <f ca="1"/>
        <v>5.1038052865371579</v>
      </c>
      <c r="BA231" s="60">
        <f ca="1"/>
        <v>-1411.2030921289054</v>
      </c>
      <c r="BB231" s="60">
        <f ca="1"/>
        <v>-341.47558094906623</v>
      </c>
    </row>
    <row r="232" spans="1:54" x14ac:dyDescent="0.3">
      <c r="A232" t="s">
        <v>710</v>
      </c>
      <c r="B232" t="s">
        <v>711</v>
      </c>
      <c r="C232" t="s">
        <v>57</v>
      </c>
      <c r="D232" t="s">
        <v>85</v>
      </c>
      <c r="E232" t="s">
        <v>84</v>
      </c>
      <c r="F232" t="s">
        <v>206</v>
      </c>
      <c r="G232" t="s">
        <v>1377</v>
      </c>
      <c r="H232" t="s">
        <v>963</v>
      </c>
      <c r="I232" t="s">
        <v>1221</v>
      </c>
      <c r="J232" t="s">
        <v>918</v>
      </c>
      <c r="K232" t="s">
        <v>1136</v>
      </c>
      <c r="L232" t="s">
        <v>307</v>
      </c>
      <c r="M232" t="s">
        <v>111</v>
      </c>
      <c r="N232" t="s">
        <v>56</v>
      </c>
      <c r="O232" t="s">
        <v>36</v>
      </c>
      <c r="P232" t="s">
        <v>84</v>
      </c>
      <c r="Q232" t="s">
        <v>84</v>
      </c>
      <c r="V232" t="s">
        <v>49</v>
      </c>
      <c r="W232" t="s">
        <v>84</v>
      </c>
      <c r="X232" t="s">
        <v>1158</v>
      </c>
      <c r="Y232" t="s">
        <v>1221</v>
      </c>
      <c r="Z232" t="s">
        <v>84</v>
      </c>
      <c r="AA232" t="s">
        <v>84</v>
      </c>
      <c r="AB232" t="s">
        <v>36</v>
      </c>
      <c r="AC232" t="s">
        <v>1340</v>
      </c>
      <c r="AD232" t="s">
        <v>36</v>
      </c>
      <c r="AE232" t="s">
        <v>1340</v>
      </c>
      <c r="AF232" t="s">
        <v>86</v>
      </c>
      <c r="AG232" t="s">
        <v>269</v>
      </c>
      <c r="AH232" t="s">
        <v>183</v>
      </c>
      <c r="AI232" s="4">
        <f ca="1">data[[#This Row],[Expiry Date]]-TODAY()</f>
        <v>42</v>
      </c>
      <c r="AJ232" s="4">
        <f ca="1">data[[#This Row],[Maturity ( Days)]]/365</f>
        <v>0.11506849315068493</v>
      </c>
      <c r="AK232" s="4" t="str">
        <f>IF(data[[#This Row],[Option Type]]="put","p","c")</f>
        <v>c</v>
      </c>
      <c r="AL232" s="4">
        <f>(data[[#This Row],[Bid]]*data[[#This Row],[Bidsize]]+data[[#This Row],[Ask]]*data[[#This Row],[Asksize]])/(data[[#This Row],[Bidsize]]+data[[#This Row],[Asksize]])</f>
        <v>28.945893719806758</v>
      </c>
      <c r="AM232" s="4">
        <f>VALUE(data[[#This Row],[Strike]])</f>
        <v>4290</v>
      </c>
      <c r="AN232" s="5">
        <f ca="1">impliedVol(data[[#This Row],[OptType]],Details!$B$4,VALUE(data[[#This Row],[Strike]]),VALUE(data[[#This Row],[Cnt Price]]),Details!$B$6,data[[#This Row],[T]],Details!$B$7)</f>
        <v>0.25095991595949979</v>
      </c>
      <c r="AO232" s="7">
        <f t="array" aca="1" ref="AO232:AS232" ca="1">bsGreeks(data[[#This Row],[OptType]],Details!$B$4,VALUE(data[[#This Row],[Strike]]),Details!$B$6,data[[#This Row],[T]],AN232,Details!$B$7)</f>
        <v>0.16521468584930277</v>
      </c>
      <c r="AP232" s="7">
        <f ca="1"/>
        <v>7.4172237391119259E-4</v>
      </c>
      <c r="AQ232" s="6">
        <f ca="1"/>
        <v>3.3121094798523023</v>
      </c>
      <c r="AR232" s="6">
        <f ca="1"/>
        <v>-100.65477760805804</v>
      </c>
      <c r="AS232" s="6">
        <f ca="1"/>
        <v>71.384887184801698</v>
      </c>
      <c r="AU232" s="60">
        <f ca="1"/>
        <v>28.22401038628459</v>
      </c>
      <c r="AV232" s="61" t="str">
        <f ca="1"/>
        <v>c</v>
      </c>
      <c r="AW232" s="63">
        <f ca="1"/>
        <v>0.25095991595949979</v>
      </c>
      <c r="AX232" s="62">
        <f ca="1"/>
        <v>0.16521468584930277</v>
      </c>
      <c r="AY232" s="62">
        <f ca="1"/>
        <v>7.4172237391119259E-4</v>
      </c>
      <c r="AZ232" s="62">
        <f ca="1"/>
        <v>3.3121094798523023</v>
      </c>
      <c r="BA232" s="60">
        <f ca="1"/>
        <v>-100.65477760805804</v>
      </c>
      <c r="BB232" s="60">
        <f ca="1"/>
        <v>71.384887184801698</v>
      </c>
    </row>
    <row r="233" spans="1:54" x14ac:dyDescent="0.3">
      <c r="A233" t="s">
        <v>497</v>
      </c>
      <c r="B233" t="s">
        <v>498</v>
      </c>
      <c r="C233" t="s">
        <v>29</v>
      </c>
      <c r="D233" t="s">
        <v>85</v>
      </c>
      <c r="E233" t="s">
        <v>84</v>
      </c>
      <c r="F233" t="s">
        <v>158</v>
      </c>
      <c r="G233" t="s">
        <v>1390</v>
      </c>
      <c r="H233" t="s">
        <v>1576</v>
      </c>
      <c r="I233" t="s">
        <v>1016</v>
      </c>
      <c r="J233" t="s">
        <v>123</v>
      </c>
      <c r="K233" t="s">
        <v>123</v>
      </c>
      <c r="L233" t="s">
        <v>307</v>
      </c>
      <c r="M233" t="s">
        <v>85</v>
      </c>
      <c r="N233" t="s">
        <v>56</v>
      </c>
      <c r="O233" t="s">
        <v>36</v>
      </c>
      <c r="P233" t="s">
        <v>84</v>
      </c>
      <c r="Q233" t="s">
        <v>84</v>
      </c>
      <c r="V233" t="s">
        <v>49</v>
      </c>
      <c r="W233" t="s">
        <v>84</v>
      </c>
      <c r="X233" t="s">
        <v>956</v>
      </c>
      <c r="Y233" t="s">
        <v>1016</v>
      </c>
      <c r="Z233" t="s">
        <v>84</v>
      </c>
      <c r="AA233" t="s">
        <v>84</v>
      </c>
      <c r="AB233" t="s">
        <v>36</v>
      </c>
      <c r="AC233" t="s">
        <v>1340</v>
      </c>
      <c r="AD233" t="s">
        <v>36</v>
      </c>
      <c r="AE233" t="s">
        <v>1340</v>
      </c>
      <c r="AF233" t="s">
        <v>86</v>
      </c>
      <c r="AG233" t="s">
        <v>269</v>
      </c>
      <c r="AH233" t="s">
        <v>183</v>
      </c>
      <c r="AI233" s="4">
        <f ca="1">data[[#This Row],[Expiry Date]]-TODAY()</f>
        <v>42</v>
      </c>
      <c r="AJ233" s="4">
        <f ca="1">data[[#This Row],[Maturity ( Days)]]/365</f>
        <v>0.11506849315068493</v>
      </c>
      <c r="AK233" s="4" t="str">
        <f>IF(data[[#This Row],[Option Type]]="put","p","c")</f>
        <v>p</v>
      </c>
      <c r="AL233" s="4">
        <f>(data[[#This Row],[Bid]]*data[[#This Row],[Bidsize]]+data[[#This Row],[Ask]]*data[[#This Row],[Asksize]])/(data[[#This Row],[Bidsize]]+data[[#This Row],[Asksize]])</f>
        <v>355.3</v>
      </c>
      <c r="AM233" s="4">
        <f>VALUE(data[[#This Row],[Strike]])</f>
        <v>4300</v>
      </c>
      <c r="AN233" s="5">
        <f ca="1">impliedVol(data[[#This Row],[OptType]],Details!$B$4,VALUE(data[[#This Row],[Strike]]),VALUE(data[[#This Row],[Cnt Price]]),Details!$B$6,data[[#This Row],[T]],Details!$B$7)</f>
        <v>2.543059086185106E+116</v>
      </c>
      <c r="AO233" s="7">
        <f t="array" aca="1" ref="AO233:AS233" ca="1">bsGreeks(data[[#This Row],[OptType]],Details!$B$4,VALUE(data[[#This Row],[Strike]]),Details!$B$6,data[[#This Row],[T]],AN233,Details!$B$7)</f>
        <v>0</v>
      </c>
      <c r="AP233" s="7">
        <f ca="1"/>
        <v>0</v>
      </c>
      <c r="AQ233" s="6">
        <f ca="1"/>
        <v>0</v>
      </c>
      <c r="AR233" s="6">
        <f ca="1"/>
        <v>11.767273699906632</v>
      </c>
      <c r="AS233" s="6">
        <f ca="1"/>
        <v>-493.65712463630791</v>
      </c>
      <c r="AU233" s="60">
        <f ca="1"/>
        <v>4295.0549004659206</v>
      </c>
      <c r="AV233" s="61" t="str">
        <f ca="1"/>
        <v>p</v>
      </c>
      <c r="AW233" s="63">
        <f ca="1"/>
        <v>2.543059086185106E+116</v>
      </c>
      <c r="AX233" s="62">
        <f ca="1"/>
        <v>0</v>
      </c>
      <c r="AY233" s="62">
        <f ca="1"/>
        <v>0</v>
      </c>
      <c r="AZ233" s="62">
        <f ca="1"/>
        <v>0</v>
      </c>
      <c r="BA233" s="60">
        <f ca="1"/>
        <v>11.767273699906632</v>
      </c>
      <c r="BB233" s="60">
        <f ca="1"/>
        <v>-493.65712463630791</v>
      </c>
    </row>
    <row r="234" spans="1:54" x14ac:dyDescent="0.3">
      <c r="A234" t="s">
        <v>714</v>
      </c>
      <c r="B234" t="s">
        <v>715</v>
      </c>
      <c r="C234" t="s">
        <v>57</v>
      </c>
      <c r="D234" t="s">
        <v>109</v>
      </c>
      <c r="E234" t="s">
        <v>84</v>
      </c>
      <c r="F234" t="s">
        <v>191</v>
      </c>
      <c r="G234" t="s">
        <v>1038</v>
      </c>
      <c r="H234" t="s">
        <v>1071</v>
      </c>
      <c r="I234" t="s">
        <v>1224</v>
      </c>
      <c r="J234" t="s">
        <v>1034</v>
      </c>
      <c r="K234" t="s">
        <v>918</v>
      </c>
      <c r="L234" t="s">
        <v>307</v>
      </c>
      <c r="M234" t="s">
        <v>104</v>
      </c>
      <c r="N234" t="s">
        <v>56</v>
      </c>
      <c r="O234" t="s">
        <v>36</v>
      </c>
      <c r="P234" t="s">
        <v>84</v>
      </c>
      <c r="Q234" t="s">
        <v>84</v>
      </c>
      <c r="V234" t="s">
        <v>49</v>
      </c>
      <c r="W234" t="s">
        <v>84</v>
      </c>
      <c r="X234" t="s">
        <v>1158</v>
      </c>
      <c r="Y234" t="s">
        <v>1224</v>
      </c>
      <c r="Z234" t="s">
        <v>84</v>
      </c>
      <c r="AA234" t="s">
        <v>84</v>
      </c>
      <c r="AB234" t="s">
        <v>36</v>
      </c>
      <c r="AC234" t="s">
        <v>1340</v>
      </c>
      <c r="AD234" t="s">
        <v>36</v>
      </c>
      <c r="AE234" t="s">
        <v>1340</v>
      </c>
      <c r="AF234" t="s">
        <v>86</v>
      </c>
      <c r="AG234" t="s">
        <v>269</v>
      </c>
      <c r="AH234" t="s">
        <v>183</v>
      </c>
      <c r="AI234" s="4">
        <f ca="1">data[[#This Row],[Expiry Date]]-TODAY()</f>
        <v>42</v>
      </c>
      <c r="AJ234" s="4">
        <f ca="1">data[[#This Row],[Maturity ( Days)]]/365</f>
        <v>0.11506849315068493</v>
      </c>
      <c r="AK234" s="4" t="str">
        <f>IF(data[[#This Row],[Option Type]]="put","p","c")</f>
        <v>c</v>
      </c>
      <c r="AL234" s="4">
        <f>(data[[#This Row],[Bid]]*data[[#This Row],[Bidsize]]+data[[#This Row],[Ask]]*data[[#This Row],[Asksize]])/(data[[#This Row],[Bidsize]]+data[[#This Row],[Asksize]])</f>
        <v>25.212727272727275</v>
      </c>
      <c r="AM234" s="4">
        <f>VALUE(data[[#This Row],[Strike]])</f>
        <v>4310</v>
      </c>
      <c r="AN234" s="5">
        <f ca="1">impliedVol(data[[#This Row],[OptType]],Details!$B$4,VALUE(data[[#This Row],[Strike]]),VALUE(data[[#This Row],[Cnt Price]]),Details!$B$6,data[[#This Row],[T]],Details!$B$7)</f>
        <v>0.24810220502186925</v>
      </c>
      <c r="AO234" s="7">
        <f t="array" aca="1" ref="AO234:AS234" ca="1">bsGreeks(data[[#This Row],[OptType]],Details!$B$4,VALUE(data[[#This Row],[Strike]]),Details!$B$6,data[[#This Row],[T]],AN234,Details!$B$7)</f>
        <v>0.14900741680623336</v>
      </c>
      <c r="AP234" s="7">
        <f ca="1"/>
        <v>7.009990069264889E-4</v>
      </c>
      <c r="AQ234" s="6">
        <f ca="1"/>
        <v>3.0946174538332567</v>
      </c>
      <c r="AR234" s="6">
        <f ca="1"/>
        <v>-92.939674683299955</v>
      </c>
      <c r="AS234" s="6">
        <f ca="1"/>
        <v>64.485022071516269</v>
      </c>
      <c r="AU234" s="60">
        <f ca="1"/>
        <v>24.560298314220631</v>
      </c>
      <c r="AV234" s="61" t="str">
        <f ca="1"/>
        <v>c</v>
      </c>
      <c r="AW234" s="63">
        <f ca="1"/>
        <v>0.24810220502186925</v>
      </c>
      <c r="AX234" s="62">
        <f ca="1"/>
        <v>0.14900741680623336</v>
      </c>
      <c r="AY234" s="62">
        <f ca="1"/>
        <v>7.009990069264889E-4</v>
      </c>
      <c r="AZ234" s="62">
        <f ca="1"/>
        <v>3.0946174538332567</v>
      </c>
      <c r="BA234" s="60">
        <f ca="1"/>
        <v>-92.939674683299955</v>
      </c>
      <c r="BB234" s="60">
        <f ca="1"/>
        <v>64.485022071516269</v>
      </c>
    </row>
    <row r="235" spans="1:54" x14ac:dyDescent="0.3">
      <c r="A235" t="s">
        <v>499</v>
      </c>
      <c r="B235" t="s">
        <v>500</v>
      </c>
      <c r="C235" t="s">
        <v>29</v>
      </c>
      <c r="D235" t="s">
        <v>85</v>
      </c>
      <c r="E235" t="s">
        <v>84</v>
      </c>
      <c r="F235" t="s">
        <v>191</v>
      </c>
      <c r="G235" t="s">
        <v>1577</v>
      </c>
      <c r="H235" t="s">
        <v>1357</v>
      </c>
      <c r="I235" t="s">
        <v>1017</v>
      </c>
      <c r="J235" t="s">
        <v>123</v>
      </c>
      <c r="K235" t="s">
        <v>123</v>
      </c>
      <c r="L235" t="s">
        <v>307</v>
      </c>
      <c r="M235" t="s">
        <v>85</v>
      </c>
      <c r="N235" t="s">
        <v>56</v>
      </c>
      <c r="O235" t="s">
        <v>36</v>
      </c>
      <c r="P235" t="s">
        <v>84</v>
      </c>
      <c r="Q235" t="s">
        <v>84</v>
      </c>
      <c r="V235" t="s">
        <v>49</v>
      </c>
      <c r="W235" t="s">
        <v>84</v>
      </c>
      <c r="X235" t="s">
        <v>956</v>
      </c>
      <c r="Y235" t="s">
        <v>1017</v>
      </c>
      <c r="Z235" t="s">
        <v>84</v>
      </c>
      <c r="AA235" t="s">
        <v>84</v>
      </c>
      <c r="AB235" t="s">
        <v>36</v>
      </c>
      <c r="AC235" t="s">
        <v>1340</v>
      </c>
      <c r="AD235" t="s">
        <v>36</v>
      </c>
      <c r="AE235" t="s">
        <v>1340</v>
      </c>
      <c r="AF235" t="s">
        <v>86</v>
      </c>
      <c r="AG235" t="s">
        <v>269</v>
      </c>
      <c r="AH235" t="s">
        <v>183</v>
      </c>
      <c r="AI235" s="4">
        <f ca="1">data[[#This Row],[Expiry Date]]-TODAY()</f>
        <v>42</v>
      </c>
      <c r="AJ235" s="4">
        <f ca="1">data[[#This Row],[Maturity ( Days)]]/365</f>
        <v>0.11506849315068493</v>
      </c>
      <c r="AK235" s="4" t="str">
        <f>IF(data[[#This Row],[Option Type]]="put","p","c")</f>
        <v>p</v>
      </c>
      <c r="AL235" s="4">
        <f>(data[[#This Row],[Bid]]*data[[#This Row],[Bidsize]]+data[[#This Row],[Ask]]*data[[#This Row],[Asksize]])/(data[[#This Row],[Bidsize]]+data[[#This Row],[Asksize]])</f>
        <v>363.5</v>
      </c>
      <c r="AM235" s="4">
        <f>VALUE(data[[#This Row],[Strike]])</f>
        <v>4310</v>
      </c>
      <c r="AN235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235" s="7" t="str">
        <f t="array" aca="1" ref="AO235:AS235" ca="1">bsGreeks(data[[#This Row],[OptType]],Details!$B$4,VALUE(data[[#This Row],[Strike]]),Details!$B$6,data[[#This Row],[T]],AN235,Details!$B$7)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35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35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35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35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35" s="60">
        <f ca="1"/>
        <v>0</v>
      </c>
      <c r="AV235" s="61" t="str">
        <f ca="1"/>
        <v>p</v>
      </c>
      <c r="AW235" s="63" t="str">
        <f ca="1"/>
        <v>Calculation Error : Vega is Zero</v>
      </c>
      <c r="AX235" s="62">
        <f ca="1"/>
        <v>0</v>
      </c>
      <c r="AY235" s="62">
        <f ca="1"/>
        <v>0</v>
      </c>
      <c r="AZ235" s="62">
        <f ca="1"/>
        <v>0</v>
      </c>
      <c r="BA235" s="60">
        <f ca="1"/>
        <v>0</v>
      </c>
      <c r="BB235" s="60">
        <f ca="1"/>
        <v>0</v>
      </c>
    </row>
    <row r="236" spans="1:54" x14ac:dyDescent="0.3">
      <c r="A236" t="s">
        <v>716</v>
      </c>
      <c r="B236" t="s">
        <v>717</v>
      </c>
      <c r="C236" t="s">
        <v>57</v>
      </c>
      <c r="D236" t="s">
        <v>85</v>
      </c>
      <c r="E236" t="s">
        <v>84</v>
      </c>
      <c r="F236" t="s">
        <v>159</v>
      </c>
      <c r="G236" t="s">
        <v>1578</v>
      </c>
      <c r="H236" t="s">
        <v>1168</v>
      </c>
      <c r="I236" t="s">
        <v>938</v>
      </c>
      <c r="J236" t="s">
        <v>828</v>
      </c>
      <c r="K236" t="s">
        <v>1108</v>
      </c>
      <c r="L236" t="s">
        <v>307</v>
      </c>
      <c r="M236" t="s">
        <v>254</v>
      </c>
      <c r="N236" t="s">
        <v>56</v>
      </c>
      <c r="O236" t="s">
        <v>36</v>
      </c>
      <c r="P236" t="s">
        <v>84</v>
      </c>
      <c r="Q236" t="s">
        <v>84</v>
      </c>
      <c r="V236" t="s">
        <v>49</v>
      </c>
      <c r="W236" t="s">
        <v>84</v>
      </c>
      <c r="X236" t="s">
        <v>1105</v>
      </c>
      <c r="Y236" t="s">
        <v>938</v>
      </c>
      <c r="Z236" t="s">
        <v>84</v>
      </c>
      <c r="AA236" t="s">
        <v>84</v>
      </c>
      <c r="AB236" t="s">
        <v>36</v>
      </c>
      <c r="AC236" t="s">
        <v>1340</v>
      </c>
      <c r="AD236" t="s">
        <v>36</v>
      </c>
      <c r="AE236" t="s">
        <v>1340</v>
      </c>
      <c r="AF236" t="s">
        <v>86</v>
      </c>
      <c r="AG236" t="s">
        <v>269</v>
      </c>
      <c r="AH236" t="s">
        <v>183</v>
      </c>
      <c r="AI236" s="4">
        <f ca="1">data[[#This Row],[Expiry Date]]-TODAY()</f>
        <v>42</v>
      </c>
      <c r="AJ236" s="4">
        <f ca="1">data[[#This Row],[Maturity ( Days)]]/365</f>
        <v>0.11506849315068493</v>
      </c>
      <c r="AK236" s="4" t="str">
        <f>IF(data[[#This Row],[Option Type]]="put","p","c")</f>
        <v>c</v>
      </c>
      <c r="AL236" s="4">
        <f>(data[[#This Row],[Bid]]*data[[#This Row],[Bidsize]]+data[[#This Row],[Ask]]*data[[#This Row],[Asksize]])/(data[[#This Row],[Bidsize]]+data[[#This Row],[Asksize]])</f>
        <v>22.806976744186045</v>
      </c>
      <c r="AM236" s="4">
        <f>VALUE(data[[#This Row],[Strike]])</f>
        <v>4325</v>
      </c>
      <c r="AN236" s="5">
        <f ca="1">impliedVol(data[[#This Row],[OptType]],Details!$B$4,VALUE(data[[#This Row],[Strike]]),VALUE(data[[#This Row],[Cnt Price]]),Details!$B$6,data[[#This Row],[T]],Details!$B$7)</f>
        <v>0.24650836093209841</v>
      </c>
      <c r="AO236" s="7">
        <f t="array" aca="1" ref="AO236:AS236" ca="1">bsGreeks(data[[#This Row],[OptType]],Details!$B$4,VALUE(data[[#This Row],[Strike]]),Details!$B$6,data[[#This Row],[T]],AN236,Details!$B$7)</f>
        <v>0.13796251545358446</v>
      </c>
      <c r="AP236" s="7">
        <f ca="1"/>
        <v>6.6978285640636147E-4</v>
      </c>
      <c r="AQ236" s="6">
        <f ca="1"/>
        <v>2.9378162255092808</v>
      </c>
      <c r="AR236" s="6">
        <f ca="1"/>
        <v>-87.638502820169265</v>
      </c>
      <c r="AS236" s="6">
        <f ca="1"/>
        <v>59.766993534966424</v>
      </c>
      <c r="AU236" s="60">
        <f ca="1"/>
        <v>22.202074509677686</v>
      </c>
      <c r="AV236" s="61" t="str">
        <f ca="1"/>
        <v>c</v>
      </c>
      <c r="AW236" s="63">
        <f ca="1"/>
        <v>0.24650836093209841</v>
      </c>
      <c r="AX236" s="62">
        <f ca="1"/>
        <v>0.13796251545358446</v>
      </c>
      <c r="AY236" s="62">
        <f ca="1"/>
        <v>6.6978285640636147E-4</v>
      </c>
      <c r="AZ236" s="62">
        <f ca="1"/>
        <v>2.9378162255092808</v>
      </c>
      <c r="BA236" s="60">
        <f ca="1"/>
        <v>-87.638502820169265</v>
      </c>
      <c r="BB236" s="60">
        <f ca="1"/>
        <v>59.766993534966424</v>
      </c>
    </row>
    <row r="237" spans="1:54" x14ac:dyDescent="0.3">
      <c r="A237" t="s">
        <v>720</v>
      </c>
      <c r="B237" t="s">
        <v>721</v>
      </c>
      <c r="C237" t="s">
        <v>29</v>
      </c>
      <c r="D237" t="s">
        <v>85</v>
      </c>
      <c r="E237" t="s">
        <v>84</v>
      </c>
      <c r="F237" t="s">
        <v>166</v>
      </c>
      <c r="G237" t="s">
        <v>1579</v>
      </c>
      <c r="H237" t="s">
        <v>1580</v>
      </c>
      <c r="I237" t="s">
        <v>722</v>
      </c>
      <c r="J237" t="s">
        <v>123</v>
      </c>
      <c r="K237" t="s">
        <v>123</v>
      </c>
      <c r="L237" t="s">
        <v>307</v>
      </c>
      <c r="M237" t="s">
        <v>109</v>
      </c>
      <c r="N237" t="s">
        <v>56</v>
      </c>
      <c r="O237" t="s">
        <v>36</v>
      </c>
      <c r="P237" t="s">
        <v>84</v>
      </c>
      <c r="Q237" t="s">
        <v>84</v>
      </c>
      <c r="V237" t="s">
        <v>49</v>
      </c>
      <c r="W237" t="s">
        <v>84</v>
      </c>
      <c r="X237" t="s">
        <v>220</v>
      </c>
      <c r="Y237" t="s">
        <v>722</v>
      </c>
      <c r="Z237" t="s">
        <v>84</v>
      </c>
      <c r="AA237" t="s">
        <v>84</v>
      </c>
      <c r="AB237" t="s">
        <v>36</v>
      </c>
      <c r="AC237" t="s">
        <v>1340</v>
      </c>
      <c r="AD237" t="s">
        <v>36</v>
      </c>
      <c r="AE237" t="s">
        <v>1340</v>
      </c>
      <c r="AF237" t="s">
        <v>86</v>
      </c>
      <c r="AG237" t="s">
        <v>269</v>
      </c>
      <c r="AH237" t="s">
        <v>183</v>
      </c>
      <c r="AI237" s="4">
        <f ca="1">data[[#This Row],[Expiry Date]]-TODAY()</f>
        <v>42</v>
      </c>
      <c r="AJ237" s="4">
        <f ca="1">data[[#This Row],[Maturity ( Days)]]/365</f>
        <v>0.11506849315068493</v>
      </c>
      <c r="AK237" s="4" t="str">
        <f>IF(data[[#This Row],[Option Type]]="put","p","c")</f>
        <v>p</v>
      </c>
      <c r="AL237" s="4">
        <f>(data[[#This Row],[Bid]]*data[[#This Row],[Bidsize]]+data[[#This Row],[Ask]]*data[[#This Row],[Asksize]])/(data[[#This Row],[Bidsize]]+data[[#This Row],[Asksize]])</f>
        <v>397.04999999999995</v>
      </c>
      <c r="AM237" s="4">
        <f>VALUE(data[[#This Row],[Strike]])</f>
        <v>4350</v>
      </c>
      <c r="AN237" s="5">
        <f ca="1">impliedVol(data[[#This Row],[OptType]],Details!$B$4,VALUE(data[[#This Row],[Strike]]),VALUE(data[[#This Row],[Cnt Price]]),Details!$B$6,data[[#This Row],[T]],Details!$B$7)</f>
        <v>0.45203885536851485</v>
      </c>
      <c r="AO237" s="7">
        <f t="array" aca="1" ref="AO237:AS237" ca="1">bsGreeks(data[[#This Row],[OptType]],Details!$B$4,VALUE(data[[#This Row],[Strike]]),Details!$B$6,data[[#This Row],[T]],AN237,Details!$B$7)</f>
        <v>-0.71832096479174867</v>
      </c>
      <c r="AP237" s="7">
        <f ca="1"/>
        <v>5.5955717194765536E-4</v>
      </c>
      <c r="AQ237" s="6">
        <f ca="1"/>
        <v>4.5006907921047876</v>
      </c>
      <c r="AR237" s="6">
        <f ca="1"/>
        <v>-233.06240553190912</v>
      </c>
      <c r="AS237" s="6">
        <f ca="1"/>
        <v>-383.37314221031022</v>
      </c>
      <c r="AU237" s="60">
        <f ca="1"/>
        <v>512.47224511485001</v>
      </c>
      <c r="AV237" s="61" t="str">
        <f ca="1"/>
        <v>p</v>
      </c>
      <c r="AW237" s="63">
        <f ca="1"/>
        <v>0.45203885536851485</v>
      </c>
      <c r="AX237" s="62">
        <f ca="1"/>
        <v>-0.71832096479174867</v>
      </c>
      <c r="AY237" s="62">
        <f ca="1"/>
        <v>5.5955717194765536E-4</v>
      </c>
      <c r="AZ237" s="62">
        <f ca="1"/>
        <v>4.5006907921047876</v>
      </c>
      <c r="BA237" s="60">
        <f ca="1"/>
        <v>-233.06240553190912</v>
      </c>
      <c r="BB237" s="60">
        <f ca="1"/>
        <v>-383.37314221031022</v>
      </c>
    </row>
    <row r="238" spans="1:54" x14ac:dyDescent="0.3">
      <c r="A238" t="s">
        <v>723</v>
      </c>
      <c r="B238" t="s">
        <v>724</v>
      </c>
      <c r="C238" t="s">
        <v>57</v>
      </c>
      <c r="D238" t="s">
        <v>85</v>
      </c>
      <c r="E238" t="s">
        <v>84</v>
      </c>
      <c r="F238" t="s">
        <v>142</v>
      </c>
      <c r="G238" t="s">
        <v>1344</v>
      </c>
      <c r="H238" t="s">
        <v>961</v>
      </c>
      <c r="I238" t="s">
        <v>116</v>
      </c>
      <c r="J238" t="s">
        <v>876</v>
      </c>
      <c r="K238" t="s">
        <v>1363</v>
      </c>
      <c r="L238" t="s">
        <v>307</v>
      </c>
      <c r="M238" t="s">
        <v>1225</v>
      </c>
      <c r="N238" t="s">
        <v>56</v>
      </c>
      <c r="O238" t="s">
        <v>36</v>
      </c>
      <c r="P238" t="s">
        <v>84</v>
      </c>
      <c r="Q238" t="s">
        <v>84</v>
      </c>
      <c r="V238" t="s">
        <v>49</v>
      </c>
      <c r="W238" t="s">
        <v>84</v>
      </c>
      <c r="X238" t="s">
        <v>1243</v>
      </c>
      <c r="Y238" t="s">
        <v>116</v>
      </c>
      <c r="Z238" t="s">
        <v>84</v>
      </c>
      <c r="AA238" t="s">
        <v>84</v>
      </c>
      <c r="AB238" t="s">
        <v>36</v>
      </c>
      <c r="AC238" t="s">
        <v>1340</v>
      </c>
      <c r="AD238" t="s">
        <v>36</v>
      </c>
      <c r="AE238" t="s">
        <v>1340</v>
      </c>
      <c r="AF238" t="s">
        <v>86</v>
      </c>
      <c r="AG238" t="s">
        <v>269</v>
      </c>
      <c r="AH238" t="s">
        <v>183</v>
      </c>
      <c r="AI238" s="4">
        <f ca="1">data[[#This Row],[Expiry Date]]-TODAY()</f>
        <v>42</v>
      </c>
      <c r="AJ238" s="4">
        <f ca="1">data[[#This Row],[Maturity ( Days)]]/365</f>
        <v>0.11506849315068493</v>
      </c>
      <c r="AK238" s="4" t="str">
        <f>IF(data[[#This Row],[Option Type]]="put","p","c")</f>
        <v>c</v>
      </c>
      <c r="AL238" s="4">
        <f>(data[[#This Row],[Bid]]*data[[#This Row],[Bidsize]]+data[[#This Row],[Ask]]*data[[#This Row],[Asksize]])/(data[[#This Row],[Bidsize]]+data[[#This Row],[Asksize]])</f>
        <v>12.926666666666666</v>
      </c>
      <c r="AM238" s="4">
        <f>VALUE(data[[#This Row],[Strike]])</f>
        <v>4400</v>
      </c>
      <c r="AN238" s="5">
        <f ca="1">impliedVol(data[[#This Row],[OptType]],Details!$B$4,VALUE(data[[#This Row],[Strike]]),VALUE(data[[#This Row],[Cnt Price]]),Details!$B$6,data[[#This Row],[T]],Details!$B$7)</f>
        <v>0.23715995630227893</v>
      </c>
      <c r="AO238" s="7">
        <f t="array" aca="1" ref="AO238:AS238" ca="1">bsGreeks(data[[#This Row],[OptType]],Details!$B$4,VALUE(data[[#This Row],[Strike]]),Details!$B$6,data[[#This Row],[T]],AN238,Details!$B$7)</f>
        <v>8.8603347526028386E-2</v>
      </c>
      <c r="AP238" s="7">
        <f ca="1"/>
        <v>5.0709214696169748E-4</v>
      </c>
      <c r="AQ238" s="6">
        <f ca="1"/>
        <v>2.1398690157593299</v>
      </c>
      <c r="AR238" s="6">
        <f ca="1"/>
        <v>-61.335303102080857</v>
      </c>
      <c r="AS238" s="6">
        <f ca="1"/>
        <v>38.582097546096342</v>
      </c>
      <c r="AU238" s="60">
        <f ca="1"/>
        <v>12.535400902293986</v>
      </c>
      <c r="AV238" s="61" t="str">
        <f ca="1"/>
        <v>c</v>
      </c>
      <c r="AW238" s="63">
        <f ca="1"/>
        <v>0.23715995630227893</v>
      </c>
      <c r="AX238" s="62">
        <f ca="1"/>
        <v>8.8603347526028386E-2</v>
      </c>
      <c r="AY238" s="62">
        <f ca="1"/>
        <v>5.0709214696169748E-4</v>
      </c>
      <c r="AZ238" s="62">
        <f ca="1"/>
        <v>2.1398690157593299</v>
      </c>
      <c r="BA238" s="60">
        <f ca="1"/>
        <v>-61.335303102080857</v>
      </c>
      <c r="BB238" s="60">
        <f ca="1"/>
        <v>38.582097546096342</v>
      </c>
    </row>
    <row r="239" spans="1:54" x14ac:dyDescent="0.3">
      <c r="A239" t="s">
        <v>725</v>
      </c>
      <c r="B239" t="s">
        <v>726</v>
      </c>
      <c r="C239" t="s">
        <v>29</v>
      </c>
      <c r="D239" t="s">
        <v>85</v>
      </c>
      <c r="E239" t="s">
        <v>84</v>
      </c>
      <c r="F239" t="s">
        <v>142</v>
      </c>
      <c r="G239" t="s">
        <v>1581</v>
      </c>
      <c r="H239" t="s">
        <v>1021</v>
      </c>
      <c r="I239" t="s">
        <v>727</v>
      </c>
      <c r="J239" t="s">
        <v>109</v>
      </c>
      <c r="K239" t="s">
        <v>109</v>
      </c>
      <c r="L239" t="s">
        <v>307</v>
      </c>
      <c r="M239" t="s">
        <v>85</v>
      </c>
      <c r="N239" t="s">
        <v>56</v>
      </c>
      <c r="O239" t="s">
        <v>36</v>
      </c>
      <c r="P239" t="s">
        <v>84</v>
      </c>
      <c r="Q239" t="s">
        <v>84</v>
      </c>
      <c r="V239" t="s">
        <v>49</v>
      </c>
      <c r="W239" t="s">
        <v>84</v>
      </c>
      <c r="X239" t="s">
        <v>220</v>
      </c>
      <c r="Y239" t="s">
        <v>727</v>
      </c>
      <c r="Z239" t="s">
        <v>84</v>
      </c>
      <c r="AA239" t="s">
        <v>84</v>
      </c>
      <c r="AB239" t="s">
        <v>36</v>
      </c>
      <c r="AC239" t="s">
        <v>1340</v>
      </c>
      <c r="AD239" t="s">
        <v>36</v>
      </c>
      <c r="AE239" t="s">
        <v>1340</v>
      </c>
      <c r="AF239" t="s">
        <v>86</v>
      </c>
      <c r="AG239" t="s">
        <v>269</v>
      </c>
      <c r="AH239" t="s">
        <v>183</v>
      </c>
      <c r="AI239" s="4">
        <f ca="1">data[[#This Row],[Expiry Date]]-TODAY()</f>
        <v>42</v>
      </c>
      <c r="AJ239" s="4">
        <f ca="1">data[[#This Row],[Maturity ( Days)]]/365</f>
        <v>0.11506849315068493</v>
      </c>
      <c r="AK239" s="4" t="str">
        <f>IF(data[[#This Row],[Option Type]]="put","p","c")</f>
        <v>p</v>
      </c>
      <c r="AL239" s="4">
        <f>(data[[#This Row],[Bid]]*data[[#This Row],[Bidsize]]+data[[#This Row],[Ask]]*data[[#This Row],[Asksize]])/(data[[#This Row],[Bidsize]]+data[[#This Row],[Asksize]])</f>
        <v>440.95000000000005</v>
      </c>
      <c r="AM239" s="4">
        <f>VALUE(data[[#This Row],[Strike]])</f>
        <v>4400</v>
      </c>
      <c r="AN239" s="5" t="str">
        <f ca="1">impliedVol(data[[#This Row],[OptType]],Details!$B$4,VALUE(data[[#This Row],[Strike]]),VALUE(data[[#This Row],[Cnt Price]]),Details!$B$6,data[[#This Row],[T]],Details!$B$7)</f>
        <v>Calculation Error : Vega is Zero</v>
      </c>
      <c r="AO239" s="7" t="str">
        <f t="array" aca="1" ref="AO239:AS239" ca="1">bsGreeks(data[[#This Row],[OptType]],Details!$B$4,VALUE(data[[#This Row],[Strike]]),Details!$B$6,data[[#This Row],[T]],AN239,Details!$B$7)</f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39" s="7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39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39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39" s="6" t="str">
        <f ca="1"/>
        <v>TypeError: can't multiply sequence by non-int of type 'numpy.float64'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39" s="60">
        <f ca="1"/>
        <v>0</v>
      </c>
      <c r="AV239" s="61" t="str">
        <f ca="1"/>
        <v>p</v>
      </c>
      <c r="AW239" s="63" t="str">
        <f ca="1"/>
        <v>Calculation Error : Vega is Zero</v>
      </c>
      <c r="AX239" s="62">
        <f ca="1"/>
        <v>0</v>
      </c>
      <c r="AY239" s="62">
        <f ca="1"/>
        <v>0</v>
      </c>
      <c r="AZ239" s="62">
        <f ca="1"/>
        <v>0</v>
      </c>
      <c r="BA239" s="60">
        <f ca="1"/>
        <v>0</v>
      </c>
      <c r="BB239" s="60">
        <f ca="1"/>
        <v>0</v>
      </c>
    </row>
    <row r="240" spans="1:54" x14ac:dyDescent="0.3">
      <c r="A240" t="s">
        <v>728</v>
      </c>
      <c r="B240" t="s">
        <v>729</v>
      </c>
      <c r="C240" t="s">
        <v>57</v>
      </c>
      <c r="D240" t="s">
        <v>85</v>
      </c>
      <c r="E240" t="s">
        <v>84</v>
      </c>
      <c r="F240" t="s">
        <v>124</v>
      </c>
      <c r="G240" t="s">
        <v>1103</v>
      </c>
      <c r="H240" t="s">
        <v>959</v>
      </c>
      <c r="I240" t="s">
        <v>1319</v>
      </c>
      <c r="J240" t="s">
        <v>976</v>
      </c>
      <c r="K240" t="s">
        <v>1388</v>
      </c>
      <c r="L240" t="s">
        <v>307</v>
      </c>
      <c r="M240" t="s">
        <v>940</v>
      </c>
      <c r="N240" t="s">
        <v>56</v>
      </c>
      <c r="O240" t="s">
        <v>36</v>
      </c>
      <c r="P240" t="s">
        <v>84</v>
      </c>
      <c r="Q240" t="s">
        <v>84</v>
      </c>
      <c r="V240" t="s">
        <v>49</v>
      </c>
      <c r="W240" t="s">
        <v>84</v>
      </c>
      <c r="X240" t="s">
        <v>1243</v>
      </c>
      <c r="Y240" t="s">
        <v>1319</v>
      </c>
      <c r="Z240" t="s">
        <v>84</v>
      </c>
      <c r="AA240" t="s">
        <v>84</v>
      </c>
      <c r="AB240" t="s">
        <v>36</v>
      </c>
      <c r="AC240" t="s">
        <v>1340</v>
      </c>
      <c r="AD240" t="s">
        <v>36</v>
      </c>
      <c r="AE240" t="s">
        <v>1340</v>
      </c>
      <c r="AF240" t="s">
        <v>86</v>
      </c>
      <c r="AG240" t="s">
        <v>269</v>
      </c>
      <c r="AH240" t="s">
        <v>183</v>
      </c>
      <c r="AI240" s="4">
        <f ca="1">data[[#This Row],[Expiry Date]]-TODAY()</f>
        <v>42</v>
      </c>
      <c r="AJ240" s="4">
        <f ca="1">data[[#This Row],[Maturity ( Days)]]/365</f>
        <v>0.11506849315068493</v>
      </c>
      <c r="AK240" s="4" t="str">
        <f>IF(data[[#This Row],[Option Type]]="put","p","c")</f>
        <v>c</v>
      </c>
      <c r="AL240" s="4">
        <f>(data[[#This Row],[Bid]]*data[[#This Row],[Bidsize]]+data[[#This Row],[Ask]]*data[[#This Row],[Asksize]])/(data[[#This Row],[Bidsize]]+data[[#This Row],[Asksize]])</f>
        <v>8.6957142857142866</v>
      </c>
      <c r="AM240" s="4">
        <f>VALUE(data[[#This Row],[Strike]])</f>
        <v>4450</v>
      </c>
      <c r="AN240" s="5">
        <f ca="1">impliedVol(data[[#This Row],[OptType]],Details!$B$4,VALUE(data[[#This Row],[Strike]]),VALUE(data[[#This Row],[Cnt Price]]),Details!$B$6,data[[#This Row],[T]],Details!$B$7)</f>
        <v>0.23260107925026713</v>
      </c>
      <c r="AO240" s="7">
        <f t="array" aca="1" ref="AO240:AS240" ca="1">bsGreeks(data[[#This Row],[OptType]],Details!$B$4,VALUE(data[[#This Row],[Strike]]),Details!$B$6,data[[#This Row],[T]],AN240,Details!$B$7)</f>
        <v>6.4177059665446554E-2</v>
      </c>
      <c r="AP240" s="7">
        <f ca="1"/>
        <v>4.0439869412803038E-4</v>
      </c>
      <c r="AQ240" s="6">
        <f ca="1"/>
        <v>1.6737107819056067</v>
      </c>
      <c r="AR240" s="6">
        <f ca="1"/>
        <v>-47.014035708655626</v>
      </c>
      <c r="AS240" s="6">
        <f ca="1"/>
        <v>28.022564940935641</v>
      </c>
      <c r="AU240" s="60">
        <f ca="1"/>
        <v>8.4111582977208741</v>
      </c>
      <c r="AV240" s="61" t="str">
        <f ca="1"/>
        <v>c</v>
      </c>
      <c r="AW240" s="63">
        <f ca="1"/>
        <v>0.23260107925026713</v>
      </c>
      <c r="AX240" s="62">
        <f ca="1"/>
        <v>6.4177059665446554E-2</v>
      </c>
      <c r="AY240" s="62">
        <f ca="1"/>
        <v>4.0439869412803038E-4</v>
      </c>
      <c r="AZ240" s="62">
        <f ca="1"/>
        <v>1.6737107819056067</v>
      </c>
      <c r="BA240" s="60">
        <f ca="1"/>
        <v>-47.014035708655626</v>
      </c>
      <c r="BB240" s="60">
        <f ca="1"/>
        <v>28.022564940935641</v>
      </c>
    </row>
    <row r="241" spans="1:54" x14ac:dyDescent="0.3">
      <c r="A241" t="s">
        <v>730</v>
      </c>
      <c r="B241" t="s">
        <v>731</v>
      </c>
      <c r="C241" t="s">
        <v>57</v>
      </c>
      <c r="D241" t="s">
        <v>98</v>
      </c>
      <c r="E241" t="s">
        <v>84</v>
      </c>
      <c r="F241" t="s">
        <v>126</v>
      </c>
      <c r="G241" t="s">
        <v>1104</v>
      </c>
      <c r="H241" t="s">
        <v>875</v>
      </c>
      <c r="I241" t="s">
        <v>1320</v>
      </c>
      <c r="J241" t="s">
        <v>1052</v>
      </c>
      <c r="K241" t="s">
        <v>1231</v>
      </c>
      <c r="L241" t="s">
        <v>307</v>
      </c>
      <c r="M241" t="s">
        <v>1227</v>
      </c>
      <c r="N241" t="s">
        <v>56</v>
      </c>
      <c r="O241" t="s">
        <v>36</v>
      </c>
      <c r="P241" t="s">
        <v>84</v>
      </c>
      <c r="Q241" t="s">
        <v>84</v>
      </c>
      <c r="V241" t="s">
        <v>49</v>
      </c>
      <c r="W241" t="s">
        <v>84</v>
      </c>
      <c r="X241" t="s">
        <v>1105</v>
      </c>
      <c r="Y241" t="s">
        <v>1320</v>
      </c>
      <c r="Z241" t="s">
        <v>84</v>
      </c>
      <c r="AA241" t="s">
        <v>84</v>
      </c>
      <c r="AB241" t="s">
        <v>36</v>
      </c>
      <c r="AC241" t="s">
        <v>1340</v>
      </c>
      <c r="AD241" t="s">
        <v>36</v>
      </c>
      <c r="AE241" t="s">
        <v>1340</v>
      </c>
      <c r="AF241" t="s">
        <v>86</v>
      </c>
      <c r="AG241" t="s">
        <v>269</v>
      </c>
      <c r="AH241" t="s">
        <v>183</v>
      </c>
      <c r="AI241" s="4">
        <f ca="1">data[[#This Row],[Expiry Date]]-TODAY()</f>
        <v>42</v>
      </c>
      <c r="AJ241" s="4">
        <f ca="1">data[[#This Row],[Maturity ( Days)]]/365</f>
        <v>0.11506849315068493</v>
      </c>
      <c r="AK241" s="4" t="str">
        <f>IF(data[[#This Row],[Option Type]]="put","p","c")</f>
        <v>c</v>
      </c>
      <c r="AL241" s="4">
        <f>(data[[#This Row],[Bid]]*data[[#This Row],[Bidsize]]+data[[#This Row],[Ask]]*data[[#This Row],[Asksize]])/(data[[#This Row],[Bidsize]]+data[[#This Row],[Asksize]])</f>
        <v>5.700550964187328</v>
      </c>
      <c r="AM241" s="4">
        <f>VALUE(data[[#This Row],[Strike]])</f>
        <v>4500</v>
      </c>
      <c r="AN241" s="5">
        <f ca="1">impliedVol(data[[#This Row],[OptType]],Details!$B$4,VALUE(data[[#This Row],[Strike]]),VALUE(data[[#This Row],[Cnt Price]]),Details!$B$6,data[[#This Row],[T]],Details!$B$7)</f>
        <v>0.22847743699093201</v>
      </c>
      <c r="AO241" s="7">
        <f t="array" aca="1" ref="AO241:AS241" ca="1">bsGreeks(data[[#This Row],[OptType]],Details!$B$4,VALUE(data[[#This Row],[Strike]]),Details!$B$6,data[[#This Row],[T]],AN241,Details!$B$7)</f>
        <v>4.516631922523779E-2</v>
      </c>
      <c r="AP241" s="7">
        <f ca="1"/>
        <v>3.1175579549950377E-4</v>
      </c>
      <c r="AQ241" s="6">
        <f ca="1"/>
        <v>1.2674090322975513</v>
      </c>
      <c r="AR241" s="6">
        <f ca="1"/>
        <v>-34.944393012416342</v>
      </c>
      <c r="AS241" s="6">
        <f ca="1"/>
        <v>19.769907900408715</v>
      </c>
      <c r="AU241" s="60">
        <f ca="1"/>
        <v>5.499521096993135</v>
      </c>
      <c r="AV241" s="61" t="str">
        <f ca="1"/>
        <v>c</v>
      </c>
      <c r="AW241" s="63">
        <f ca="1"/>
        <v>0.22847743699093201</v>
      </c>
      <c r="AX241" s="62">
        <f ca="1"/>
        <v>4.516631922523779E-2</v>
      </c>
      <c r="AY241" s="62">
        <f ca="1"/>
        <v>3.1175579549950377E-4</v>
      </c>
      <c r="AZ241" s="62">
        <f ca="1"/>
        <v>1.2674090322975513</v>
      </c>
      <c r="BA241" s="60">
        <f ca="1"/>
        <v>-34.944393012416342</v>
      </c>
      <c r="BB241" s="60">
        <f ca="1"/>
        <v>19.769907900408715</v>
      </c>
    </row>
    <row r="242" spans="1:54" x14ac:dyDescent="0.3">
      <c r="A242" t="s">
        <v>732</v>
      </c>
      <c r="B242" t="s">
        <v>733</v>
      </c>
      <c r="C242" t="s">
        <v>57</v>
      </c>
      <c r="D242" t="s">
        <v>116</v>
      </c>
      <c r="E242" t="s">
        <v>84</v>
      </c>
      <c r="F242" t="s">
        <v>143</v>
      </c>
      <c r="G242" t="s">
        <v>925</v>
      </c>
      <c r="H242" t="s">
        <v>926</v>
      </c>
      <c r="I242" t="s">
        <v>1228</v>
      </c>
      <c r="J242" t="s">
        <v>1026</v>
      </c>
      <c r="K242" t="s">
        <v>1343</v>
      </c>
      <c r="L242" t="s">
        <v>307</v>
      </c>
      <c r="M242" t="s">
        <v>1009</v>
      </c>
      <c r="N242" t="s">
        <v>56</v>
      </c>
      <c r="O242" t="s">
        <v>36</v>
      </c>
      <c r="P242" t="s">
        <v>84</v>
      </c>
      <c r="Q242" t="s">
        <v>84</v>
      </c>
      <c r="V242" t="s">
        <v>49</v>
      </c>
      <c r="W242" t="s">
        <v>84</v>
      </c>
      <c r="X242" t="s">
        <v>1156</v>
      </c>
      <c r="Y242" t="s">
        <v>1228</v>
      </c>
      <c r="Z242" t="s">
        <v>84</v>
      </c>
      <c r="AA242" t="s">
        <v>84</v>
      </c>
      <c r="AB242" t="s">
        <v>36</v>
      </c>
      <c r="AC242" t="s">
        <v>1340</v>
      </c>
      <c r="AD242" t="s">
        <v>36</v>
      </c>
      <c r="AE242" t="s">
        <v>1340</v>
      </c>
      <c r="AF242" t="s">
        <v>86</v>
      </c>
      <c r="AG242" t="s">
        <v>269</v>
      </c>
      <c r="AH242" t="s">
        <v>183</v>
      </c>
      <c r="AI242" s="4">
        <f ca="1">data[[#This Row],[Expiry Date]]-TODAY()</f>
        <v>42</v>
      </c>
      <c r="AJ242" s="4">
        <f ca="1">data[[#This Row],[Maturity ( Days)]]/365</f>
        <v>0.11506849315068493</v>
      </c>
      <c r="AK242" s="4" t="str">
        <f>IF(data[[#This Row],[Option Type]]="put","p","c")</f>
        <v>c</v>
      </c>
      <c r="AL242" s="4">
        <f>(data[[#This Row],[Bid]]*data[[#This Row],[Bidsize]]+data[[#This Row],[Ask]]*data[[#This Row],[Asksize]])/(data[[#This Row],[Bidsize]]+data[[#This Row],[Asksize]])</f>
        <v>2.5768361581920902</v>
      </c>
      <c r="AM242" s="4">
        <f>VALUE(data[[#This Row],[Strike]])</f>
        <v>4600</v>
      </c>
      <c r="AN242" s="5">
        <f ca="1">impliedVol(data[[#This Row],[OptType]],Details!$B$4,VALUE(data[[#This Row],[Strike]]),VALUE(data[[#This Row],[Cnt Price]]),Details!$B$6,data[[#This Row],[T]],Details!$B$7)</f>
        <v>0.22573223229085151</v>
      </c>
      <c r="AO242" s="7">
        <f t="array" aca="1" ref="AO242:AS242" ca="1">bsGreeks(data[[#This Row],[OptType]],Details!$B$4,VALUE(data[[#This Row],[Strike]]),Details!$B$6,data[[#This Row],[T]],AN242,Details!$B$7)</f>
        <v>2.2630852303792189E-2</v>
      </c>
      <c r="AP242" s="7">
        <f ca="1"/>
        <v>1.7841194827935902E-4</v>
      </c>
      <c r="AQ242" s="6">
        <f ca="1"/>
        <v>0.71659942608042715</v>
      </c>
      <c r="AR242" s="6">
        <f ca="1"/>
        <v>-19.493985617849908</v>
      </c>
      <c r="AS242" s="6">
        <f ca="1"/>
        <v>9.9380133082780233</v>
      </c>
      <c r="AU242" s="60">
        <f ca="1"/>
        <v>2.475554653230887</v>
      </c>
      <c r="AV242" s="61" t="str">
        <f ca="1"/>
        <v>c</v>
      </c>
      <c r="AW242" s="63">
        <f ca="1"/>
        <v>0.22573223229085151</v>
      </c>
      <c r="AX242" s="62">
        <f ca="1"/>
        <v>2.2630852303792189E-2</v>
      </c>
      <c r="AY242" s="62">
        <f ca="1"/>
        <v>1.7841194827935902E-4</v>
      </c>
      <c r="AZ242" s="62">
        <f ca="1"/>
        <v>0.71659942608042715</v>
      </c>
      <c r="BA242" s="60">
        <f ca="1"/>
        <v>-19.493985617849908</v>
      </c>
      <c r="BB242" s="60">
        <f ca="1"/>
        <v>9.9380133082780233</v>
      </c>
    </row>
    <row r="243" spans="1:54" x14ac:dyDescent="0.3">
      <c r="A243" t="s">
        <v>734</v>
      </c>
      <c r="B243" t="s">
        <v>735</v>
      </c>
      <c r="C243" t="s">
        <v>57</v>
      </c>
      <c r="D243" t="s">
        <v>94</v>
      </c>
      <c r="E243" t="s">
        <v>84</v>
      </c>
      <c r="F243" t="s">
        <v>147</v>
      </c>
      <c r="G243" t="s">
        <v>768</v>
      </c>
      <c r="H243" t="s">
        <v>1151</v>
      </c>
      <c r="I243" t="s">
        <v>1019</v>
      </c>
      <c r="J243" t="s">
        <v>1531</v>
      </c>
      <c r="K243" t="s">
        <v>910</v>
      </c>
      <c r="L243" t="s">
        <v>307</v>
      </c>
      <c r="M243" t="s">
        <v>883</v>
      </c>
      <c r="N243" t="s">
        <v>56</v>
      </c>
      <c r="O243" t="s">
        <v>36</v>
      </c>
      <c r="P243" t="s">
        <v>84</v>
      </c>
      <c r="Q243" t="s">
        <v>84</v>
      </c>
      <c r="V243" t="s">
        <v>49</v>
      </c>
      <c r="W243" t="s">
        <v>84</v>
      </c>
      <c r="X243" t="s">
        <v>953</v>
      </c>
      <c r="Y243" t="s">
        <v>1019</v>
      </c>
      <c r="Z243" t="s">
        <v>84</v>
      </c>
      <c r="AA243" t="s">
        <v>84</v>
      </c>
      <c r="AB243" t="s">
        <v>36</v>
      </c>
      <c r="AC243" t="s">
        <v>1340</v>
      </c>
      <c r="AD243" t="s">
        <v>36</v>
      </c>
      <c r="AE243" t="s">
        <v>1340</v>
      </c>
      <c r="AF243" t="s">
        <v>86</v>
      </c>
      <c r="AG243" t="s">
        <v>269</v>
      </c>
      <c r="AH243" t="s">
        <v>183</v>
      </c>
      <c r="AI243" s="4">
        <f ca="1">data[[#This Row],[Expiry Date]]-TODAY()</f>
        <v>42</v>
      </c>
      <c r="AJ243" s="4">
        <f ca="1">data[[#This Row],[Maturity ( Days)]]/365</f>
        <v>0.11506849315068493</v>
      </c>
      <c r="AK243" s="4" t="str">
        <f>IF(data[[#This Row],[Option Type]]="put","p","c")</f>
        <v>c</v>
      </c>
      <c r="AL243" s="4">
        <f>(data[[#This Row],[Bid]]*data[[#This Row],[Bidsize]]+data[[#This Row],[Ask]]*data[[#This Row],[Asksize]])/(data[[#This Row],[Bidsize]]+data[[#This Row],[Asksize]])</f>
        <v>0.57598425196850389</v>
      </c>
      <c r="AM243" s="4">
        <f>VALUE(data[[#This Row],[Strike]])</f>
        <v>4800</v>
      </c>
      <c r="AN243" s="5">
        <f ca="1">impliedVol(data[[#This Row],[OptType]],Details!$B$4,VALUE(data[[#This Row],[Strike]]),VALUE(data[[#This Row],[Cnt Price]]),Details!$B$6,data[[#This Row],[T]],Details!$B$7)</f>
        <v>0.22849048117943449</v>
      </c>
      <c r="AO243" s="7">
        <f t="array" aca="1" ref="AO243:AS243" ca="1">bsGreeks(data[[#This Row],[OptType]],Details!$B$4,VALUE(data[[#This Row],[Strike]]),Details!$B$6,data[[#This Row],[T]],AN243,Details!$B$7)</f>
        <v>5.7649597757454254E-3</v>
      </c>
      <c r="AP243" s="7">
        <f ca="1"/>
        <v>5.3812300059579938E-5</v>
      </c>
      <c r="AQ243" s="6">
        <f ca="1"/>
        <v>0.21878050036288768</v>
      </c>
      <c r="AR243" s="6">
        <f ca="1"/>
        <v>-6.0116690330021125</v>
      </c>
      <c r="AS243" s="6">
        <f ca="1"/>
        <v>2.540864965297605</v>
      </c>
      <c r="AU243" s="60">
        <f ca="1"/>
        <v>0.55000335739073947</v>
      </c>
      <c r="AV243" s="61" t="str">
        <f ca="1"/>
        <v>c</v>
      </c>
      <c r="AW243" s="63">
        <f ca="1"/>
        <v>0.22849048117943449</v>
      </c>
      <c r="AX243" s="62">
        <f ca="1"/>
        <v>5.7649597757454254E-3</v>
      </c>
      <c r="AY243" s="62">
        <f ca="1"/>
        <v>5.3812300059579938E-5</v>
      </c>
      <c r="AZ243" s="62">
        <f ca="1"/>
        <v>0.21878050036288768</v>
      </c>
      <c r="BA243" s="60">
        <f ca="1"/>
        <v>-6.0116690330021125</v>
      </c>
      <c r="BB243" s="60">
        <f ca="1"/>
        <v>2.540864965297605</v>
      </c>
    </row>
    <row r="244" spans="1:54" x14ac:dyDescent="0.3">
      <c r="A244" t="s">
        <v>736</v>
      </c>
      <c r="B244" t="s">
        <v>737</v>
      </c>
      <c r="C244" t="s">
        <v>57</v>
      </c>
      <c r="D244" t="s">
        <v>101</v>
      </c>
      <c r="E244" t="s">
        <v>84</v>
      </c>
      <c r="F244" t="s">
        <v>153</v>
      </c>
      <c r="G244" t="s">
        <v>239</v>
      </c>
      <c r="H244" t="s">
        <v>924</v>
      </c>
      <c r="I244" t="s">
        <v>242</v>
      </c>
      <c r="J244" t="s">
        <v>295</v>
      </c>
      <c r="K244" t="s">
        <v>872</v>
      </c>
      <c r="L244" t="s">
        <v>307</v>
      </c>
      <c r="M244" t="s">
        <v>102</v>
      </c>
      <c r="N244" t="s">
        <v>56</v>
      </c>
      <c r="O244" t="s">
        <v>36</v>
      </c>
      <c r="P244" t="s">
        <v>84</v>
      </c>
      <c r="Q244" t="s">
        <v>84</v>
      </c>
      <c r="V244" t="s">
        <v>49</v>
      </c>
      <c r="W244" t="s">
        <v>84</v>
      </c>
      <c r="X244" t="s">
        <v>868</v>
      </c>
      <c r="Y244" t="s">
        <v>242</v>
      </c>
      <c r="Z244" t="s">
        <v>84</v>
      </c>
      <c r="AA244" t="s">
        <v>84</v>
      </c>
      <c r="AB244" t="s">
        <v>36</v>
      </c>
      <c r="AC244" t="s">
        <v>1340</v>
      </c>
      <c r="AD244" t="s">
        <v>36</v>
      </c>
      <c r="AE244" t="s">
        <v>1340</v>
      </c>
      <c r="AF244" t="s">
        <v>86</v>
      </c>
      <c r="AG244" t="s">
        <v>269</v>
      </c>
      <c r="AH244" t="s">
        <v>183</v>
      </c>
      <c r="AI244" s="4">
        <f ca="1">data[[#This Row],[Expiry Date]]-TODAY()</f>
        <v>42</v>
      </c>
      <c r="AJ244" s="4">
        <f ca="1">data[[#This Row],[Maturity ( Days)]]/365</f>
        <v>0.11506849315068493</v>
      </c>
      <c r="AK244" s="4" t="str">
        <f>IF(data[[#This Row],[Option Type]]="put","p","c")</f>
        <v>c</v>
      </c>
      <c r="AL244" s="4">
        <f>(data[[#This Row],[Bid]]*data[[#This Row],[Bidsize]]+data[[#This Row],[Ask]]*data[[#This Row],[Asksize]])/(data[[#This Row],[Bidsize]]+data[[#This Row],[Asksize]])</f>
        <v>0.17201492537313434</v>
      </c>
      <c r="AM244" s="4">
        <f>VALUE(data[[#This Row],[Strike]])</f>
        <v>5000</v>
      </c>
      <c r="AN244" s="5">
        <f ca="1">impliedVol(data[[#This Row],[OptType]],Details!$B$4,VALUE(data[[#This Row],[Strike]]),VALUE(data[[#This Row],[Cnt Price]]),Details!$B$6,data[[#This Row],[T]],Details!$B$7)</f>
        <v>0.23946611192343883</v>
      </c>
      <c r="AO244" s="7">
        <f t="array" aca="1" ref="AO244:AS244" ca="1">bsGreeks(data[[#This Row],[OptType]],Details!$B$4,VALUE(data[[#This Row],[Strike]]),Details!$B$6,data[[#This Row],[T]],AN244,Details!$B$7)</f>
        <v>1.8110104153854667E-3</v>
      </c>
      <c r="AP244" s="7">
        <f ca="1"/>
        <v>1.8126181590746206E-5</v>
      </c>
      <c r="AQ244" s="6">
        <f ca="1"/>
        <v>7.723414322630337E-2</v>
      </c>
      <c r="AR244" s="6">
        <f ca="1"/>
        <v>-2.2208318705562147</v>
      </c>
      <c r="AS244" s="6">
        <f ca="1"/>
        <v>0.79921845470794239</v>
      </c>
      <c r="AU244" s="60">
        <f ca="1"/>
        <v>0.16383007711510889</v>
      </c>
      <c r="AV244" s="61" t="str">
        <f ca="1"/>
        <v>c</v>
      </c>
      <c r="AW244" s="63">
        <f ca="1"/>
        <v>0.23946611192343883</v>
      </c>
      <c r="AX244" s="62">
        <f ca="1"/>
        <v>1.8110104153854667E-3</v>
      </c>
      <c r="AY244" s="62">
        <f ca="1"/>
        <v>1.8126181590746206E-5</v>
      </c>
      <c r="AZ244" s="62">
        <f ca="1"/>
        <v>7.723414322630337E-2</v>
      </c>
      <c r="BA244" s="60">
        <f ca="1"/>
        <v>-2.2208318705562147</v>
      </c>
      <c r="BB244" s="60">
        <f ca="1"/>
        <v>0.79921845470794239</v>
      </c>
    </row>
    <row r="245" spans="1:54" x14ac:dyDescent="0.3">
      <c r="A245" t="s">
        <v>308</v>
      </c>
      <c r="B245" t="s">
        <v>309</v>
      </c>
      <c r="C245" t="s">
        <v>57</v>
      </c>
      <c r="D245" t="s">
        <v>85</v>
      </c>
      <c r="E245" t="s">
        <v>84</v>
      </c>
      <c r="F245" t="s">
        <v>267</v>
      </c>
      <c r="G245" t="s">
        <v>1020</v>
      </c>
      <c r="H245" t="s">
        <v>152</v>
      </c>
      <c r="I245" t="s">
        <v>817</v>
      </c>
      <c r="J245" t="s">
        <v>1028</v>
      </c>
      <c r="K245" t="s">
        <v>1161</v>
      </c>
      <c r="L245" t="s">
        <v>307</v>
      </c>
      <c r="M245" t="s">
        <v>117</v>
      </c>
      <c r="N245" t="s">
        <v>56</v>
      </c>
      <c r="O245" t="s">
        <v>36</v>
      </c>
      <c r="P245" t="s">
        <v>84</v>
      </c>
      <c r="Q245" t="s">
        <v>84</v>
      </c>
      <c r="V245" t="s">
        <v>49</v>
      </c>
      <c r="W245" t="s">
        <v>84</v>
      </c>
      <c r="X245" t="s">
        <v>818</v>
      </c>
      <c r="Y245" t="s">
        <v>817</v>
      </c>
      <c r="Z245" t="s">
        <v>84</v>
      </c>
      <c r="AA245" t="s">
        <v>84</v>
      </c>
      <c r="AB245" t="s">
        <v>36</v>
      </c>
      <c r="AC245" t="s">
        <v>1340</v>
      </c>
      <c r="AD245" t="s">
        <v>36</v>
      </c>
      <c r="AE245" t="s">
        <v>1340</v>
      </c>
      <c r="AF245" t="s">
        <v>86</v>
      </c>
      <c r="AG245" t="s">
        <v>269</v>
      </c>
      <c r="AH245" t="s">
        <v>183</v>
      </c>
      <c r="AI245" s="4">
        <f ca="1">data[[#This Row],[Expiry Date]]-TODAY()</f>
        <v>42</v>
      </c>
      <c r="AJ245" s="4">
        <f ca="1">data[[#This Row],[Maturity ( Days)]]/365</f>
        <v>0.11506849315068493</v>
      </c>
      <c r="AK245" s="4" t="str">
        <f>IF(data[[#This Row],[Option Type]]="put","p","c")</f>
        <v>c</v>
      </c>
      <c r="AL245" s="4">
        <f>(data[[#This Row],[Bid]]*data[[#This Row],[Bidsize]]+data[[#This Row],[Ask]]*data[[#This Row],[Asksize]])/(data[[#This Row],[Bidsize]]+data[[#This Row],[Asksize]])</f>
        <v>0.14504608294930876</v>
      </c>
      <c r="AM245" s="4">
        <f>VALUE(data[[#This Row],[Strike]])</f>
        <v>5200</v>
      </c>
      <c r="AN245" s="5">
        <f ca="1">impliedVol(data[[#This Row],[OptType]],Details!$B$4,VALUE(data[[#This Row],[Strike]]),VALUE(data[[#This Row],[Cnt Price]]),Details!$B$6,data[[#This Row],[T]],Details!$B$7)</f>
        <v>0.27065635312122899</v>
      </c>
      <c r="AO245" s="7">
        <f t="array" aca="1" ref="AO245:AS245" ca="1">bsGreeks(data[[#This Row],[OptType]],Details!$B$4,VALUE(data[[#This Row],[Strike]]),Details!$B$6,data[[#This Row],[T]],AN245,Details!$B$7)</f>
        <v>1.3890532173250734E-3</v>
      </c>
      <c r="AP245" s="7">
        <f ca="1"/>
        <v>1.2593080404950101E-5</v>
      </c>
      <c r="AQ245" s="6">
        <f ca="1"/>
        <v>6.0646975308409318E-2</v>
      </c>
      <c r="AR245" s="6">
        <f ca="1"/>
        <v>-1.9686819985407418</v>
      </c>
      <c r="AS245" s="6">
        <f ca="1"/>
        <v>0.61149407267198863</v>
      </c>
      <c r="AU245" s="60">
        <f ca="1"/>
        <v>0.13879712891006601</v>
      </c>
      <c r="AV245" s="61" t="str">
        <f ca="1"/>
        <v>c</v>
      </c>
      <c r="AW245" s="63">
        <f ca="1"/>
        <v>0.27065635312122899</v>
      </c>
      <c r="AX245" s="62">
        <f ca="1"/>
        <v>1.3890532173250734E-3</v>
      </c>
      <c r="AY245" s="62">
        <f ca="1"/>
        <v>1.2593080404950101E-5</v>
      </c>
      <c r="AZ245" s="62">
        <f ca="1"/>
        <v>6.0646975308409318E-2</v>
      </c>
      <c r="BA245" s="60">
        <f ca="1"/>
        <v>-1.9686819985407418</v>
      </c>
      <c r="BB245" s="60">
        <f ca="1"/>
        <v>0.61149407267198863</v>
      </c>
    </row>
    <row r="246" spans="1:54" x14ac:dyDescent="0.3">
      <c r="AN24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46" s="7" t="str">
        <f t="array" ref="AO246:AS246">bsGreeks(data[[#This Row],[OptType]],Details!$B$4,VALUE(data[[#This Row],[Strike]]),Details!$B$6,data[[#This Row],[T]],AN246,Details!$B$7)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4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4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4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4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46" s="61"/>
      <c r="AV246" s="61"/>
      <c r="AW246" s="61"/>
      <c r="AX246" s="61"/>
      <c r="AY246" s="61"/>
      <c r="AZ246" s="61"/>
      <c r="BA246" s="61"/>
      <c r="BB246" s="61"/>
    </row>
    <row r="247" spans="1:54" x14ac:dyDescent="0.3">
      <c r="AN24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47" s="7" t="str">
        <f t="array" ref="AO247:AS247">bsGreeks(data[[#This Row],[OptType]],Details!$B$4,VALUE(data[[#This Row],[Strike]]),Details!$B$6,data[[#This Row],[T]],AN247,Details!$B$7)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4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4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4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4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47" s="61"/>
      <c r="AV247" s="61"/>
      <c r="AW247" s="61"/>
      <c r="AX247" s="61"/>
      <c r="AY247" s="61"/>
      <c r="AZ247" s="61"/>
      <c r="BA247" s="61"/>
      <c r="BB247" s="61"/>
    </row>
    <row r="248" spans="1:54" x14ac:dyDescent="0.3">
      <c r="AN24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48" s="7" t="str">
        <f t="array" ref="AO248:AS248">bsGreeks(data[[#This Row],[OptType]],Details!$B$4,VALUE(data[[#This Row],[Strike]]),Details!$B$6,data[[#This Row],[T]],AN248,Details!$B$7)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4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4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4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4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48" s="61"/>
      <c r="AV248" s="61"/>
      <c r="AW248" s="61"/>
      <c r="AX248" s="61"/>
      <c r="AY248" s="61"/>
      <c r="AZ248" s="61"/>
      <c r="BA248" s="61"/>
      <c r="BB248" s="61"/>
    </row>
    <row r="249" spans="1:54" x14ac:dyDescent="0.3">
      <c r="AN24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49" s="7" t="str">
        <f t="array" ref="AO249:AS249">bsGreeks(data[[#This Row],[OptType]],Details!$B$4,VALUE(data[[#This Row],[Strike]]),Details!$B$6,data[[#This Row],[T]],AN249,Details!$B$7)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4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4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4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4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49" s="61"/>
      <c r="AV249" s="61"/>
      <c r="AW249" s="61"/>
      <c r="AX249" s="61"/>
      <c r="AY249" s="61"/>
      <c r="AZ249" s="61"/>
      <c r="BA249" s="61"/>
      <c r="BB249" s="61"/>
    </row>
    <row r="250" spans="1:54" x14ac:dyDescent="0.3">
      <c r="AN25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0" s="7" t="str">
        <f t="array" ref="AO250:AS250">bsGreeks(data[[#This Row],[OptType]],Details!$B$4,VALUE(data[[#This Row],[Strike]]),Details!$B$6,data[[#This Row],[T]],AN250,Details!$B$7)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0" s="61"/>
      <c r="AV250" s="61"/>
      <c r="AW250" s="61"/>
      <c r="AX250" s="61"/>
      <c r="AY250" s="61"/>
      <c r="AZ250" s="61"/>
      <c r="BA250" s="61"/>
      <c r="BB250" s="61"/>
    </row>
    <row r="251" spans="1:54" x14ac:dyDescent="0.3">
      <c r="AN25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1" s="7" t="str">
        <f t="array" ref="AO251:AS251">bsGreeks(data[[#This Row],[OptType]],Details!$B$4,VALUE(data[[#This Row],[Strike]]),Details!$B$6,data[[#This Row],[T]],AN251,Details!$B$7)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1" s="61"/>
      <c r="AV251" s="61"/>
      <c r="AW251" s="61"/>
      <c r="AX251" s="61"/>
      <c r="AY251" s="61"/>
      <c r="AZ251" s="61"/>
      <c r="BA251" s="61"/>
      <c r="BB251" s="61"/>
    </row>
    <row r="252" spans="1:54" x14ac:dyDescent="0.3">
      <c r="AN25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2" s="7" t="str">
        <f t="array" ref="AO252:AS252">bsGreeks(data[[#This Row],[OptType]],Details!$B$4,VALUE(data[[#This Row],[Strike]]),Details!$B$6,data[[#This Row],[T]],AN252,Details!$B$7)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2" s="61"/>
      <c r="AV252" s="61"/>
      <c r="AW252" s="61"/>
      <c r="AX252" s="61"/>
      <c r="AY252" s="61"/>
      <c r="AZ252" s="61"/>
      <c r="BA252" s="61"/>
      <c r="BB252" s="61"/>
    </row>
    <row r="253" spans="1:54" x14ac:dyDescent="0.3">
      <c r="AN25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3" s="7" t="str">
        <f t="array" ref="AO253:AS253">bsGreeks(data[[#This Row],[OptType]],Details!$B$4,VALUE(data[[#This Row],[Strike]]),Details!$B$6,data[[#This Row],[T]],AN253,Details!$B$7)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3" s="61"/>
      <c r="AV253" s="61"/>
      <c r="AW253" s="61"/>
      <c r="AX253" s="61"/>
      <c r="AY253" s="61"/>
      <c r="AZ253" s="61"/>
      <c r="BA253" s="61"/>
      <c r="BB253" s="61"/>
    </row>
    <row r="254" spans="1:54" x14ac:dyDescent="0.3">
      <c r="AN25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4" s="7" t="str">
        <f t="array" ref="AO254:AS254">bsGreeks(data[[#This Row],[OptType]],Details!$B$4,VALUE(data[[#This Row],[Strike]]),Details!$B$6,data[[#This Row],[T]],AN254,Details!$B$7)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4" s="61"/>
      <c r="AV254" s="61"/>
      <c r="AW254" s="61"/>
      <c r="AX254" s="61"/>
      <c r="AY254" s="61"/>
      <c r="AZ254" s="61"/>
      <c r="BA254" s="61"/>
      <c r="BB254" s="61"/>
    </row>
    <row r="255" spans="1:54" x14ac:dyDescent="0.3">
      <c r="AN25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5" s="7" t="str">
        <f t="array" ref="AO255:AS255">bsGreeks(data[[#This Row],[OptType]],Details!$B$4,VALUE(data[[#This Row],[Strike]]),Details!$B$6,data[[#This Row],[T]],AN255,Details!$B$7)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5" s="61"/>
      <c r="AV255" s="61"/>
      <c r="AW255" s="61"/>
      <c r="AX255" s="61"/>
      <c r="AY255" s="61"/>
      <c r="AZ255" s="61"/>
      <c r="BA255" s="61"/>
      <c r="BB255" s="61"/>
    </row>
    <row r="256" spans="1:54" x14ac:dyDescent="0.3">
      <c r="AN25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6" s="7" t="str">
        <f t="array" ref="AO256:AS256">bsGreeks(data[[#This Row],[OptType]],Details!$B$4,VALUE(data[[#This Row],[Strike]]),Details!$B$6,data[[#This Row],[T]],AN256,Details!$B$7)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6" s="61"/>
      <c r="AV256" s="61"/>
      <c r="AW256" s="61"/>
      <c r="AX256" s="61"/>
      <c r="AY256" s="61"/>
      <c r="AZ256" s="61"/>
      <c r="BA256" s="61"/>
      <c r="BB256" s="61"/>
    </row>
    <row r="257" spans="40:54" x14ac:dyDescent="0.3">
      <c r="AN25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7" s="7" t="str">
        <f t="array" ref="AO257:AS257">bsGreeks(data[[#This Row],[OptType]],Details!$B$4,VALUE(data[[#This Row],[Strike]]),Details!$B$6,data[[#This Row],[T]],AN257,Details!$B$7)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7" s="61"/>
      <c r="AV257" s="61"/>
      <c r="AW257" s="61"/>
      <c r="AX257" s="61"/>
      <c r="AY257" s="61"/>
      <c r="AZ257" s="61"/>
      <c r="BA257" s="61"/>
      <c r="BB257" s="61"/>
    </row>
    <row r="258" spans="40:54" x14ac:dyDescent="0.3">
      <c r="AN25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8" s="7" t="str">
        <f t="array" ref="AO258:AS258">bsGreeks(data[[#This Row],[OptType]],Details!$B$4,VALUE(data[[#This Row],[Strike]]),Details!$B$6,data[[#This Row],[T]],AN258,Details!$B$7)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8" s="61"/>
      <c r="AV258" s="61"/>
      <c r="AW258" s="61"/>
      <c r="AX258" s="61"/>
      <c r="AY258" s="61"/>
      <c r="AZ258" s="61"/>
      <c r="BA258" s="61"/>
      <c r="BB258" s="61"/>
    </row>
    <row r="259" spans="40:54" x14ac:dyDescent="0.3">
      <c r="AN25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59" s="7" t="str">
        <f t="array" ref="AO259:AS259">bsGreeks(data[[#This Row],[OptType]],Details!$B$4,VALUE(data[[#This Row],[Strike]]),Details!$B$6,data[[#This Row],[T]],AN259,Details!$B$7)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5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5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5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5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59" s="61"/>
      <c r="AV259" s="61"/>
      <c r="AW259" s="61"/>
      <c r="AX259" s="61"/>
      <c r="AY259" s="61"/>
      <c r="AZ259" s="61"/>
      <c r="BA259" s="61"/>
      <c r="BB259" s="61"/>
    </row>
    <row r="260" spans="40:54" x14ac:dyDescent="0.3">
      <c r="AN26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0" s="7" t="str">
        <f t="array" ref="AO260:AS260">bsGreeks(data[[#This Row],[OptType]],Details!$B$4,VALUE(data[[#This Row],[Strike]]),Details!$B$6,data[[#This Row],[T]],AN260,Details!$B$7)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0" s="61"/>
      <c r="AV260" s="61"/>
      <c r="AW260" s="61"/>
      <c r="AX260" s="61"/>
      <c r="AY260" s="61"/>
      <c r="AZ260" s="61"/>
      <c r="BA260" s="61"/>
      <c r="BB260" s="61"/>
    </row>
    <row r="261" spans="40:54" x14ac:dyDescent="0.3">
      <c r="AN26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1" s="7" t="str">
        <f t="array" ref="AO261:AS261">bsGreeks(data[[#This Row],[OptType]],Details!$B$4,VALUE(data[[#This Row],[Strike]]),Details!$B$6,data[[#This Row],[T]],AN261,Details!$B$7)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1" s="61"/>
      <c r="AV261" s="61"/>
      <c r="AW261" s="61"/>
      <c r="AX261" s="61"/>
      <c r="AY261" s="61"/>
      <c r="AZ261" s="61"/>
      <c r="BA261" s="61"/>
      <c r="BB261" s="61"/>
    </row>
    <row r="262" spans="40:54" x14ac:dyDescent="0.3">
      <c r="AN26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2" s="7" t="str">
        <f t="array" ref="AO262:AS262">bsGreeks(data[[#This Row],[OptType]],Details!$B$4,VALUE(data[[#This Row],[Strike]]),Details!$B$6,data[[#This Row],[T]],AN262,Details!$B$7)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2" s="61"/>
      <c r="AV262" s="61"/>
      <c r="AW262" s="61"/>
      <c r="AX262" s="61"/>
      <c r="AY262" s="61"/>
      <c r="AZ262" s="61"/>
      <c r="BA262" s="61"/>
      <c r="BB262" s="61"/>
    </row>
    <row r="263" spans="40:54" x14ac:dyDescent="0.3">
      <c r="AN26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3" s="7" t="str">
        <f t="array" ref="AO263:AS263">bsGreeks(data[[#This Row],[OptType]],Details!$B$4,VALUE(data[[#This Row],[Strike]]),Details!$B$6,data[[#This Row],[T]],AN263,Details!$B$7)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3" s="61"/>
      <c r="AV263" s="61"/>
      <c r="AW263" s="61"/>
      <c r="AX263" s="61"/>
      <c r="AY263" s="61"/>
      <c r="AZ263" s="61"/>
      <c r="BA263" s="61"/>
      <c r="BB263" s="61"/>
    </row>
    <row r="264" spans="40:54" x14ac:dyDescent="0.3">
      <c r="AN26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4" s="7" t="str">
        <f t="array" ref="AO264:AS264">bsGreeks(data[[#This Row],[OptType]],Details!$B$4,VALUE(data[[#This Row],[Strike]]),Details!$B$6,data[[#This Row],[T]],AN264,Details!$B$7)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4" s="61"/>
      <c r="AV264" s="61"/>
      <c r="AW264" s="61"/>
      <c r="AX264" s="61"/>
      <c r="AY264" s="61"/>
      <c r="AZ264" s="61"/>
      <c r="BA264" s="61"/>
      <c r="BB264" s="61"/>
    </row>
    <row r="265" spans="40:54" x14ac:dyDescent="0.3">
      <c r="AN26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5" s="7" t="str">
        <f t="array" ref="AO265:AS265">bsGreeks(data[[#This Row],[OptType]],Details!$B$4,VALUE(data[[#This Row],[Strike]]),Details!$B$6,data[[#This Row],[T]],AN265,Details!$B$7)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5" s="61"/>
      <c r="AV265" s="61"/>
      <c r="AW265" s="61"/>
      <c r="AX265" s="61"/>
      <c r="AY265" s="61"/>
      <c r="AZ265" s="61"/>
      <c r="BA265" s="61"/>
      <c r="BB265" s="61"/>
    </row>
    <row r="266" spans="40:54" x14ac:dyDescent="0.3">
      <c r="AN26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6" s="7" t="str">
        <f t="array" ref="AO266:AS266">bsGreeks(data[[#This Row],[OptType]],Details!$B$4,VALUE(data[[#This Row],[Strike]]),Details!$B$6,data[[#This Row],[T]],AN266,Details!$B$7)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6" s="61"/>
      <c r="AV266" s="61"/>
      <c r="AW266" s="61"/>
      <c r="AX266" s="61"/>
      <c r="AY266" s="61"/>
      <c r="AZ266" s="61"/>
      <c r="BA266" s="61"/>
      <c r="BB266" s="61"/>
    </row>
    <row r="267" spans="40:54" x14ac:dyDescent="0.3">
      <c r="AN26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7" s="7" t="str">
        <f t="array" ref="AO267:AS267">bsGreeks(data[[#This Row],[OptType]],Details!$B$4,VALUE(data[[#This Row],[Strike]]),Details!$B$6,data[[#This Row],[T]],AN267,Details!$B$7)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7" s="61"/>
      <c r="AV267" s="61"/>
      <c r="AW267" s="61"/>
      <c r="AX267" s="61"/>
      <c r="AY267" s="61"/>
      <c r="AZ267" s="61"/>
      <c r="BA267" s="61"/>
      <c r="BB267" s="61"/>
    </row>
    <row r="268" spans="40:54" x14ac:dyDescent="0.3">
      <c r="AN26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8" s="7" t="str">
        <f t="array" ref="AO268:AS268">bsGreeks(data[[#This Row],[OptType]],Details!$B$4,VALUE(data[[#This Row],[Strike]]),Details!$B$6,data[[#This Row],[T]],AN268,Details!$B$7)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8" s="61"/>
      <c r="AV268" s="61"/>
      <c r="AW268" s="61"/>
      <c r="AX268" s="61"/>
      <c r="AY268" s="61"/>
      <c r="AZ268" s="61"/>
      <c r="BA268" s="61"/>
      <c r="BB268" s="61"/>
    </row>
    <row r="269" spans="40:54" x14ac:dyDescent="0.3">
      <c r="AN26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69" s="7" t="str">
        <f t="array" ref="AO269:AS269">bsGreeks(data[[#This Row],[OptType]],Details!$B$4,VALUE(data[[#This Row],[Strike]]),Details!$B$6,data[[#This Row],[T]],AN269,Details!$B$7)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6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6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6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6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69" s="61"/>
      <c r="AV269" s="61"/>
      <c r="AW269" s="61"/>
      <c r="AX269" s="61"/>
      <c r="AY269" s="61"/>
      <c r="AZ269" s="61"/>
      <c r="BA269" s="61"/>
      <c r="BB269" s="61"/>
    </row>
    <row r="270" spans="40:54" x14ac:dyDescent="0.3">
      <c r="AN27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0" s="7" t="str">
        <f t="array" ref="AO270:AS270">bsGreeks(data[[#This Row],[OptType]],Details!$B$4,VALUE(data[[#This Row],[Strike]]),Details!$B$6,data[[#This Row],[T]],AN270,Details!$B$7)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0" s="61"/>
      <c r="AV270" s="61"/>
      <c r="AW270" s="61"/>
      <c r="AX270" s="61"/>
      <c r="AY270" s="61"/>
      <c r="AZ270" s="61"/>
      <c r="BA270" s="61"/>
      <c r="BB270" s="61"/>
    </row>
    <row r="271" spans="40:54" x14ac:dyDescent="0.3">
      <c r="AN27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1" s="7" t="str">
        <f t="array" ref="AO271:AS271">bsGreeks(data[[#This Row],[OptType]],Details!$B$4,VALUE(data[[#This Row],[Strike]]),Details!$B$6,data[[#This Row],[T]],AN271,Details!$B$7)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1" s="61"/>
      <c r="AV271" s="61"/>
      <c r="AW271" s="61"/>
      <c r="AX271" s="61"/>
      <c r="AY271" s="61"/>
      <c r="AZ271" s="61"/>
      <c r="BA271" s="61"/>
      <c r="BB271" s="61"/>
    </row>
    <row r="272" spans="40:54" x14ac:dyDescent="0.3">
      <c r="AN27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2" s="7" t="str">
        <f t="array" ref="AO272:AS272">bsGreeks(data[[#This Row],[OptType]],Details!$B$4,VALUE(data[[#This Row],[Strike]]),Details!$B$6,data[[#This Row],[T]],AN272,Details!$B$7)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2" s="61"/>
      <c r="AV272" s="61"/>
      <c r="AW272" s="61"/>
      <c r="AX272" s="61"/>
      <c r="AY272" s="61"/>
      <c r="AZ272" s="61"/>
      <c r="BA272" s="61"/>
      <c r="BB272" s="61"/>
    </row>
    <row r="273" spans="40:54" x14ac:dyDescent="0.3">
      <c r="AN27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3" s="7" t="str">
        <f t="array" ref="AO273:AS273">bsGreeks(data[[#This Row],[OptType]],Details!$B$4,VALUE(data[[#This Row],[Strike]]),Details!$B$6,data[[#This Row],[T]],AN273,Details!$B$7)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3" s="61"/>
      <c r="AV273" s="61"/>
      <c r="AW273" s="61"/>
      <c r="AX273" s="61"/>
      <c r="AY273" s="61"/>
      <c r="AZ273" s="61"/>
      <c r="BA273" s="61"/>
      <c r="BB273" s="61"/>
    </row>
    <row r="274" spans="40:54" x14ac:dyDescent="0.3">
      <c r="AN27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4" s="7" t="str">
        <f t="array" ref="AO274:AS274">bsGreeks(data[[#This Row],[OptType]],Details!$B$4,VALUE(data[[#This Row],[Strike]]),Details!$B$6,data[[#This Row],[T]],AN274,Details!$B$7)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4" s="61"/>
      <c r="AV274" s="61"/>
      <c r="AW274" s="61"/>
      <c r="AX274" s="61"/>
      <c r="AY274" s="61"/>
      <c r="AZ274" s="61"/>
      <c r="BA274" s="61"/>
      <c r="BB274" s="61"/>
    </row>
    <row r="275" spans="40:54" x14ac:dyDescent="0.3">
      <c r="AN27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5" s="7" t="str">
        <f t="array" ref="AO275:AS275">bsGreeks(data[[#This Row],[OptType]],Details!$B$4,VALUE(data[[#This Row],[Strike]]),Details!$B$6,data[[#This Row],[T]],AN275,Details!$B$7)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5" s="61"/>
      <c r="AV275" s="61"/>
      <c r="AW275" s="61"/>
      <c r="AX275" s="61"/>
      <c r="AY275" s="61"/>
      <c r="AZ275" s="61"/>
      <c r="BA275" s="61"/>
      <c r="BB275" s="61"/>
    </row>
    <row r="276" spans="40:54" x14ac:dyDescent="0.3">
      <c r="AN27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6" s="7" t="str">
        <f t="array" ref="AO276:AS276">bsGreeks(data[[#This Row],[OptType]],Details!$B$4,VALUE(data[[#This Row],[Strike]]),Details!$B$6,data[[#This Row],[T]],AN276,Details!$B$7)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6" s="61"/>
      <c r="AV276" s="61"/>
      <c r="AW276" s="61"/>
      <c r="AX276" s="61"/>
      <c r="AY276" s="61"/>
      <c r="AZ276" s="61"/>
      <c r="BA276" s="61"/>
      <c r="BB276" s="61"/>
    </row>
    <row r="277" spans="40:54" x14ac:dyDescent="0.3">
      <c r="AN27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7" s="7" t="str">
        <f t="array" ref="AO277:AS277">bsGreeks(data[[#This Row],[OptType]],Details!$B$4,VALUE(data[[#This Row],[Strike]]),Details!$B$6,data[[#This Row],[T]],AN277,Details!$B$7)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7" s="61"/>
      <c r="AV277" s="61"/>
      <c r="AW277" s="61"/>
      <c r="AX277" s="61"/>
      <c r="AY277" s="61"/>
      <c r="AZ277" s="61"/>
      <c r="BA277" s="61"/>
      <c r="BB277" s="61"/>
    </row>
    <row r="278" spans="40:54" x14ac:dyDescent="0.3">
      <c r="AN27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8" s="7" t="str">
        <f t="array" ref="AO278:AS278">bsGreeks(data[[#This Row],[OptType]],Details!$B$4,VALUE(data[[#This Row],[Strike]]),Details!$B$6,data[[#This Row],[T]],AN278,Details!$B$7)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8" s="61"/>
      <c r="AV278" s="61"/>
      <c r="AW278" s="61"/>
      <c r="AX278" s="61"/>
      <c r="AY278" s="61"/>
      <c r="AZ278" s="61"/>
      <c r="BA278" s="61"/>
      <c r="BB278" s="61"/>
    </row>
    <row r="279" spans="40:54" x14ac:dyDescent="0.3">
      <c r="AN27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79" s="7" t="str">
        <f t="array" ref="AO279:AS279">bsGreeks(data[[#This Row],[OptType]],Details!$B$4,VALUE(data[[#This Row],[Strike]]),Details!$B$6,data[[#This Row],[T]],AN279,Details!$B$7)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7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7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7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7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79" s="61"/>
      <c r="AV279" s="61"/>
      <c r="AW279" s="61"/>
      <c r="AX279" s="61"/>
      <c r="AY279" s="61"/>
      <c r="AZ279" s="61"/>
      <c r="BA279" s="61"/>
      <c r="BB279" s="61"/>
    </row>
    <row r="280" spans="40:54" x14ac:dyDescent="0.3">
      <c r="AN28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0" s="7" t="str">
        <f t="array" ref="AO280:AS280">bsGreeks(data[[#This Row],[OptType]],Details!$B$4,VALUE(data[[#This Row],[Strike]]),Details!$B$6,data[[#This Row],[T]],AN280,Details!$B$7)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0" s="61"/>
      <c r="AV280" s="61"/>
      <c r="AW280" s="61"/>
      <c r="AX280" s="61"/>
      <c r="AY280" s="61"/>
      <c r="AZ280" s="61"/>
      <c r="BA280" s="61"/>
      <c r="BB280" s="61"/>
    </row>
    <row r="281" spans="40:54" x14ac:dyDescent="0.3">
      <c r="AN28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1" s="7" t="str">
        <f t="array" ref="AO281:AS281">bsGreeks(data[[#This Row],[OptType]],Details!$B$4,VALUE(data[[#This Row],[Strike]]),Details!$B$6,data[[#This Row],[T]],AN281,Details!$B$7)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1" s="61"/>
      <c r="AV281" s="61"/>
      <c r="AW281" s="61"/>
      <c r="AX281" s="61"/>
      <c r="AY281" s="61"/>
      <c r="AZ281" s="61"/>
      <c r="BA281" s="61"/>
      <c r="BB281" s="61"/>
    </row>
    <row r="282" spans="40:54" x14ac:dyDescent="0.3">
      <c r="AN28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2" s="7" t="str">
        <f t="array" ref="AO282:AS282">bsGreeks(data[[#This Row],[OptType]],Details!$B$4,VALUE(data[[#This Row],[Strike]]),Details!$B$6,data[[#This Row],[T]],AN282,Details!$B$7)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2" s="61"/>
      <c r="AV282" s="61"/>
      <c r="AW282" s="61"/>
      <c r="AX282" s="61"/>
      <c r="AY282" s="61"/>
      <c r="AZ282" s="61"/>
      <c r="BA282" s="61"/>
      <c r="BB282" s="61"/>
    </row>
    <row r="283" spans="40:54" x14ac:dyDescent="0.3">
      <c r="AN28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3" s="7" t="str">
        <f t="array" ref="AO283:AS283">bsGreeks(data[[#This Row],[OptType]],Details!$B$4,VALUE(data[[#This Row],[Strike]]),Details!$B$6,data[[#This Row],[T]],AN283,Details!$B$7)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3" s="61"/>
      <c r="AV283" s="61"/>
      <c r="AW283" s="61"/>
      <c r="AX283" s="61"/>
      <c r="AY283" s="61"/>
      <c r="AZ283" s="61"/>
      <c r="BA283" s="61"/>
      <c r="BB283" s="61"/>
    </row>
    <row r="284" spans="40:54" x14ac:dyDescent="0.3">
      <c r="AN28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4" s="7" t="str">
        <f t="array" ref="AO284:AS284">bsGreeks(data[[#This Row],[OptType]],Details!$B$4,VALUE(data[[#This Row],[Strike]]),Details!$B$6,data[[#This Row],[T]],AN284,Details!$B$7)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4" s="61"/>
      <c r="AV284" s="61"/>
      <c r="AW284" s="61"/>
      <c r="AX284" s="61"/>
      <c r="AY284" s="61"/>
      <c r="AZ284" s="61"/>
      <c r="BA284" s="61"/>
      <c r="BB284" s="61"/>
    </row>
    <row r="285" spans="40:54" x14ac:dyDescent="0.3">
      <c r="AN28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5" s="7" t="str">
        <f t="array" ref="AO285:AS285">bsGreeks(data[[#This Row],[OptType]],Details!$B$4,VALUE(data[[#This Row],[Strike]]),Details!$B$6,data[[#This Row],[T]],AN285,Details!$B$7)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5" s="61"/>
      <c r="AV285" s="61"/>
      <c r="AW285" s="61"/>
      <c r="AX285" s="61"/>
      <c r="AY285" s="61"/>
      <c r="AZ285" s="61"/>
      <c r="BA285" s="61"/>
      <c r="BB285" s="61"/>
    </row>
    <row r="286" spans="40:54" x14ac:dyDescent="0.3">
      <c r="AN28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6" s="7" t="str">
        <f t="array" ref="AO286:AS286">bsGreeks(data[[#This Row],[OptType]],Details!$B$4,VALUE(data[[#This Row],[Strike]]),Details!$B$6,data[[#This Row],[T]],AN286,Details!$B$7)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6" s="61"/>
      <c r="AV286" s="61"/>
      <c r="AW286" s="61"/>
      <c r="AX286" s="61"/>
      <c r="AY286" s="61"/>
      <c r="AZ286" s="61"/>
      <c r="BA286" s="61"/>
      <c r="BB286" s="61"/>
    </row>
    <row r="287" spans="40:54" x14ac:dyDescent="0.3">
      <c r="AN28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7" s="7" t="str">
        <f t="array" ref="AO287:AS287">bsGreeks(data[[#This Row],[OptType]],Details!$B$4,VALUE(data[[#This Row],[Strike]]),Details!$B$6,data[[#This Row],[T]],AN287,Details!$B$7)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7" s="61"/>
      <c r="AV287" s="61"/>
      <c r="AW287" s="61"/>
      <c r="AX287" s="61"/>
      <c r="AY287" s="61"/>
      <c r="AZ287" s="61"/>
      <c r="BA287" s="61"/>
      <c r="BB287" s="61"/>
    </row>
    <row r="288" spans="40:54" x14ac:dyDescent="0.3">
      <c r="AN28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8" s="7" t="str">
        <f t="array" ref="AO288:AS288">bsGreeks(data[[#This Row],[OptType]],Details!$B$4,VALUE(data[[#This Row],[Strike]]),Details!$B$6,data[[#This Row],[T]],AN288,Details!$B$7)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8" s="61"/>
      <c r="AV288" s="61"/>
      <c r="AW288" s="61"/>
      <c r="AX288" s="61"/>
      <c r="AY288" s="61"/>
      <c r="AZ288" s="61"/>
      <c r="BA288" s="61"/>
      <c r="BB288" s="61"/>
    </row>
    <row r="289" spans="40:54" x14ac:dyDescent="0.3">
      <c r="AN28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89" s="7" t="str">
        <f t="array" ref="AO289:AS289">bsGreeks(data[[#This Row],[OptType]],Details!$B$4,VALUE(data[[#This Row],[Strike]]),Details!$B$6,data[[#This Row],[T]],AN289,Details!$B$7)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8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8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8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8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89" s="61"/>
      <c r="AV289" s="61"/>
      <c r="AW289" s="61"/>
      <c r="AX289" s="61"/>
      <c r="AY289" s="61"/>
      <c r="AZ289" s="61"/>
      <c r="BA289" s="61"/>
      <c r="BB289" s="61"/>
    </row>
    <row r="290" spans="40:54" x14ac:dyDescent="0.3">
      <c r="AN29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0" s="7" t="str">
        <f t="array" ref="AO290:AS290">bsGreeks(data[[#This Row],[OptType]],Details!$B$4,VALUE(data[[#This Row],[Strike]]),Details!$B$6,data[[#This Row],[T]],AN290,Details!$B$7)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0" s="61"/>
      <c r="AV290" s="61"/>
      <c r="AW290" s="61"/>
      <c r="AX290" s="61"/>
      <c r="AY290" s="61"/>
      <c r="AZ290" s="61"/>
      <c r="BA290" s="61"/>
      <c r="BB290" s="61"/>
    </row>
    <row r="291" spans="40:54" x14ac:dyDescent="0.3">
      <c r="AN29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1" s="7" t="str">
        <f t="array" ref="AO291:AS291">bsGreeks(data[[#This Row],[OptType]],Details!$B$4,VALUE(data[[#This Row],[Strike]]),Details!$B$6,data[[#This Row],[T]],AN291,Details!$B$7)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1" s="61"/>
      <c r="AV291" s="61"/>
      <c r="AW291" s="61"/>
      <c r="AX291" s="61"/>
      <c r="AY291" s="61"/>
      <c r="AZ291" s="61"/>
      <c r="BA291" s="61"/>
      <c r="BB291" s="61"/>
    </row>
    <row r="292" spans="40:54" x14ac:dyDescent="0.3">
      <c r="AN29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2" s="7" t="str">
        <f t="array" ref="AO292:AS292">bsGreeks(data[[#This Row],[OptType]],Details!$B$4,VALUE(data[[#This Row],[Strike]]),Details!$B$6,data[[#This Row],[T]],AN292,Details!$B$7)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2" s="61"/>
      <c r="AV292" s="61"/>
      <c r="AW292" s="61"/>
      <c r="AX292" s="61"/>
      <c r="AY292" s="61"/>
      <c r="AZ292" s="61"/>
      <c r="BA292" s="61"/>
      <c r="BB292" s="61"/>
    </row>
    <row r="293" spans="40:54" x14ac:dyDescent="0.3">
      <c r="AN29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3" s="7" t="str">
        <f t="array" ref="AO293:AS293">bsGreeks(data[[#This Row],[OptType]],Details!$B$4,VALUE(data[[#This Row],[Strike]]),Details!$B$6,data[[#This Row],[T]],AN293,Details!$B$7)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3" s="61"/>
      <c r="AV293" s="61"/>
      <c r="AW293" s="61"/>
      <c r="AX293" s="61"/>
      <c r="AY293" s="61"/>
      <c r="AZ293" s="61"/>
      <c r="BA293" s="61"/>
      <c r="BB293" s="61"/>
    </row>
    <row r="294" spans="40:54" x14ac:dyDescent="0.3">
      <c r="AN29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4" s="7" t="str">
        <f t="array" ref="AO294:AS294">bsGreeks(data[[#This Row],[OptType]],Details!$B$4,VALUE(data[[#This Row],[Strike]]),Details!$B$6,data[[#This Row],[T]],AN294,Details!$B$7)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4" s="61"/>
      <c r="AV294" s="61"/>
      <c r="AW294" s="61"/>
      <c r="AX294" s="61"/>
      <c r="AY294" s="61"/>
      <c r="AZ294" s="61"/>
      <c r="BA294" s="61"/>
      <c r="BB294" s="61"/>
    </row>
    <row r="295" spans="40:54" x14ac:dyDescent="0.3">
      <c r="AN29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5" s="7" t="str">
        <f t="array" ref="AO295:AS295">bsGreeks(data[[#This Row],[OptType]],Details!$B$4,VALUE(data[[#This Row],[Strike]]),Details!$B$6,data[[#This Row],[T]],AN295,Details!$B$7)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5" s="61"/>
      <c r="AV295" s="61"/>
      <c r="AW295" s="61"/>
      <c r="AX295" s="61"/>
      <c r="AY295" s="61"/>
      <c r="AZ295" s="61"/>
      <c r="BA295" s="61"/>
      <c r="BB295" s="61"/>
    </row>
    <row r="296" spans="40:54" x14ac:dyDescent="0.3">
      <c r="AN29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6" s="7" t="str">
        <f t="array" ref="AO296:AS296">bsGreeks(data[[#This Row],[OptType]],Details!$B$4,VALUE(data[[#This Row],[Strike]]),Details!$B$6,data[[#This Row],[T]],AN296,Details!$B$7)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6" s="61"/>
      <c r="AV296" s="61"/>
      <c r="AW296" s="61"/>
      <c r="AX296" s="61"/>
      <c r="AY296" s="61"/>
      <c r="AZ296" s="61"/>
      <c r="BA296" s="61"/>
      <c r="BB296" s="61"/>
    </row>
    <row r="297" spans="40:54" x14ac:dyDescent="0.3">
      <c r="AN29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7" s="7" t="str">
        <f t="array" ref="AO297:AS297">bsGreeks(data[[#This Row],[OptType]],Details!$B$4,VALUE(data[[#This Row],[Strike]]),Details!$B$6,data[[#This Row],[T]],AN297,Details!$B$7)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7" s="61"/>
      <c r="AV297" s="61"/>
      <c r="AW297" s="61"/>
      <c r="AX297" s="61"/>
      <c r="AY297" s="61"/>
      <c r="AZ297" s="61"/>
      <c r="BA297" s="61"/>
      <c r="BB297" s="61"/>
    </row>
    <row r="298" spans="40:54" x14ac:dyDescent="0.3">
      <c r="AN29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8" s="7" t="str">
        <f t="array" ref="AO298:AS298">bsGreeks(data[[#This Row],[OptType]],Details!$B$4,VALUE(data[[#This Row],[Strike]]),Details!$B$6,data[[#This Row],[T]],AN298,Details!$B$7)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8" s="61"/>
      <c r="AV298" s="61"/>
      <c r="AW298" s="61"/>
      <c r="AX298" s="61"/>
      <c r="AY298" s="61"/>
      <c r="AZ298" s="61"/>
      <c r="BA298" s="61"/>
      <c r="BB298" s="61"/>
    </row>
    <row r="299" spans="40:54" x14ac:dyDescent="0.3">
      <c r="AN29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299" s="7" t="str">
        <f t="array" ref="AO299:AS299">bsGreeks(data[[#This Row],[OptType]],Details!$B$4,VALUE(data[[#This Row],[Strike]]),Details!$B$6,data[[#This Row],[T]],AN299,Details!$B$7)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29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29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29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29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299" s="61"/>
      <c r="AV299" s="61"/>
      <c r="AW299" s="61"/>
      <c r="AX299" s="61"/>
      <c r="AY299" s="61"/>
      <c r="AZ299" s="61"/>
      <c r="BA299" s="61"/>
      <c r="BB299" s="61"/>
    </row>
    <row r="300" spans="40:54" x14ac:dyDescent="0.3">
      <c r="AN30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0" s="7" t="str">
        <f t="array" ref="AO300:AS300">bsGreeks(data[[#This Row],[OptType]],Details!$B$4,VALUE(data[[#This Row],[Strike]]),Details!$B$6,data[[#This Row],[T]],AN300,Details!$B$7)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0" s="61"/>
      <c r="AV300" s="61"/>
      <c r="AW300" s="61"/>
      <c r="AX300" s="61"/>
      <c r="AY300" s="61"/>
      <c r="AZ300" s="61"/>
      <c r="BA300" s="61"/>
      <c r="BB300" s="61"/>
    </row>
    <row r="301" spans="40:54" x14ac:dyDescent="0.3">
      <c r="AN30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1" s="7" t="str">
        <f t="array" ref="AO301:AS301">bsGreeks(data[[#This Row],[OptType]],Details!$B$4,VALUE(data[[#This Row],[Strike]]),Details!$B$6,data[[#This Row],[T]],AN301,Details!$B$7)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1" s="61"/>
      <c r="AV301" s="61"/>
      <c r="AW301" s="61"/>
      <c r="AX301" s="61"/>
      <c r="AY301" s="61"/>
      <c r="AZ301" s="61"/>
      <c r="BA301" s="61"/>
      <c r="BB301" s="61"/>
    </row>
    <row r="302" spans="40:54" x14ac:dyDescent="0.3">
      <c r="AN30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2" s="7" t="str">
        <f t="array" ref="AO302:AS302">bsGreeks(data[[#This Row],[OptType]],Details!$B$4,VALUE(data[[#This Row],[Strike]]),Details!$B$6,data[[#This Row],[T]],AN302,Details!$B$7)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2" s="61"/>
      <c r="AV302" s="61"/>
      <c r="AW302" s="61"/>
      <c r="AX302" s="61"/>
      <c r="AY302" s="61"/>
      <c r="AZ302" s="61"/>
      <c r="BA302" s="61"/>
      <c r="BB302" s="61"/>
    </row>
    <row r="303" spans="40:54" x14ac:dyDescent="0.3">
      <c r="AN30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3" s="7" t="str">
        <f t="array" ref="AO303:AS303">bsGreeks(data[[#This Row],[OptType]],Details!$B$4,VALUE(data[[#This Row],[Strike]]),Details!$B$6,data[[#This Row],[T]],AN303,Details!$B$7)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3" s="61"/>
      <c r="AV303" s="61"/>
      <c r="AW303" s="61"/>
      <c r="AX303" s="61"/>
      <c r="AY303" s="61"/>
      <c r="AZ303" s="61"/>
      <c r="BA303" s="61"/>
      <c r="BB303" s="61"/>
    </row>
    <row r="304" spans="40:54" x14ac:dyDescent="0.3">
      <c r="AN30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4" s="7" t="str">
        <f t="array" ref="AO304:AS304">bsGreeks(data[[#This Row],[OptType]],Details!$B$4,VALUE(data[[#This Row],[Strike]]),Details!$B$6,data[[#This Row],[T]],AN304,Details!$B$7)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4" s="61"/>
      <c r="AV304" s="61"/>
      <c r="AW304" s="61"/>
      <c r="AX304" s="61"/>
      <c r="AY304" s="61"/>
      <c r="AZ304" s="61"/>
      <c r="BA304" s="61"/>
      <c r="BB304" s="61"/>
    </row>
    <row r="305" spans="40:54" x14ac:dyDescent="0.3">
      <c r="AN30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5" s="7" t="str">
        <f t="array" ref="AO305:AS305">bsGreeks(data[[#This Row],[OptType]],Details!$B$4,VALUE(data[[#This Row],[Strike]]),Details!$B$6,data[[#This Row],[T]],AN305,Details!$B$7)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5" s="61"/>
      <c r="AV305" s="61"/>
      <c r="AW305" s="61"/>
      <c r="AX305" s="61"/>
      <c r="AY305" s="61"/>
      <c r="AZ305" s="61"/>
      <c r="BA305" s="61"/>
      <c r="BB305" s="61"/>
    </row>
    <row r="306" spans="40:54" x14ac:dyDescent="0.3">
      <c r="AN30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6" s="7" t="str">
        <f t="array" ref="AO306:AS306">bsGreeks(data[[#This Row],[OptType]],Details!$B$4,VALUE(data[[#This Row],[Strike]]),Details!$B$6,data[[#This Row],[T]],AN306,Details!$B$7)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6" s="61"/>
      <c r="AV306" s="61"/>
      <c r="AW306" s="61"/>
      <c r="AX306" s="61"/>
      <c r="AY306" s="61"/>
      <c r="AZ306" s="61"/>
      <c r="BA306" s="61"/>
      <c r="BB306" s="61"/>
    </row>
    <row r="307" spans="40:54" x14ac:dyDescent="0.3">
      <c r="AN30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7" s="7" t="str">
        <f t="array" ref="AO307:AS307">bsGreeks(data[[#This Row],[OptType]],Details!$B$4,VALUE(data[[#This Row],[Strike]]),Details!$B$6,data[[#This Row],[T]],AN307,Details!$B$7)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7" s="61"/>
      <c r="AV307" s="61"/>
      <c r="AW307" s="61"/>
      <c r="AX307" s="61"/>
      <c r="AY307" s="61"/>
      <c r="AZ307" s="61"/>
      <c r="BA307" s="61"/>
      <c r="BB307" s="61"/>
    </row>
    <row r="308" spans="40:54" x14ac:dyDescent="0.3">
      <c r="AN30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8" s="7" t="str">
        <f t="array" ref="AO308:AS308">bsGreeks(data[[#This Row],[OptType]],Details!$B$4,VALUE(data[[#This Row],[Strike]]),Details!$B$6,data[[#This Row],[T]],AN308,Details!$B$7)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8" s="61"/>
      <c r="AV308" s="61"/>
      <c r="AW308" s="61"/>
      <c r="AX308" s="61"/>
      <c r="AY308" s="61"/>
      <c r="AZ308" s="61"/>
      <c r="BA308" s="61"/>
      <c r="BB308" s="61"/>
    </row>
    <row r="309" spans="40:54" x14ac:dyDescent="0.3">
      <c r="AN30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09" s="7" t="str">
        <f t="array" ref="AO309:AS309">bsGreeks(data[[#This Row],[OptType]],Details!$B$4,VALUE(data[[#This Row],[Strike]]),Details!$B$6,data[[#This Row],[T]],AN309,Details!$B$7)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0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0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0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0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09" s="61"/>
      <c r="AV309" s="61"/>
      <c r="AW309" s="61"/>
      <c r="AX309" s="61"/>
      <c r="AY309" s="61"/>
      <c r="AZ309" s="61"/>
      <c r="BA309" s="61"/>
      <c r="BB309" s="61"/>
    </row>
    <row r="310" spans="40:54" x14ac:dyDescent="0.3">
      <c r="AN31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0" s="7" t="str">
        <f t="array" ref="AO310:AS310">bsGreeks(data[[#This Row],[OptType]],Details!$B$4,VALUE(data[[#This Row],[Strike]]),Details!$B$6,data[[#This Row],[T]],AN310,Details!$B$7)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0" s="61"/>
      <c r="AV310" s="61"/>
      <c r="AW310" s="61"/>
      <c r="AX310" s="61"/>
      <c r="AY310" s="61"/>
      <c r="AZ310" s="61"/>
      <c r="BA310" s="61"/>
      <c r="BB310" s="61"/>
    </row>
    <row r="311" spans="40:54" x14ac:dyDescent="0.3">
      <c r="AN31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1" s="7" t="str">
        <f t="array" ref="AO311:AS311">bsGreeks(data[[#This Row],[OptType]],Details!$B$4,VALUE(data[[#This Row],[Strike]]),Details!$B$6,data[[#This Row],[T]],AN311,Details!$B$7)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1" s="61"/>
      <c r="AV311" s="61"/>
      <c r="AW311" s="61"/>
      <c r="AX311" s="61"/>
      <c r="AY311" s="61"/>
      <c r="AZ311" s="61"/>
      <c r="BA311" s="61"/>
      <c r="BB311" s="61"/>
    </row>
    <row r="312" spans="40:54" x14ac:dyDescent="0.3">
      <c r="AN31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2" s="7" t="str">
        <f t="array" ref="AO312:AS312">bsGreeks(data[[#This Row],[OptType]],Details!$B$4,VALUE(data[[#This Row],[Strike]]),Details!$B$6,data[[#This Row],[T]],AN312,Details!$B$7)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2" s="61"/>
      <c r="AV312" s="61"/>
      <c r="AW312" s="61"/>
      <c r="AX312" s="61"/>
      <c r="AY312" s="61"/>
      <c r="AZ312" s="61"/>
      <c r="BA312" s="61"/>
      <c r="BB312" s="61"/>
    </row>
    <row r="313" spans="40:54" x14ac:dyDescent="0.3">
      <c r="AN31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3" s="7" t="str">
        <f t="array" ref="AO313:AS313">bsGreeks(data[[#This Row],[OptType]],Details!$B$4,VALUE(data[[#This Row],[Strike]]),Details!$B$6,data[[#This Row],[T]],AN313,Details!$B$7)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3" s="61"/>
      <c r="AV313" s="61"/>
      <c r="AW313" s="61"/>
      <c r="AX313" s="61"/>
      <c r="AY313" s="61"/>
      <c r="AZ313" s="61"/>
      <c r="BA313" s="61"/>
      <c r="BB313" s="61"/>
    </row>
    <row r="314" spans="40:54" x14ac:dyDescent="0.3">
      <c r="AN31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4" s="7" t="str">
        <f t="array" ref="AO314:AS314">bsGreeks(data[[#This Row],[OptType]],Details!$B$4,VALUE(data[[#This Row],[Strike]]),Details!$B$6,data[[#This Row],[T]],AN314,Details!$B$7)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4" s="61"/>
      <c r="AV314" s="61"/>
      <c r="AW314" s="61"/>
      <c r="AX314" s="61"/>
      <c r="AY314" s="61"/>
      <c r="AZ314" s="61"/>
      <c r="BA314" s="61"/>
      <c r="BB314" s="61"/>
    </row>
    <row r="315" spans="40:54" x14ac:dyDescent="0.3">
      <c r="AN31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5" s="7" t="str">
        <f t="array" ref="AO315:AS315">bsGreeks(data[[#This Row],[OptType]],Details!$B$4,VALUE(data[[#This Row],[Strike]]),Details!$B$6,data[[#This Row],[T]],AN315,Details!$B$7)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5" s="61"/>
      <c r="AV315" s="61"/>
      <c r="AW315" s="61"/>
      <c r="AX315" s="61"/>
      <c r="AY315" s="61"/>
      <c r="AZ315" s="61"/>
      <c r="BA315" s="61"/>
      <c r="BB315" s="61"/>
    </row>
    <row r="316" spans="40:54" x14ac:dyDescent="0.3">
      <c r="AN31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6" s="7" t="str">
        <f t="array" ref="AO316:AS316">bsGreeks(data[[#This Row],[OptType]],Details!$B$4,VALUE(data[[#This Row],[Strike]]),Details!$B$6,data[[#This Row],[T]],AN316,Details!$B$7)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6" s="61"/>
      <c r="AV316" s="61"/>
      <c r="AW316" s="61"/>
      <c r="AX316" s="61"/>
      <c r="AY316" s="61"/>
      <c r="AZ316" s="61"/>
      <c r="BA316" s="61"/>
      <c r="BB316" s="61"/>
    </row>
    <row r="317" spans="40:54" x14ac:dyDescent="0.3">
      <c r="AN31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7" s="7" t="str">
        <f t="array" ref="AO317:AS317">bsGreeks(data[[#This Row],[OptType]],Details!$B$4,VALUE(data[[#This Row],[Strike]]),Details!$B$6,data[[#This Row],[T]],AN317,Details!$B$7)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7" s="61"/>
      <c r="AV317" s="61"/>
      <c r="AW317" s="61"/>
      <c r="AX317" s="61"/>
      <c r="AY317" s="61"/>
      <c r="AZ317" s="61"/>
      <c r="BA317" s="61"/>
      <c r="BB317" s="61"/>
    </row>
    <row r="318" spans="40:54" x14ac:dyDescent="0.3">
      <c r="AN31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8" s="7" t="str">
        <f t="array" ref="AO318:AS318">bsGreeks(data[[#This Row],[OptType]],Details!$B$4,VALUE(data[[#This Row],[Strike]]),Details!$B$6,data[[#This Row],[T]],AN318,Details!$B$7)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8" s="61"/>
      <c r="AV318" s="61"/>
      <c r="AW318" s="61"/>
      <c r="AX318" s="61"/>
      <c r="AY318" s="61"/>
      <c r="AZ318" s="61"/>
      <c r="BA318" s="61"/>
      <c r="BB318" s="61"/>
    </row>
    <row r="319" spans="40:54" x14ac:dyDescent="0.3">
      <c r="AN31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19" s="7" t="str">
        <f t="array" ref="AO319:AS319">bsGreeks(data[[#This Row],[OptType]],Details!$B$4,VALUE(data[[#This Row],[Strike]]),Details!$B$6,data[[#This Row],[T]],AN319,Details!$B$7)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1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1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1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1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19" s="61"/>
      <c r="AV319" s="61"/>
      <c r="AW319" s="61"/>
      <c r="AX319" s="61"/>
      <c r="AY319" s="61"/>
      <c r="AZ319" s="61"/>
      <c r="BA319" s="61"/>
      <c r="BB319" s="61"/>
    </row>
    <row r="320" spans="40:54" x14ac:dyDescent="0.3">
      <c r="AN32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0" s="7" t="str">
        <f t="array" ref="AO320:AS320">bsGreeks(data[[#This Row],[OptType]],Details!$B$4,VALUE(data[[#This Row],[Strike]]),Details!$B$6,data[[#This Row],[T]],AN320,Details!$B$7)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0" s="61"/>
      <c r="AV320" s="61"/>
      <c r="AW320" s="61"/>
      <c r="AX320" s="61"/>
      <c r="AY320" s="61"/>
      <c r="AZ320" s="61"/>
      <c r="BA320" s="61"/>
      <c r="BB320" s="61"/>
    </row>
    <row r="321" spans="40:54" x14ac:dyDescent="0.3">
      <c r="AN32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1" s="7" t="str">
        <f t="array" ref="AO321:AS321">bsGreeks(data[[#This Row],[OptType]],Details!$B$4,VALUE(data[[#This Row],[Strike]]),Details!$B$6,data[[#This Row],[T]],AN321,Details!$B$7)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1" s="61"/>
      <c r="AV321" s="61"/>
      <c r="AW321" s="61"/>
      <c r="AX321" s="61"/>
      <c r="AY321" s="61"/>
      <c r="AZ321" s="61"/>
      <c r="BA321" s="61"/>
      <c r="BB321" s="61"/>
    </row>
    <row r="322" spans="40:54" x14ac:dyDescent="0.3">
      <c r="AN32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2" s="7" t="str">
        <f t="array" ref="AO322:AS322">bsGreeks(data[[#This Row],[OptType]],Details!$B$4,VALUE(data[[#This Row],[Strike]]),Details!$B$6,data[[#This Row],[T]],AN322,Details!$B$7)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2" s="61"/>
      <c r="AV322" s="61"/>
      <c r="AW322" s="61"/>
      <c r="AX322" s="61"/>
      <c r="AY322" s="61"/>
      <c r="AZ322" s="61"/>
      <c r="BA322" s="61"/>
      <c r="BB322" s="61"/>
    </row>
    <row r="323" spans="40:54" x14ac:dyDescent="0.3">
      <c r="AN32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3" s="7" t="str">
        <f t="array" ref="AO323:AS323">bsGreeks(data[[#This Row],[OptType]],Details!$B$4,VALUE(data[[#This Row],[Strike]]),Details!$B$6,data[[#This Row],[T]],AN323,Details!$B$7)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3" s="61"/>
      <c r="AV323" s="61"/>
      <c r="AW323" s="61"/>
      <c r="AX323" s="61"/>
      <c r="AY323" s="61"/>
      <c r="AZ323" s="61"/>
      <c r="BA323" s="61"/>
      <c r="BB323" s="61"/>
    </row>
    <row r="324" spans="40:54" x14ac:dyDescent="0.3">
      <c r="AN32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4" s="7" t="str">
        <f t="array" ref="AO324:AS324">bsGreeks(data[[#This Row],[OptType]],Details!$B$4,VALUE(data[[#This Row],[Strike]]),Details!$B$6,data[[#This Row],[T]],AN324,Details!$B$7)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4" s="61"/>
      <c r="AV324" s="61"/>
      <c r="AW324" s="61"/>
      <c r="AX324" s="61"/>
      <c r="AY324" s="61"/>
      <c r="AZ324" s="61"/>
      <c r="BA324" s="61"/>
      <c r="BB324" s="61"/>
    </row>
    <row r="325" spans="40:54" x14ac:dyDescent="0.3">
      <c r="AN32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5" s="7" t="str">
        <f t="array" ref="AO325:AS325">bsGreeks(data[[#This Row],[OptType]],Details!$B$4,VALUE(data[[#This Row],[Strike]]),Details!$B$6,data[[#This Row],[T]],AN325,Details!$B$7)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5" s="61"/>
      <c r="AV325" s="61"/>
      <c r="AW325" s="61"/>
      <c r="AX325" s="61"/>
      <c r="AY325" s="61"/>
      <c r="AZ325" s="61"/>
      <c r="BA325" s="61"/>
      <c r="BB325" s="61"/>
    </row>
    <row r="326" spans="40:54" x14ac:dyDescent="0.3">
      <c r="AN32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6" s="7" t="str">
        <f t="array" ref="AO326:AS326">bsGreeks(data[[#This Row],[OptType]],Details!$B$4,VALUE(data[[#This Row],[Strike]]),Details!$B$6,data[[#This Row],[T]],AN326,Details!$B$7)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6" s="61"/>
      <c r="AV326" s="61"/>
      <c r="AW326" s="61"/>
      <c r="AX326" s="61"/>
      <c r="AY326" s="61"/>
      <c r="AZ326" s="61"/>
      <c r="BA326" s="61"/>
      <c r="BB326" s="61"/>
    </row>
    <row r="327" spans="40:54" x14ac:dyDescent="0.3">
      <c r="AN32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7" s="7" t="str">
        <f t="array" ref="AO327:AS327">bsGreeks(data[[#This Row],[OptType]],Details!$B$4,VALUE(data[[#This Row],[Strike]]),Details!$B$6,data[[#This Row],[T]],AN327,Details!$B$7)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7" s="61"/>
      <c r="AV327" s="61"/>
      <c r="AW327" s="61"/>
      <c r="AX327" s="61"/>
      <c r="AY327" s="61"/>
      <c r="AZ327" s="61"/>
      <c r="BA327" s="61"/>
      <c r="BB327" s="61"/>
    </row>
    <row r="328" spans="40:54" x14ac:dyDescent="0.3">
      <c r="AN32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8" s="7" t="str">
        <f t="array" ref="AO328:AS328">bsGreeks(data[[#This Row],[OptType]],Details!$B$4,VALUE(data[[#This Row],[Strike]]),Details!$B$6,data[[#This Row],[T]],AN328,Details!$B$7)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8" s="61"/>
      <c r="AV328" s="61"/>
      <c r="AW328" s="61"/>
      <c r="AX328" s="61"/>
      <c r="AY328" s="61"/>
      <c r="AZ328" s="61"/>
      <c r="BA328" s="61"/>
      <c r="BB328" s="61"/>
    </row>
    <row r="329" spans="40:54" x14ac:dyDescent="0.3">
      <c r="AN32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29" s="7" t="str">
        <f t="array" ref="AO329:AS329">bsGreeks(data[[#This Row],[OptType]],Details!$B$4,VALUE(data[[#This Row],[Strike]]),Details!$B$6,data[[#This Row],[T]],AN329,Details!$B$7)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2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2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2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2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29" s="61"/>
      <c r="AV329" s="61"/>
      <c r="AW329" s="61"/>
      <c r="AX329" s="61"/>
      <c r="AY329" s="61"/>
      <c r="AZ329" s="61"/>
      <c r="BA329" s="61"/>
      <c r="BB329" s="61"/>
    </row>
    <row r="330" spans="40:54" x14ac:dyDescent="0.3">
      <c r="AN33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0" s="7" t="str">
        <f t="array" ref="AO330:AS330">bsGreeks(data[[#This Row],[OptType]],Details!$B$4,VALUE(data[[#This Row],[Strike]]),Details!$B$6,data[[#This Row],[T]],AN330,Details!$B$7)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0" s="61"/>
      <c r="AV330" s="61"/>
      <c r="AW330" s="61"/>
      <c r="AX330" s="61"/>
      <c r="AY330" s="61"/>
      <c r="AZ330" s="61"/>
      <c r="BA330" s="61"/>
      <c r="BB330" s="61"/>
    </row>
    <row r="331" spans="40:54" x14ac:dyDescent="0.3">
      <c r="AN33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1" s="7" t="str">
        <f t="array" ref="AO331:AS331">bsGreeks(data[[#This Row],[OptType]],Details!$B$4,VALUE(data[[#This Row],[Strike]]),Details!$B$6,data[[#This Row],[T]],AN331,Details!$B$7)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1" s="61"/>
      <c r="AV331" s="61"/>
      <c r="AW331" s="61"/>
      <c r="AX331" s="61"/>
      <c r="AY331" s="61"/>
      <c r="AZ331" s="61"/>
      <c r="BA331" s="61"/>
      <c r="BB331" s="61"/>
    </row>
    <row r="332" spans="40:54" x14ac:dyDescent="0.3">
      <c r="AN33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2" s="7" t="str">
        <f t="array" ref="AO332:AS332">bsGreeks(data[[#This Row],[OptType]],Details!$B$4,VALUE(data[[#This Row],[Strike]]),Details!$B$6,data[[#This Row],[T]],AN332,Details!$B$7)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2" s="61"/>
      <c r="AV332" s="61"/>
      <c r="AW332" s="61"/>
      <c r="AX332" s="61"/>
      <c r="AY332" s="61"/>
      <c r="AZ332" s="61"/>
      <c r="BA332" s="61"/>
      <c r="BB332" s="61"/>
    </row>
    <row r="333" spans="40:54" x14ac:dyDescent="0.3">
      <c r="AN33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3" s="7" t="str">
        <f t="array" ref="AO333:AS333">bsGreeks(data[[#This Row],[OptType]],Details!$B$4,VALUE(data[[#This Row],[Strike]]),Details!$B$6,data[[#This Row],[T]],AN333,Details!$B$7)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3" s="61"/>
      <c r="AV333" s="61"/>
      <c r="AW333" s="61"/>
      <c r="AX333" s="61"/>
      <c r="AY333" s="61"/>
      <c r="AZ333" s="61"/>
      <c r="BA333" s="61"/>
      <c r="BB333" s="61"/>
    </row>
    <row r="334" spans="40:54" x14ac:dyDescent="0.3">
      <c r="AN33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4" s="7" t="str">
        <f t="array" ref="AO334:AS334">bsGreeks(data[[#This Row],[OptType]],Details!$B$4,VALUE(data[[#This Row],[Strike]]),Details!$B$6,data[[#This Row],[T]],AN334,Details!$B$7)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4" s="61"/>
      <c r="AV334" s="61"/>
      <c r="AW334" s="61"/>
      <c r="AX334" s="61"/>
      <c r="AY334" s="61"/>
      <c r="AZ334" s="61"/>
      <c r="BA334" s="61"/>
      <c r="BB334" s="61"/>
    </row>
    <row r="335" spans="40:54" x14ac:dyDescent="0.3">
      <c r="AN33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5" s="7" t="str">
        <f t="array" ref="AO335:AS335">bsGreeks(data[[#This Row],[OptType]],Details!$B$4,VALUE(data[[#This Row],[Strike]]),Details!$B$6,data[[#This Row],[T]],AN335,Details!$B$7)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5" s="61"/>
      <c r="AV335" s="61"/>
      <c r="AW335" s="61"/>
      <c r="AX335" s="61"/>
      <c r="AY335" s="61"/>
      <c r="AZ335" s="61"/>
      <c r="BA335" s="61"/>
      <c r="BB335" s="61"/>
    </row>
    <row r="336" spans="40:54" x14ac:dyDescent="0.3">
      <c r="AN33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6" s="7" t="str">
        <f t="array" ref="AO336:AS336">bsGreeks(data[[#This Row],[OptType]],Details!$B$4,VALUE(data[[#This Row],[Strike]]),Details!$B$6,data[[#This Row],[T]],AN336,Details!$B$7)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6" s="61"/>
      <c r="AV336" s="61"/>
      <c r="AW336" s="61"/>
      <c r="AX336" s="61"/>
      <c r="AY336" s="61"/>
      <c r="AZ336" s="61"/>
      <c r="BA336" s="61"/>
      <c r="BB336" s="61"/>
    </row>
    <row r="337" spans="40:54" x14ac:dyDescent="0.3">
      <c r="AN33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7" s="7" t="str">
        <f t="array" ref="AO337:AS337">bsGreeks(data[[#This Row],[OptType]],Details!$B$4,VALUE(data[[#This Row],[Strike]]),Details!$B$6,data[[#This Row],[T]],AN337,Details!$B$7)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7" s="61"/>
      <c r="AV337" s="61"/>
      <c r="AW337" s="61"/>
      <c r="AX337" s="61"/>
      <c r="AY337" s="61"/>
      <c r="AZ337" s="61"/>
      <c r="BA337" s="61"/>
      <c r="BB337" s="61"/>
    </row>
    <row r="338" spans="40:54" x14ac:dyDescent="0.3">
      <c r="AN33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8" s="7" t="str">
        <f t="array" ref="AO338:AS338">bsGreeks(data[[#This Row],[OptType]],Details!$B$4,VALUE(data[[#This Row],[Strike]]),Details!$B$6,data[[#This Row],[T]],AN338,Details!$B$7)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8" s="61"/>
      <c r="AV338" s="61"/>
      <c r="AW338" s="61"/>
      <c r="AX338" s="61"/>
      <c r="AY338" s="61"/>
      <c r="AZ338" s="61"/>
      <c r="BA338" s="61"/>
      <c r="BB338" s="61"/>
    </row>
    <row r="339" spans="40:54" x14ac:dyDescent="0.3">
      <c r="AN33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39" s="7" t="str">
        <f t="array" ref="AO339:AS339">bsGreeks(data[[#This Row],[OptType]],Details!$B$4,VALUE(data[[#This Row],[Strike]]),Details!$B$6,data[[#This Row],[T]],AN339,Details!$B$7)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3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3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3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3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39" s="61"/>
      <c r="AV339" s="61"/>
      <c r="AW339" s="61"/>
      <c r="AX339" s="61"/>
      <c r="AY339" s="61"/>
      <c r="AZ339" s="61"/>
      <c r="BA339" s="61"/>
      <c r="BB339" s="61"/>
    </row>
    <row r="340" spans="40:54" x14ac:dyDescent="0.3">
      <c r="AN34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0" s="7" t="str">
        <f t="array" ref="AO340:AS340">bsGreeks(data[[#This Row],[OptType]],Details!$B$4,VALUE(data[[#This Row],[Strike]]),Details!$B$6,data[[#This Row],[T]],AN340,Details!$B$7)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0" s="61"/>
      <c r="AV340" s="61"/>
      <c r="AW340" s="61"/>
      <c r="AX340" s="61"/>
      <c r="AY340" s="61"/>
      <c r="AZ340" s="61"/>
      <c r="BA340" s="61"/>
      <c r="BB340" s="61"/>
    </row>
    <row r="341" spans="40:54" x14ac:dyDescent="0.3">
      <c r="AN34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1" s="7" t="str">
        <f t="array" ref="AO341:AS341">bsGreeks(data[[#This Row],[OptType]],Details!$B$4,VALUE(data[[#This Row],[Strike]]),Details!$B$6,data[[#This Row],[T]],AN341,Details!$B$7)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1" s="61"/>
      <c r="AV341" s="61"/>
      <c r="AW341" s="61"/>
      <c r="AX341" s="61"/>
      <c r="AY341" s="61"/>
      <c r="AZ341" s="61"/>
      <c r="BA341" s="61"/>
      <c r="BB341" s="61"/>
    </row>
    <row r="342" spans="40:54" x14ac:dyDescent="0.3">
      <c r="AN34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2" s="7" t="str">
        <f t="array" ref="AO342:AS342">bsGreeks(data[[#This Row],[OptType]],Details!$B$4,VALUE(data[[#This Row],[Strike]]),Details!$B$6,data[[#This Row],[T]],AN342,Details!$B$7)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2" s="61"/>
      <c r="AV342" s="61"/>
      <c r="AW342" s="61"/>
      <c r="AX342" s="61"/>
      <c r="AY342" s="61"/>
      <c r="AZ342" s="61"/>
      <c r="BA342" s="61"/>
      <c r="BB342" s="61"/>
    </row>
    <row r="343" spans="40:54" x14ac:dyDescent="0.3">
      <c r="AN34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3" s="7" t="str">
        <f t="array" ref="AO343:AS343">bsGreeks(data[[#This Row],[OptType]],Details!$B$4,VALUE(data[[#This Row],[Strike]]),Details!$B$6,data[[#This Row],[T]],AN343,Details!$B$7)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3" s="61"/>
      <c r="AV343" s="61"/>
      <c r="AW343" s="61"/>
      <c r="AX343" s="61"/>
      <c r="AY343" s="61"/>
      <c r="AZ343" s="61"/>
      <c r="BA343" s="61"/>
      <c r="BB343" s="61"/>
    </row>
    <row r="344" spans="40:54" x14ac:dyDescent="0.3">
      <c r="AN34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4" s="7" t="str">
        <f t="array" ref="AO344:AS344">bsGreeks(data[[#This Row],[OptType]],Details!$B$4,VALUE(data[[#This Row],[Strike]]),Details!$B$6,data[[#This Row],[T]],AN344,Details!$B$7)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4" s="61"/>
      <c r="AV344" s="61"/>
      <c r="AW344" s="61"/>
      <c r="AX344" s="61"/>
      <c r="AY344" s="61"/>
      <c r="AZ344" s="61"/>
      <c r="BA344" s="61"/>
      <c r="BB344" s="61"/>
    </row>
    <row r="345" spans="40:54" x14ac:dyDescent="0.3">
      <c r="AN34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5" s="7" t="str">
        <f t="array" ref="AO345:AS345">bsGreeks(data[[#This Row],[OptType]],Details!$B$4,VALUE(data[[#This Row],[Strike]]),Details!$B$6,data[[#This Row],[T]],AN345,Details!$B$7)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5" s="61"/>
      <c r="AV345" s="61"/>
      <c r="AW345" s="61"/>
      <c r="AX345" s="61"/>
      <c r="AY345" s="61"/>
      <c r="AZ345" s="61"/>
      <c r="BA345" s="61"/>
      <c r="BB345" s="61"/>
    </row>
    <row r="346" spans="40:54" x14ac:dyDescent="0.3">
      <c r="AN34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6" s="7" t="str">
        <f t="array" ref="AO346:AS346">bsGreeks(data[[#This Row],[OptType]],Details!$B$4,VALUE(data[[#This Row],[Strike]]),Details!$B$6,data[[#This Row],[T]],AN346,Details!$B$7)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6" s="61"/>
      <c r="AV346" s="61"/>
      <c r="AW346" s="61"/>
      <c r="AX346" s="61"/>
      <c r="AY346" s="61"/>
      <c r="AZ346" s="61"/>
      <c r="BA346" s="61"/>
      <c r="BB346" s="61"/>
    </row>
    <row r="347" spans="40:54" x14ac:dyDescent="0.3">
      <c r="AN34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7" s="7" t="str">
        <f t="array" ref="AO347:AS347">bsGreeks(data[[#This Row],[OptType]],Details!$B$4,VALUE(data[[#This Row],[Strike]]),Details!$B$6,data[[#This Row],[T]],AN347,Details!$B$7)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7" s="61"/>
      <c r="AV347" s="61"/>
      <c r="AW347" s="61"/>
      <c r="AX347" s="61"/>
      <c r="AY347" s="61"/>
      <c r="AZ347" s="61"/>
      <c r="BA347" s="61"/>
      <c r="BB347" s="61"/>
    </row>
    <row r="348" spans="40:54" x14ac:dyDescent="0.3">
      <c r="AN34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8" s="7" t="str">
        <f t="array" ref="AO348:AS348">bsGreeks(data[[#This Row],[OptType]],Details!$B$4,VALUE(data[[#This Row],[Strike]]),Details!$B$6,data[[#This Row],[T]],AN348,Details!$B$7)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8" s="61"/>
      <c r="AV348" s="61"/>
      <c r="AW348" s="61"/>
      <c r="AX348" s="61"/>
      <c r="AY348" s="61"/>
      <c r="AZ348" s="61"/>
      <c r="BA348" s="61"/>
      <c r="BB348" s="61"/>
    </row>
    <row r="349" spans="40:54" x14ac:dyDescent="0.3">
      <c r="AN34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49" s="7" t="str">
        <f t="array" ref="AO349:AS349">bsGreeks(data[[#This Row],[OptType]],Details!$B$4,VALUE(data[[#This Row],[Strike]]),Details!$B$6,data[[#This Row],[T]],AN349,Details!$B$7)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4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4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4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4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49" s="61"/>
      <c r="AV349" s="61"/>
      <c r="AW349" s="61"/>
      <c r="AX349" s="61"/>
      <c r="AY349" s="61"/>
      <c r="AZ349" s="61"/>
      <c r="BA349" s="61"/>
      <c r="BB349" s="61"/>
    </row>
    <row r="350" spans="40:54" x14ac:dyDescent="0.3">
      <c r="AN35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0" s="7" t="str">
        <f t="array" ref="AO350:AS350">bsGreeks(data[[#This Row],[OptType]],Details!$B$4,VALUE(data[[#This Row],[Strike]]),Details!$B$6,data[[#This Row],[T]],AN350,Details!$B$7)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0" s="61"/>
      <c r="AV350" s="61"/>
      <c r="AW350" s="61"/>
      <c r="AX350" s="61"/>
      <c r="AY350" s="61"/>
      <c r="AZ350" s="61"/>
      <c r="BA350" s="61"/>
      <c r="BB350" s="61"/>
    </row>
    <row r="351" spans="40:54" x14ac:dyDescent="0.3">
      <c r="AN35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1" s="7" t="str">
        <f t="array" ref="AO351:AS351">bsGreeks(data[[#This Row],[OptType]],Details!$B$4,VALUE(data[[#This Row],[Strike]]),Details!$B$6,data[[#This Row],[T]],AN351,Details!$B$7)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1" s="61"/>
      <c r="AV351" s="61"/>
      <c r="AW351" s="61"/>
      <c r="AX351" s="61"/>
      <c r="AY351" s="61"/>
      <c r="AZ351" s="61"/>
      <c r="BA351" s="61"/>
      <c r="BB351" s="61"/>
    </row>
    <row r="352" spans="40:54" x14ac:dyDescent="0.3">
      <c r="AN35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2" s="7" t="str">
        <f t="array" ref="AO352:AS352">bsGreeks(data[[#This Row],[OptType]],Details!$B$4,VALUE(data[[#This Row],[Strike]]),Details!$B$6,data[[#This Row],[T]],AN352,Details!$B$7)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2" s="61"/>
      <c r="AV352" s="61"/>
      <c r="AW352" s="61"/>
      <c r="AX352" s="61"/>
      <c r="AY352" s="61"/>
      <c r="AZ352" s="61"/>
      <c r="BA352" s="61"/>
      <c r="BB352" s="61"/>
    </row>
    <row r="353" spans="40:54" x14ac:dyDescent="0.3">
      <c r="AN35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3" s="7" t="str">
        <f t="array" ref="AO353:AS353">bsGreeks(data[[#This Row],[OptType]],Details!$B$4,VALUE(data[[#This Row],[Strike]]),Details!$B$6,data[[#This Row],[T]],AN353,Details!$B$7)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3" s="61"/>
      <c r="AV353" s="61"/>
      <c r="AW353" s="61"/>
      <c r="AX353" s="61"/>
      <c r="AY353" s="61"/>
      <c r="AZ353" s="61"/>
      <c r="BA353" s="61"/>
      <c r="BB353" s="61"/>
    </row>
    <row r="354" spans="40:54" x14ac:dyDescent="0.3">
      <c r="AN35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4" s="7" t="str">
        <f t="array" ref="AO354:AS354">bsGreeks(data[[#This Row],[OptType]],Details!$B$4,VALUE(data[[#This Row],[Strike]]),Details!$B$6,data[[#This Row],[T]],AN354,Details!$B$7)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4" s="61"/>
      <c r="AV354" s="61"/>
      <c r="AW354" s="61"/>
      <c r="AX354" s="61"/>
      <c r="AY354" s="61"/>
      <c r="AZ354" s="61"/>
      <c r="BA354" s="61"/>
      <c r="BB354" s="61"/>
    </row>
    <row r="355" spans="40:54" x14ac:dyDescent="0.3">
      <c r="AN35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5" s="7" t="str">
        <f t="array" ref="AO355:AS355">bsGreeks(data[[#This Row],[OptType]],Details!$B$4,VALUE(data[[#This Row],[Strike]]),Details!$B$6,data[[#This Row],[T]],AN355,Details!$B$7)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5" s="61"/>
      <c r="AV355" s="61"/>
      <c r="AW355" s="61"/>
      <c r="AX355" s="61"/>
      <c r="AY355" s="61"/>
      <c r="AZ355" s="61"/>
      <c r="BA355" s="61"/>
      <c r="BB355" s="61"/>
    </row>
    <row r="356" spans="40:54" x14ac:dyDescent="0.3">
      <c r="AN35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6" s="7" t="str">
        <f t="array" ref="AO356:AS356">bsGreeks(data[[#This Row],[OptType]],Details!$B$4,VALUE(data[[#This Row],[Strike]]),Details!$B$6,data[[#This Row],[T]],AN356,Details!$B$7)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6" s="61"/>
      <c r="AV356" s="61"/>
      <c r="AW356" s="61"/>
      <c r="AX356" s="61"/>
      <c r="AY356" s="61"/>
      <c r="AZ356" s="61"/>
      <c r="BA356" s="61"/>
      <c r="BB356" s="61"/>
    </row>
    <row r="357" spans="40:54" x14ac:dyDescent="0.3">
      <c r="AN35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7" s="7" t="str">
        <f t="array" ref="AO357:AS357">bsGreeks(data[[#This Row],[OptType]],Details!$B$4,VALUE(data[[#This Row],[Strike]]),Details!$B$6,data[[#This Row],[T]],AN357,Details!$B$7)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7" s="61"/>
      <c r="AV357" s="61"/>
      <c r="AW357" s="61"/>
      <c r="AX357" s="61"/>
      <c r="AY357" s="61"/>
      <c r="AZ357" s="61"/>
      <c r="BA357" s="61"/>
      <c r="BB357" s="61"/>
    </row>
    <row r="358" spans="40:54" x14ac:dyDescent="0.3">
      <c r="AN35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8" s="7" t="str">
        <f t="array" ref="AO358:AS358">bsGreeks(data[[#This Row],[OptType]],Details!$B$4,VALUE(data[[#This Row],[Strike]]),Details!$B$6,data[[#This Row],[T]],AN358,Details!$B$7)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8" s="61"/>
      <c r="AV358" s="61"/>
      <c r="AW358" s="61"/>
      <c r="AX358" s="61"/>
      <c r="AY358" s="61"/>
      <c r="AZ358" s="61"/>
      <c r="BA358" s="61"/>
      <c r="BB358" s="61"/>
    </row>
    <row r="359" spans="40:54" x14ac:dyDescent="0.3">
      <c r="AN35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59" s="7" t="str">
        <f t="array" ref="AO359:AS359">bsGreeks(data[[#This Row],[OptType]],Details!$B$4,VALUE(data[[#This Row],[Strike]]),Details!$B$6,data[[#This Row],[T]],AN359,Details!$B$7)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5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5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5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5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59" s="61"/>
      <c r="AV359" s="61"/>
      <c r="AW359" s="61"/>
      <c r="AX359" s="61"/>
      <c r="AY359" s="61"/>
      <c r="AZ359" s="61"/>
      <c r="BA359" s="61"/>
      <c r="BB359" s="61"/>
    </row>
    <row r="360" spans="40:54" x14ac:dyDescent="0.3">
      <c r="AN36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0" s="7" t="str">
        <f t="array" ref="AO360:AS360">bsGreeks(data[[#This Row],[OptType]],Details!$B$4,VALUE(data[[#This Row],[Strike]]),Details!$B$6,data[[#This Row],[T]],AN360,Details!$B$7)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0" s="61"/>
      <c r="AV360" s="61"/>
      <c r="AW360" s="61"/>
      <c r="AX360" s="61"/>
      <c r="AY360" s="61"/>
      <c r="AZ360" s="61"/>
      <c r="BA360" s="61"/>
      <c r="BB360" s="61"/>
    </row>
    <row r="361" spans="40:54" x14ac:dyDescent="0.3">
      <c r="AN36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1" s="7" t="str">
        <f t="array" ref="AO361:AS361">bsGreeks(data[[#This Row],[OptType]],Details!$B$4,VALUE(data[[#This Row],[Strike]]),Details!$B$6,data[[#This Row],[T]],AN361,Details!$B$7)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1" s="61"/>
      <c r="AV361" s="61"/>
      <c r="AW361" s="61"/>
      <c r="AX361" s="61"/>
      <c r="AY361" s="61"/>
      <c r="AZ361" s="61"/>
      <c r="BA361" s="61"/>
      <c r="BB361" s="61"/>
    </row>
    <row r="362" spans="40:54" x14ac:dyDescent="0.3">
      <c r="AN36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2" s="7" t="str">
        <f t="array" ref="AO362:AS362">bsGreeks(data[[#This Row],[OptType]],Details!$B$4,VALUE(data[[#This Row],[Strike]]),Details!$B$6,data[[#This Row],[T]],AN362,Details!$B$7)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2" s="61"/>
      <c r="AV362" s="61"/>
      <c r="AW362" s="61"/>
      <c r="AX362" s="61"/>
      <c r="AY362" s="61"/>
      <c r="AZ362" s="61"/>
      <c r="BA362" s="61"/>
      <c r="BB362" s="61"/>
    </row>
    <row r="363" spans="40:54" x14ac:dyDescent="0.3">
      <c r="AN36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3" s="7" t="str">
        <f t="array" ref="AO363:AS363">bsGreeks(data[[#This Row],[OptType]],Details!$B$4,VALUE(data[[#This Row],[Strike]]),Details!$B$6,data[[#This Row],[T]],AN363,Details!$B$7)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3" s="61"/>
      <c r="AV363" s="61"/>
      <c r="AW363" s="61"/>
      <c r="AX363" s="61"/>
      <c r="AY363" s="61"/>
      <c r="AZ363" s="61"/>
      <c r="BA363" s="61"/>
      <c r="BB363" s="61"/>
    </row>
    <row r="364" spans="40:54" x14ac:dyDescent="0.3">
      <c r="AN36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4" s="7" t="str">
        <f t="array" ref="AO364:AS364">bsGreeks(data[[#This Row],[OptType]],Details!$B$4,VALUE(data[[#This Row],[Strike]]),Details!$B$6,data[[#This Row],[T]],AN364,Details!$B$7)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4" s="61"/>
      <c r="AV364" s="61"/>
      <c r="AW364" s="61"/>
      <c r="AX364" s="61"/>
      <c r="AY364" s="61"/>
      <c r="AZ364" s="61"/>
      <c r="BA364" s="61"/>
      <c r="BB364" s="61"/>
    </row>
    <row r="365" spans="40:54" x14ac:dyDescent="0.3">
      <c r="AN36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5" s="7" t="str">
        <f t="array" ref="AO365:AS365">bsGreeks(data[[#This Row],[OptType]],Details!$B$4,VALUE(data[[#This Row],[Strike]]),Details!$B$6,data[[#This Row],[T]],AN365,Details!$B$7)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5" s="61"/>
      <c r="AV365" s="61"/>
      <c r="AW365" s="61"/>
      <c r="AX365" s="61"/>
      <c r="AY365" s="61"/>
      <c r="AZ365" s="61"/>
      <c r="BA365" s="61"/>
      <c r="BB365" s="61"/>
    </row>
    <row r="366" spans="40:54" x14ac:dyDescent="0.3">
      <c r="AN36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6" s="7" t="str">
        <f t="array" ref="AO366:AS366">bsGreeks(data[[#This Row],[OptType]],Details!$B$4,VALUE(data[[#This Row],[Strike]]),Details!$B$6,data[[#This Row],[T]],AN366,Details!$B$7)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6" s="61"/>
      <c r="AV366" s="61"/>
      <c r="AW366" s="61"/>
      <c r="AX366" s="61"/>
      <c r="AY366" s="61"/>
      <c r="AZ366" s="61"/>
      <c r="BA366" s="61"/>
      <c r="BB366" s="61"/>
    </row>
    <row r="367" spans="40:54" x14ac:dyDescent="0.3">
      <c r="AN36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7" s="7" t="str">
        <f t="array" ref="AO367:AS367">bsGreeks(data[[#This Row],[OptType]],Details!$B$4,VALUE(data[[#This Row],[Strike]]),Details!$B$6,data[[#This Row],[T]],AN367,Details!$B$7)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7" s="61"/>
      <c r="AV367" s="61"/>
      <c r="AW367" s="61"/>
      <c r="AX367" s="61"/>
      <c r="AY367" s="61"/>
      <c r="AZ367" s="61"/>
      <c r="BA367" s="61"/>
      <c r="BB367" s="61"/>
    </row>
    <row r="368" spans="40:54" x14ac:dyDescent="0.3">
      <c r="AN36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8" s="7" t="str">
        <f t="array" ref="AO368:AS368">bsGreeks(data[[#This Row],[OptType]],Details!$B$4,VALUE(data[[#This Row],[Strike]]),Details!$B$6,data[[#This Row],[T]],AN368,Details!$B$7)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8" s="61"/>
      <c r="AV368" s="61"/>
      <c r="AW368" s="61"/>
      <c r="AX368" s="61"/>
      <c r="AY368" s="61"/>
      <c r="AZ368" s="61"/>
      <c r="BA368" s="61"/>
      <c r="BB368" s="61"/>
    </row>
    <row r="369" spans="40:54" x14ac:dyDescent="0.3">
      <c r="AN36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69" s="7" t="str">
        <f t="array" ref="AO369:AS369">bsGreeks(data[[#This Row],[OptType]],Details!$B$4,VALUE(data[[#This Row],[Strike]]),Details!$B$6,data[[#This Row],[T]],AN369,Details!$B$7)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6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6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6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6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69" s="61"/>
      <c r="AV369" s="61"/>
      <c r="AW369" s="61"/>
      <c r="AX369" s="61"/>
      <c r="AY369" s="61"/>
      <c r="AZ369" s="61"/>
      <c r="BA369" s="61"/>
      <c r="BB369" s="61"/>
    </row>
    <row r="370" spans="40:54" x14ac:dyDescent="0.3">
      <c r="AN37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0" s="7" t="str">
        <f t="array" ref="AO370:AS370">bsGreeks(data[[#This Row],[OptType]],Details!$B$4,VALUE(data[[#This Row],[Strike]]),Details!$B$6,data[[#This Row],[T]],AN370,Details!$B$7)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0" s="61"/>
      <c r="AV370" s="61"/>
      <c r="AW370" s="61"/>
      <c r="AX370" s="61"/>
      <c r="AY370" s="61"/>
      <c r="AZ370" s="61"/>
      <c r="BA370" s="61"/>
      <c r="BB370" s="61"/>
    </row>
    <row r="371" spans="40:54" x14ac:dyDescent="0.3">
      <c r="AN37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1" s="7" t="str">
        <f t="array" ref="AO371:AS371">bsGreeks(data[[#This Row],[OptType]],Details!$B$4,VALUE(data[[#This Row],[Strike]]),Details!$B$6,data[[#This Row],[T]],AN371,Details!$B$7)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1" s="61"/>
      <c r="AV371" s="61"/>
      <c r="AW371" s="61"/>
      <c r="AX371" s="61"/>
      <c r="AY371" s="61"/>
      <c r="AZ371" s="61"/>
      <c r="BA371" s="61"/>
      <c r="BB371" s="61"/>
    </row>
    <row r="372" spans="40:54" x14ac:dyDescent="0.3">
      <c r="AN37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2" s="7" t="str">
        <f t="array" ref="AO372:AS372">bsGreeks(data[[#This Row],[OptType]],Details!$B$4,VALUE(data[[#This Row],[Strike]]),Details!$B$6,data[[#This Row],[T]],AN372,Details!$B$7)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2" s="61"/>
      <c r="AV372" s="61"/>
      <c r="AW372" s="61"/>
      <c r="AX372" s="61"/>
      <c r="AY372" s="61"/>
      <c r="AZ372" s="61"/>
      <c r="BA372" s="61"/>
      <c r="BB372" s="61"/>
    </row>
    <row r="373" spans="40:54" x14ac:dyDescent="0.3">
      <c r="AN37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3" s="7" t="str">
        <f t="array" ref="AO373:AS373">bsGreeks(data[[#This Row],[OptType]],Details!$B$4,VALUE(data[[#This Row],[Strike]]),Details!$B$6,data[[#This Row],[T]],AN373,Details!$B$7)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3" s="61"/>
      <c r="AV373" s="61"/>
      <c r="AW373" s="61"/>
      <c r="AX373" s="61"/>
      <c r="AY373" s="61"/>
      <c r="AZ373" s="61"/>
      <c r="BA373" s="61"/>
      <c r="BB373" s="61"/>
    </row>
    <row r="374" spans="40:54" x14ac:dyDescent="0.3">
      <c r="AN37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4" s="7" t="str">
        <f t="array" ref="AO374:AS374">bsGreeks(data[[#This Row],[OptType]],Details!$B$4,VALUE(data[[#This Row],[Strike]]),Details!$B$6,data[[#This Row],[T]],AN374,Details!$B$7)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4" s="61"/>
      <c r="AV374" s="61"/>
      <c r="AW374" s="61"/>
      <c r="AX374" s="61"/>
      <c r="AY374" s="61"/>
      <c r="AZ374" s="61"/>
      <c r="BA374" s="61"/>
      <c r="BB374" s="61"/>
    </row>
    <row r="375" spans="40:54" x14ac:dyDescent="0.3">
      <c r="AN37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5" s="7" t="str">
        <f t="array" ref="AO375:AS375">bsGreeks(data[[#This Row],[OptType]],Details!$B$4,VALUE(data[[#This Row],[Strike]]),Details!$B$6,data[[#This Row],[T]],AN375,Details!$B$7)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5" s="61"/>
      <c r="AV375" s="61"/>
      <c r="AW375" s="61"/>
      <c r="AX375" s="61"/>
      <c r="AY375" s="61"/>
      <c r="AZ375" s="61"/>
      <c r="BA375" s="61"/>
      <c r="BB375" s="61"/>
    </row>
    <row r="376" spans="40:54" x14ac:dyDescent="0.3">
      <c r="AN37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6" s="7" t="str">
        <f t="array" ref="AO376:AS376">bsGreeks(data[[#This Row],[OptType]],Details!$B$4,VALUE(data[[#This Row],[Strike]]),Details!$B$6,data[[#This Row],[T]],AN376,Details!$B$7)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6" s="61"/>
      <c r="AV376" s="61"/>
      <c r="AW376" s="61"/>
      <c r="AX376" s="61"/>
      <c r="AY376" s="61"/>
      <c r="AZ376" s="61"/>
      <c r="BA376" s="61"/>
      <c r="BB376" s="61"/>
    </row>
    <row r="377" spans="40:54" x14ac:dyDescent="0.3">
      <c r="AN37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7" s="7" t="str">
        <f t="array" ref="AO377:AS377">bsGreeks(data[[#This Row],[OptType]],Details!$B$4,VALUE(data[[#This Row],[Strike]]),Details!$B$6,data[[#This Row],[T]],AN377,Details!$B$7)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7" s="61"/>
      <c r="AV377" s="61"/>
      <c r="AW377" s="61"/>
      <c r="AX377" s="61"/>
      <c r="AY377" s="61"/>
      <c r="AZ377" s="61"/>
      <c r="BA377" s="61"/>
      <c r="BB377" s="61"/>
    </row>
    <row r="378" spans="40:54" x14ac:dyDescent="0.3">
      <c r="AN37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8" s="7" t="str">
        <f t="array" ref="AO378:AS378">bsGreeks(data[[#This Row],[OptType]],Details!$B$4,VALUE(data[[#This Row],[Strike]]),Details!$B$6,data[[#This Row],[T]],AN378,Details!$B$7)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8" s="61"/>
      <c r="AV378" s="61"/>
      <c r="AW378" s="61"/>
      <c r="AX378" s="61"/>
      <c r="AY378" s="61"/>
      <c r="AZ378" s="61"/>
      <c r="BA378" s="61"/>
      <c r="BB378" s="61"/>
    </row>
    <row r="379" spans="40:54" x14ac:dyDescent="0.3">
      <c r="AN37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79" s="7" t="str">
        <f t="array" ref="AO379:AS379">bsGreeks(data[[#This Row],[OptType]],Details!$B$4,VALUE(data[[#This Row],[Strike]]),Details!$B$6,data[[#This Row],[T]],AN379,Details!$B$7)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7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7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7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7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79" s="61"/>
      <c r="AV379" s="61"/>
      <c r="AW379" s="61"/>
      <c r="AX379" s="61"/>
      <c r="AY379" s="61"/>
      <c r="AZ379" s="61"/>
      <c r="BA379" s="61"/>
      <c r="BB379" s="61"/>
    </row>
    <row r="380" spans="40:54" x14ac:dyDescent="0.3">
      <c r="AN38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0" s="7" t="str">
        <f t="array" ref="AO380:AS380">bsGreeks(data[[#This Row],[OptType]],Details!$B$4,VALUE(data[[#This Row],[Strike]]),Details!$B$6,data[[#This Row],[T]],AN380,Details!$B$7)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0" s="61"/>
      <c r="AV380" s="61"/>
      <c r="AW380" s="61"/>
      <c r="AX380" s="61"/>
      <c r="AY380" s="61"/>
      <c r="AZ380" s="61"/>
      <c r="BA380" s="61"/>
      <c r="BB380" s="61"/>
    </row>
    <row r="381" spans="40:54" x14ac:dyDescent="0.3">
      <c r="AN38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1" s="7" t="str">
        <f t="array" ref="AO381:AS381">bsGreeks(data[[#This Row],[OptType]],Details!$B$4,VALUE(data[[#This Row],[Strike]]),Details!$B$6,data[[#This Row],[T]],AN381,Details!$B$7)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1" s="61"/>
      <c r="AV381" s="61"/>
      <c r="AW381" s="61"/>
      <c r="AX381" s="61"/>
      <c r="AY381" s="61"/>
      <c r="AZ381" s="61"/>
      <c r="BA381" s="61"/>
      <c r="BB381" s="61"/>
    </row>
    <row r="382" spans="40:54" x14ac:dyDescent="0.3">
      <c r="AN38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2" s="7" t="str">
        <f t="array" ref="AO382:AS382">bsGreeks(data[[#This Row],[OptType]],Details!$B$4,VALUE(data[[#This Row],[Strike]]),Details!$B$6,data[[#This Row],[T]],AN382,Details!$B$7)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2" s="61"/>
      <c r="AV382" s="61"/>
      <c r="AW382" s="61"/>
      <c r="AX382" s="61"/>
      <c r="AY382" s="61"/>
      <c r="AZ382" s="61"/>
      <c r="BA382" s="61"/>
      <c r="BB382" s="61"/>
    </row>
    <row r="383" spans="40:54" x14ac:dyDescent="0.3">
      <c r="AN38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3" s="7" t="str">
        <f t="array" ref="AO383:AS383">bsGreeks(data[[#This Row],[OptType]],Details!$B$4,VALUE(data[[#This Row],[Strike]]),Details!$B$6,data[[#This Row],[T]],AN383,Details!$B$7)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3" s="61"/>
      <c r="AV383" s="61"/>
      <c r="AW383" s="61"/>
      <c r="AX383" s="61"/>
      <c r="AY383" s="61"/>
      <c r="AZ383" s="61"/>
      <c r="BA383" s="61"/>
      <c r="BB383" s="61"/>
    </row>
    <row r="384" spans="40:54" x14ac:dyDescent="0.3">
      <c r="AN38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4" s="7" t="str">
        <f t="array" ref="AO384:AS384">bsGreeks(data[[#This Row],[OptType]],Details!$B$4,VALUE(data[[#This Row],[Strike]]),Details!$B$6,data[[#This Row],[T]],AN384,Details!$B$7)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4" s="61"/>
      <c r="AV384" s="61"/>
      <c r="AW384" s="61"/>
      <c r="AX384" s="61"/>
      <c r="AY384" s="61"/>
      <c r="AZ384" s="61"/>
      <c r="BA384" s="61"/>
      <c r="BB384" s="61"/>
    </row>
    <row r="385" spans="40:54" x14ac:dyDescent="0.3">
      <c r="AN38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5" s="7" t="str">
        <f t="array" ref="AO385:AS385">bsGreeks(data[[#This Row],[OptType]],Details!$B$4,VALUE(data[[#This Row],[Strike]]),Details!$B$6,data[[#This Row],[T]],AN385,Details!$B$7)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5" s="61"/>
      <c r="AV385" s="61"/>
      <c r="AW385" s="61"/>
      <c r="AX385" s="61"/>
      <c r="AY385" s="61"/>
      <c r="AZ385" s="61"/>
      <c r="BA385" s="61"/>
      <c r="BB385" s="61"/>
    </row>
    <row r="386" spans="40:54" x14ac:dyDescent="0.3">
      <c r="AN38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6" s="7" t="str">
        <f t="array" ref="AO386:AS386">bsGreeks(data[[#This Row],[OptType]],Details!$B$4,VALUE(data[[#This Row],[Strike]]),Details!$B$6,data[[#This Row],[T]],AN386,Details!$B$7)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6" s="61"/>
      <c r="AV386" s="61"/>
      <c r="AW386" s="61"/>
      <c r="AX386" s="61"/>
      <c r="AY386" s="61"/>
      <c r="AZ386" s="61"/>
      <c r="BA386" s="61"/>
      <c r="BB386" s="61"/>
    </row>
    <row r="387" spans="40:54" x14ac:dyDescent="0.3">
      <c r="AN38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7" s="7" t="str">
        <f t="array" ref="AO387:AS387">bsGreeks(data[[#This Row],[OptType]],Details!$B$4,VALUE(data[[#This Row],[Strike]]),Details!$B$6,data[[#This Row],[T]],AN387,Details!$B$7)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7" s="61"/>
      <c r="AV387" s="61"/>
      <c r="AW387" s="61"/>
      <c r="AX387" s="61"/>
      <c r="AY387" s="61"/>
      <c r="AZ387" s="61"/>
      <c r="BA387" s="61"/>
      <c r="BB387" s="61"/>
    </row>
    <row r="388" spans="40:54" x14ac:dyDescent="0.3">
      <c r="AN38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8" s="7" t="str">
        <f t="array" ref="AO388:AS388">bsGreeks(data[[#This Row],[OptType]],Details!$B$4,VALUE(data[[#This Row],[Strike]]),Details!$B$6,data[[#This Row],[T]],AN388,Details!$B$7)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8" s="61"/>
      <c r="AV388" s="61"/>
      <c r="AW388" s="61"/>
      <c r="AX388" s="61"/>
      <c r="AY388" s="61"/>
      <c r="AZ388" s="61"/>
      <c r="BA388" s="61"/>
      <c r="BB388" s="61"/>
    </row>
    <row r="389" spans="40:54" x14ac:dyDescent="0.3">
      <c r="AN38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89" s="7" t="str">
        <f t="array" ref="AO389:AS389">bsGreeks(data[[#This Row],[OptType]],Details!$B$4,VALUE(data[[#This Row],[Strike]]),Details!$B$6,data[[#This Row],[T]],AN389,Details!$B$7)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8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8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8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8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89" s="61"/>
      <c r="AV389" s="61"/>
      <c r="AW389" s="61"/>
      <c r="AX389" s="61"/>
      <c r="AY389" s="61"/>
      <c r="AZ389" s="61"/>
      <c r="BA389" s="61"/>
      <c r="BB389" s="61"/>
    </row>
    <row r="390" spans="40:54" x14ac:dyDescent="0.3">
      <c r="AN39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0" s="7" t="str">
        <f t="array" ref="AO390:AS390">bsGreeks(data[[#This Row],[OptType]],Details!$B$4,VALUE(data[[#This Row],[Strike]]),Details!$B$6,data[[#This Row],[T]],AN390,Details!$B$7)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0" s="61"/>
      <c r="AV390" s="61"/>
      <c r="AW390" s="61"/>
      <c r="AX390" s="61"/>
      <c r="AY390" s="61"/>
      <c r="AZ390" s="61"/>
      <c r="BA390" s="61"/>
      <c r="BB390" s="61"/>
    </row>
    <row r="391" spans="40:54" x14ac:dyDescent="0.3">
      <c r="AN39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1" s="7" t="str">
        <f t="array" ref="AO391:AS391">bsGreeks(data[[#This Row],[OptType]],Details!$B$4,VALUE(data[[#This Row],[Strike]]),Details!$B$6,data[[#This Row],[T]],AN391,Details!$B$7)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1" s="61"/>
      <c r="AV391" s="61"/>
      <c r="AW391" s="61"/>
      <c r="AX391" s="61"/>
      <c r="AY391" s="61"/>
      <c r="AZ391" s="61"/>
      <c r="BA391" s="61"/>
      <c r="BB391" s="61"/>
    </row>
    <row r="392" spans="40:54" x14ac:dyDescent="0.3">
      <c r="AN39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2" s="7" t="str">
        <f t="array" ref="AO392:AS392">bsGreeks(data[[#This Row],[OptType]],Details!$B$4,VALUE(data[[#This Row],[Strike]]),Details!$B$6,data[[#This Row],[T]],AN392,Details!$B$7)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2" s="61"/>
      <c r="AV392" s="61"/>
      <c r="AW392" s="61"/>
      <c r="AX392" s="61"/>
      <c r="AY392" s="61"/>
      <c r="AZ392" s="61"/>
      <c r="BA392" s="61"/>
      <c r="BB392" s="61"/>
    </row>
    <row r="393" spans="40:54" x14ac:dyDescent="0.3">
      <c r="AN39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3" s="7" t="str">
        <f t="array" ref="AO393:AS393">bsGreeks(data[[#This Row],[OptType]],Details!$B$4,VALUE(data[[#This Row],[Strike]]),Details!$B$6,data[[#This Row],[T]],AN393,Details!$B$7)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3" s="61"/>
      <c r="AV393" s="61"/>
      <c r="AW393" s="61"/>
      <c r="AX393" s="61"/>
      <c r="AY393" s="61"/>
      <c r="AZ393" s="61"/>
      <c r="BA393" s="61"/>
      <c r="BB393" s="61"/>
    </row>
    <row r="394" spans="40:54" x14ac:dyDescent="0.3">
      <c r="AN39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4" s="7" t="str">
        <f t="array" ref="AO394:AS394">bsGreeks(data[[#This Row],[OptType]],Details!$B$4,VALUE(data[[#This Row],[Strike]]),Details!$B$6,data[[#This Row],[T]],AN394,Details!$B$7)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4" s="61"/>
      <c r="AV394" s="61"/>
      <c r="AW394" s="61"/>
      <c r="AX394" s="61"/>
      <c r="AY394" s="61"/>
      <c r="AZ394" s="61"/>
      <c r="BA394" s="61"/>
      <c r="BB394" s="61"/>
    </row>
    <row r="395" spans="40:54" x14ac:dyDescent="0.3">
      <c r="AN39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5" s="7" t="str">
        <f t="array" ref="AO395:AS395">bsGreeks(data[[#This Row],[OptType]],Details!$B$4,VALUE(data[[#This Row],[Strike]]),Details!$B$6,data[[#This Row],[T]],AN395,Details!$B$7)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5" s="61"/>
      <c r="AV395" s="61"/>
      <c r="AW395" s="61"/>
      <c r="AX395" s="61"/>
      <c r="AY395" s="61"/>
      <c r="AZ395" s="61"/>
      <c r="BA395" s="61"/>
      <c r="BB395" s="61"/>
    </row>
    <row r="396" spans="40:54" x14ac:dyDescent="0.3">
      <c r="AN39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6" s="7" t="str">
        <f t="array" ref="AO396:AS396">bsGreeks(data[[#This Row],[OptType]],Details!$B$4,VALUE(data[[#This Row],[Strike]]),Details!$B$6,data[[#This Row],[T]],AN396,Details!$B$7)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6" s="61"/>
      <c r="AV396" s="61"/>
      <c r="AW396" s="61"/>
      <c r="AX396" s="61"/>
      <c r="AY396" s="61"/>
      <c r="AZ396" s="61"/>
      <c r="BA396" s="61"/>
      <c r="BB396" s="61"/>
    </row>
    <row r="397" spans="40:54" x14ac:dyDescent="0.3">
      <c r="AN39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7" s="7" t="str">
        <f t="array" ref="AO397:AS397">bsGreeks(data[[#This Row],[OptType]],Details!$B$4,VALUE(data[[#This Row],[Strike]]),Details!$B$6,data[[#This Row],[T]],AN397,Details!$B$7)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7" s="61"/>
      <c r="AV397" s="61"/>
      <c r="AW397" s="61"/>
      <c r="AX397" s="61"/>
      <c r="AY397" s="61"/>
      <c r="AZ397" s="61"/>
      <c r="BA397" s="61"/>
      <c r="BB397" s="61"/>
    </row>
    <row r="398" spans="40:54" x14ac:dyDescent="0.3">
      <c r="AN39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8" s="7" t="str">
        <f t="array" ref="AO398:AS398">bsGreeks(data[[#This Row],[OptType]],Details!$B$4,VALUE(data[[#This Row],[Strike]]),Details!$B$6,data[[#This Row],[T]],AN398,Details!$B$7)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8" s="61"/>
      <c r="AV398" s="61"/>
      <c r="AW398" s="61"/>
      <c r="AX398" s="61"/>
      <c r="AY398" s="61"/>
      <c r="AZ398" s="61"/>
      <c r="BA398" s="61"/>
      <c r="BB398" s="61"/>
    </row>
    <row r="399" spans="40:54" x14ac:dyDescent="0.3">
      <c r="AN39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399" s="7" t="str">
        <f t="array" ref="AO399:AS399">bsGreeks(data[[#This Row],[OptType]],Details!$B$4,VALUE(data[[#This Row],[Strike]]),Details!$B$6,data[[#This Row],[T]],AN399,Details!$B$7)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39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39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39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39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399" s="61"/>
      <c r="AV399" s="61"/>
      <c r="AW399" s="61"/>
      <c r="AX399" s="61"/>
      <c r="AY399" s="61"/>
      <c r="AZ399" s="61"/>
      <c r="BA399" s="61"/>
      <c r="BB399" s="61"/>
    </row>
    <row r="400" spans="40:54" x14ac:dyDescent="0.3">
      <c r="AN40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0" s="7" t="str">
        <f t="array" ref="AO400:AS400">bsGreeks(data[[#This Row],[OptType]],Details!$B$4,VALUE(data[[#This Row],[Strike]]),Details!$B$6,data[[#This Row],[T]],AN400,Details!$B$7)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0" s="61"/>
      <c r="AV400" s="61"/>
      <c r="AW400" s="61"/>
      <c r="AX400" s="61"/>
      <c r="AY400" s="61"/>
      <c r="AZ400" s="61"/>
      <c r="BA400" s="61"/>
      <c r="BB400" s="61"/>
    </row>
    <row r="401" spans="40:54" x14ac:dyDescent="0.3">
      <c r="AN40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1" s="7" t="str">
        <f t="array" ref="AO401:AS401">bsGreeks(data[[#This Row],[OptType]],Details!$B$4,VALUE(data[[#This Row],[Strike]]),Details!$B$6,data[[#This Row],[T]],AN401,Details!$B$7)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1" s="61"/>
      <c r="AV401" s="61"/>
      <c r="AW401" s="61"/>
      <c r="AX401" s="61"/>
      <c r="AY401" s="61"/>
      <c r="AZ401" s="61"/>
      <c r="BA401" s="61"/>
      <c r="BB401" s="61"/>
    </row>
    <row r="402" spans="40:54" x14ac:dyDescent="0.3">
      <c r="AN40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2" s="7" t="str">
        <f t="array" ref="AO402:AS402">bsGreeks(data[[#This Row],[OptType]],Details!$B$4,VALUE(data[[#This Row],[Strike]]),Details!$B$6,data[[#This Row],[T]],AN402,Details!$B$7)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2" s="61"/>
      <c r="AV402" s="61"/>
      <c r="AW402" s="61"/>
      <c r="AX402" s="61"/>
      <c r="AY402" s="61"/>
      <c r="AZ402" s="61"/>
      <c r="BA402" s="61"/>
      <c r="BB402" s="61"/>
    </row>
    <row r="403" spans="40:54" x14ac:dyDescent="0.3">
      <c r="AN40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3" s="7" t="str">
        <f t="array" ref="AO403:AS403">bsGreeks(data[[#This Row],[OptType]],Details!$B$4,VALUE(data[[#This Row],[Strike]]),Details!$B$6,data[[#This Row],[T]],AN403,Details!$B$7)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3" s="61"/>
      <c r="AV403" s="61"/>
      <c r="AW403" s="61"/>
      <c r="AX403" s="61"/>
      <c r="AY403" s="61"/>
      <c r="AZ403" s="61"/>
      <c r="BA403" s="61"/>
      <c r="BB403" s="61"/>
    </row>
    <row r="404" spans="40:54" x14ac:dyDescent="0.3">
      <c r="AN40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4" s="7" t="str">
        <f t="array" ref="AO404:AS404">bsGreeks(data[[#This Row],[OptType]],Details!$B$4,VALUE(data[[#This Row],[Strike]]),Details!$B$6,data[[#This Row],[T]],AN404,Details!$B$7)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4" s="61"/>
      <c r="AV404" s="61"/>
      <c r="AW404" s="61"/>
      <c r="AX404" s="61"/>
      <c r="AY404" s="61"/>
      <c r="AZ404" s="61"/>
      <c r="BA404" s="61"/>
      <c r="BB404" s="61"/>
    </row>
    <row r="405" spans="40:54" x14ac:dyDescent="0.3">
      <c r="AN40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5" s="7" t="str">
        <f t="array" ref="AO405:AS405">bsGreeks(data[[#This Row],[OptType]],Details!$B$4,VALUE(data[[#This Row],[Strike]]),Details!$B$6,data[[#This Row],[T]],AN405,Details!$B$7)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5" s="61"/>
      <c r="AV405" s="61"/>
      <c r="AW405" s="61"/>
      <c r="AX405" s="61"/>
      <c r="AY405" s="61"/>
      <c r="AZ405" s="61"/>
      <c r="BA405" s="61"/>
      <c r="BB405" s="61"/>
    </row>
    <row r="406" spans="40:54" x14ac:dyDescent="0.3">
      <c r="AN40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6" s="7" t="str">
        <f t="array" ref="AO406:AS406">bsGreeks(data[[#This Row],[OptType]],Details!$B$4,VALUE(data[[#This Row],[Strike]]),Details!$B$6,data[[#This Row],[T]],AN406,Details!$B$7)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6" s="61"/>
      <c r="AV406" s="61"/>
      <c r="AW406" s="61"/>
      <c r="AX406" s="61"/>
      <c r="AY406" s="61"/>
      <c r="AZ406" s="61"/>
      <c r="BA406" s="61"/>
      <c r="BB406" s="61"/>
    </row>
    <row r="407" spans="40:54" x14ac:dyDescent="0.3">
      <c r="AN40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7" s="7" t="str">
        <f t="array" ref="AO407:AS407">bsGreeks(data[[#This Row],[OptType]],Details!$B$4,VALUE(data[[#This Row],[Strike]]),Details!$B$6,data[[#This Row],[T]],AN407,Details!$B$7)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7" s="61"/>
      <c r="AV407" s="61"/>
      <c r="AW407" s="61"/>
      <c r="AX407" s="61"/>
      <c r="AY407" s="61"/>
      <c r="AZ407" s="61"/>
      <c r="BA407" s="61"/>
      <c r="BB407" s="61"/>
    </row>
    <row r="408" spans="40:54" x14ac:dyDescent="0.3">
      <c r="AN40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8" s="7" t="str">
        <f t="array" ref="AO408:AS408">bsGreeks(data[[#This Row],[OptType]],Details!$B$4,VALUE(data[[#This Row],[Strike]]),Details!$B$6,data[[#This Row],[T]],AN408,Details!$B$7)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8" s="61"/>
      <c r="AV408" s="61"/>
      <c r="AW408" s="61"/>
      <c r="AX408" s="61"/>
      <c r="AY408" s="61"/>
      <c r="AZ408" s="61"/>
      <c r="BA408" s="61"/>
      <c r="BB408" s="61"/>
    </row>
    <row r="409" spans="40:54" x14ac:dyDescent="0.3">
      <c r="AN40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09" s="7" t="str">
        <f t="array" ref="AO409:AS409">bsGreeks(data[[#This Row],[OptType]],Details!$B$4,VALUE(data[[#This Row],[Strike]]),Details!$B$6,data[[#This Row],[T]],AN409,Details!$B$7)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0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0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0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0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09" s="61"/>
      <c r="AV409" s="61"/>
      <c r="AW409" s="61"/>
      <c r="AX409" s="61"/>
      <c r="AY409" s="61"/>
      <c r="AZ409" s="61"/>
      <c r="BA409" s="61"/>
      <c r="BB409" s="61"/>
    </row>
    <row r="410" spans="40:54" x14ac:dyDescent="0.3">
      <c r="AN41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0" s="7" t="str">
        <f t="array" ref="AO410:AS410">bsGreeks(data[[#This Row],[OptType]],Details!$B$4,VALUE(data[[#This Row],[Strike]]),Details!$B$6,data[[#This Row],[T]],AN410,Details!$B$7)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0" s="61"/>
      <c r="AV410" s="61"/>
      <c r="AW410" s="61"/>
      <c r="AX410" s="61"/>
      <c r="AY410" s="61"/>
      <c r="AZ410" s="61"/>
      <c r="BA410" s="61"/>
      <c r="BB410" s="61"/>
    </row>
    <row r="411" spans="40:54" x14ac:dyDescent="0.3">
      <c r="AN41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1" s="7" t="str">
        <f t="array" ref="AO411:AS411">bsGreeks(data[[#This Row],[OptType]],Details!$B$4,VALUE(data[[#This Row],[Strike]]),Details!$B$6,data[[#This Row],[T]],AN411,Details!$B$7)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1" s="61"/>
      <c r="AV411" s="61"/>
      <c r="AW411" s="61"/>
      <c r="AX411" s="61"/>
      <c r="AY411" s="61"/>
      <c r="AZ411" s="61"/>
      <c r="BA411" s="61"/>
      <c r="BB411" s="61"/>
    </row>
    <row r="412" spans="40:54" x14ac:dyDescent="0.3">
      <c r="AN41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2" s="7" t="str">
        <f t="array" ref="AO412:AS412">bsGreeks(data[[#This Row],[OptType]],Details!$B$4,VALUE(data[[#This Row],[Strike]]),Details!$B$6,data[[#This Row],[T]],AN412,Details!$B$7)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2" s="61"/>
      <c r="AV412" s="61"/>
      <c r="AW412" s="61"/>
      <c r="AX412" s="61"/>
      <c r="AY412" s="61"/>
      <c r="AZ412" s="61"/>
      <c r="BA412" s="61"/>
      <c r="BB412" s="61"/>
    </row>
    <row r="413" spans="40:54" x14ac:dyDescent="0.3">
      <c r="AN41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3" s="7" t="str">
        <f t="array" ref="AO413:AS413">bsGreeks(data[[#This Row],[OptType]],Details!$B$4,VALUE(data[[#This Row],[Strike]]),Details!$B$6,data[[#This Row],[T]],AN413,Details!$B$7)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3" s="61"/>
      <c r="AV413" s="61"/>
      <c r="AW413" s="61"/>
      <c r="AX413" s="61"/>
      <c r="AY413" s="61"/>
      <c r="AZ413" s="61"/>
      <c r="BA413" s="61"/>
      <c r="BB413" s="61"/>
    </row>
    <row r="414" spans="40:54" x14ac:dyDescent="0.3">
      <c r="AN41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4" s="7" t="str">
        <f t="array" ref="AO414:AS414">bsGreeks(data[[#This Row],[OptType]],Details!$B$4,VALUE(data[[#This Row],[Strike]]),Details!$B$6,data[[#This Row],[T]],AN414,Details!$B$7)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4" s="61"/>
      <c r="AV414" s="61"/>
      <c r="AW414" s="61"/>
      <c r="AX414" s="61"/>
      <c r="AY414" s="61"/>
      <c r="AZ414" s="61"/>
      <c r="BA414" s="61"/>
      <c r="BB414" s="61"/>
    </row>
    <row r="415" spans="40:54" x14ac:dyDescent="0.3">
      <c r="AN41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5" s="7" t="str">
        <f t="array" ref="AO415:AS415">bsGreeks(data[[#This Row],[OptType]],Details!$B$4,VALUE(data[[#This Row],[Strike]]),Details!$B$6,data[[#This Row],[T]],AN415,Details!$B$7)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5" s="61"/>
      <c r="AV415" s="61"/>
      <c r="AW415" s="61"/>
      <c r="AX415" s="61"/>
      <c r="AY415" s="61"/>
      <c r="AZ415" s="61"/>
      <c r="BA415" s="61"/>
      <c r="BB415" s="61"/>
    </row>
    <row r="416" spans="40:54" x14ac:dyDescent="0.3">
      <c r="AN41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6" s="7" t="str">
        <f t="array" ref="AO416:AS416">bsGreeks(data[[#This Row],[OptType]],Details!$B$4,VALUE(data[[#This Row],[Strike]]),Details!$B$6,data[[#This Row],[T]],AN416,Details!$B$7)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6" s="61"/>
      <c r="AV416" s="61"/>
      <c r="AW416" s="61"/>
      <c r="AX416" s="61"/>
      <c r="AY416" s="61"/>
      <c r="AZ416" s="61"/>
      <c r="BA416" s="61"/>
      <c r="BB416" s="61"/>
    </row>
    <row r="417" spans="40:54" x14ac:dyDescent="0.3">
      <c r="AN41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7" s="7" t="str">
        <f t="array" ref="AO417:AS417">bsGreeks(data[[#This Row],[OptType]],Details!$B$4,VALUE(data[[#This Row],[Strike]]),Details!$B$6,data[[#This Row],[T]],AN417,Details!$B$7)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7" s="61"/>
      <c r="AV417" s="61"/>
      <c r="AW417" s="61"/>
      <c r="AX417" s="61"/>
      <c r="AY417" s="61"/>
      <c r="AZ417" s="61"/>
      <c r="BA417" s="61"/>
      <c r="BB417" s="61"/>
    </row>
    <row r="418" spans="40:54" x14ac:dyDescent="0.3">
      <c r="AN41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8" s="7" t="str">
        <f t="array" ref="AO418:AS418">bsGreeks(data[[#This Row],[OptType]],Details!$B$4,VALUE(data[[#This Row],[Strike]]),Details!$B$6,data[[#This Row],[T]],AN418,Details!$B$7)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8" s="61"/>
      <c r="AV418" s="61"/>
      <c r="AW418" s="61"/>
      <c r="AX418" s="61"/>
      <c r="AY418" s="61"/>
      <c r="AZ418" s="61"/>
      <c r="BA418" s="61"/>
      <c r="BB418" s="61"/>
    </row>
    <row r="419" spans="40:54" x14ac:dyDescent="0.3">
      <c r="AN41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19" s="7" t="str">
        <f t="array" ref="AO419:AS419">bsGreeks(data[[#This Row],[OptType]],Details!$B$4,VALUE(data[[#This Row],[Strike]]),Details!$B$6,data[[#This Row],[T]],AN419,Details!$B$7)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1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1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1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1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19" s="61"/>
      <c r="AV419" s="61"/>
      <c r="AW419" s="61"/>
      <c r="AX419" s="61"/>
      <c r="AY419" s="61"/>
      <c r="AZ419" s="61"/>
      <c r="BA419" s="61"/>
      <c r="BB419" s="61"/>
    </row>
    <row r="420" spans="40:54" x14ac:dyDescent="0.3">
      <c r="AN42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0" s="7" t="str">
        <f t="array" ref="AO420:AS420">bsGreeks(data[[#This Row],[OptType]],Details!$B$4,VALUE(data[[#This Row],[Strike]]),Details!$B$6,data[[#This Row],[T]],AN420,Details!$B$7)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0" s="61"/>
      <c r="AV420" s="61"/>
      <c r="AW420" s="61"/>
      <c r="AX420" s="61"/>
      <c r="AY420" s="61"/>
      <c r="AZ420" s="61"/>
      <c r="BA420" s="61"/>
      <c r="BB420" s="61"/>
    </row>
    <row r="421" spans="40:54" x14ac:dyDescent="0.3">
      <c r="AN42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1" s="7" t="str">
        <f t="array" ref="AO421:AS421">bsGreeks(data[[#This Row],[OptType]],Details!$B$4,VALUE(data[[#This Row],[Strike]]),Details!$B$6,data[[#This Row],[T]],AN421,Details!$B$7)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1" s="61"/>
      <c r="AV421" s="61"/>
      <c r="AW421" s="61"/>
      <c r="AX421" s="61"/>
      <c r="AY421" s="61"/>
      <c r="AZ421" s="61"/>
      <c r="BA421" s="61"/>
      <c r="BB421" s="61"/>
    </row>
    <row r="422" spans="40:54" x14ac:dyDescent="0.3">
      <c r="AN42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2" s="7" t="str">
        <f t="array" ref="AO422:AS422">bsGreeks(data[[#This Row],[OptType]],Details!$B$4,VALUE(data[[#This Row],[Strike]]),Details!$B$6,data[[#This Row],[T]],AN422,Details!$B$7)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2" s="61"/>
      <c r="AV422" s="61"/>
      <c r="AW422" s="61"/>
      <c r="AX422" s="61"/>
      <c r="AY422" s="61"/>
      <c r="AZ422" s="61"/>
      <c r="BA422" s="61"/>
      <c r="BB422" s="61"/>
    </row>
    <row r="423" spans="40:54" x14ac:dyDescent="0.3">
      <c r="AN42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3" s="7" t="str">
        <f t="array" ref="AO423:AS423">bsGreeks(data[[#This Row],[OptType]],Details!$B$4,VALUE(data[[#This Row],[Strike]]),Details!$B$6,data[[#This Row],[T]],AN423,Details!$B$7)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3" s="61"/>
      <c r="AV423" s="61"/>
      <c r="AW423" s="61"/>
      <c r="AX423" s="61"/>
      <c r="AY423" s="61"/>
      <c r="AZ423" s="61"/>
      <c r="BA423" s="61"/>
      <c r="BB423" s="61"/>
    </row>
    <row r="424" spans="40:54" x14ac:dyDescent="0.3">
      <c r="AN42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4" s="7" t="str">
        <f t="array" ref="AO424:AS424">bsGreeks(data[[#This Row],[OptType]],Details!$B$4,VALUE(data[[#This Row],[Strike]]),Details!$B$6,data[[#This Row],[T]],AN424,Details!$B$7)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4" s="61"/>
      <c r="AV424" s="61"/>
      <c r="AW424" s="61"/>
      <c r="AX424" s="61"/>
      <c r="AY424" s="61"/>
      <c r="AZ424" s="61"/>
      <c r="BA424" s="61"/>
      <c r="BB424" s="61"/>
    </row>
    <row r="425" spans="40:54" x14ac:dyDescent="0.3">
      <c r="AN42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5" s="7" t="str">
        <f t="array" ref="AO425:AS425">bsGreeks(data[[#This Row],[OptType]],Details!$B$4,VALUE(data[[#This Row],[Strike]]),Details!$B$6,data[[#This Row],[T]],AN425,Details!$B$7)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5" s="61"/>
      <c r="AV425" s="61"/>
      <c r="AW425" s="61"/>
      <c r="AX425" s="61"/>
      <c r="AY425" s="61"/>
      <c r="AZ425" s="61"/>
      <c r="BA425" s="61"/>
      <c r="BB425" s="61"/>
    </row>
    <row r="426" spans="40:54" x14ac:dyDescent="0.3">
      <c r="AN42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6" s="7" t="str">
        <f t="array" ref="AO426:AS426">bsGreeks(data[[#This Row],[OptType]],Details!$B$4,VALUE(data[[#This Row],[Strike]]),Details!$B$6,data[[#This Row],[T]],AN426,Details!$B$7)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6" s="61"/>
      <c r="AV426" s="61"/>
      <c r="AW426" s="61"/>
      <c r="AX426" s="61"/>
      <c r="AY426" s="61"/>
      <c r="AZ426" s="61"/>
      <c r="BA426" s="61"/>
      <c r="BB426" s="61"/>
    </row>
    <row r="427" spans="40:54" x14ac:dyDescent="0.3">
      <c r="AN42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7" s="7" t="str">
        <f t="array" ref="AO427:AS427">bsGreeks(data[[#This Row],[OptType]],Details!$B$4,VALUE(data[[#This Row],[Strike]]),Details!$B$6,data[[#This Row],[T]],AN427,Details!$B$7)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7" s="61"/>
      <c r="AV427" s="61"/>
      <c r="AW427" s="61"/>
      <c r="AX427" s="61"/>
      <c r="AY427" s="61"/>
      <c r="AZ427" s="61"/>
      <c r="BA427" s="61"/>
      <c r="BB427" s="61"/>
    </row>
    <row r="428" spans="40:54" x14ac:dyDescent="0.3">
      <c r="AN428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8" s="7" t="str">
        <f t="array" ref="AO428:AS428">bsGreeks(data[[#This Row],[OptType]],Details!$B$4,VALUE(data[[#This Row],[Strike]]),Details!$B$6,data[[#This Row],[T]],AN428,Details!$B$7)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8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8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8" s="61"/>
      <c r="AV428" s="61"/>
      <c r="AW428" s="61"/>
      <c r="AX428" s="61"/>
      <c r="AY428" s="61"/>
      <c r="AZ428" s="61"/>
      <c r="BA428" s="61"/>
      <c r="BB428" s="61"/>
    </row>
    <row r="429" spans="40:54" x14ac:dyDescent="0.3">
      <c r="AN429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29" s="7" t="str">
        <f t="array" ref="AO429:AS429">bsGreeks(data[[#This Row],[OptType]],Details!$B$4,VALUE(data[[#This Row],[Strike]]),Details!$B$6,data[[#This Row],[T]],AN429,Details!$B$7)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29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2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2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29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29" s="61"/>
      <c r="AV429" s="61"/>
      <c r="AW429" s="61"/>
      <c r="AX429" s="61"/>
      <c r="AY429" s="61"/>
      <c r="AZ429" s="61"/>
      <c r="BA429" s="61"/>
      <c r="BB429" s="61"/>
    </row>
    <row r="430" spans="40:54" x14ac:dyDescent="0.3">
      <c r="AN430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0" s="7" t="str">
        <f t="array" ref="AO430:AS430">bsGreeks(data[[#This Row],[OptType]],Details!$B$4,VALUE(data[[#This Row],[Strike]]),Details!$B$6,data[[#This Row],[T]],AN430,Details!$B$7)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0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0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0" s="61"/>
      <c r="AV430" s="61"/>
      <c r="AW430" s="61"/>
      <c r="AX430" s="61"/>
      <c r="AY430" s="61"/>
      <c r="AZ430" s="61"/>
      <c r="BA430" s="61"/>
      <c r="BB430" s="61"/>
    </row>
    <row r="431" spans="40:54" x14ac:dyDescent="0.3">
      <c r="AN431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1" s="7" t="str">
        <f t="array" ref="AO431:AS431">bsGreeks(data[[#This Row],[OptType]],Details!$B$4,VALUE(data[[#This Row],[Strike]]),Details!$B$6,data[[#This Row],[T]],AN431,Details!$B$7)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1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1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1" s="61"/>
      <c r="AV431" s="61"/>
      <c r="AW431" s="61"/>
      <c r="AX431" s="61"/>
      <c r="AY431" s="61"/>
      <c r="AZ431" s="61"/>
      <c r="BA431" s="61"/>
      <c r="BB431" s="61"/>
    </row>
    <row r="432" spans="40:54" x14ac:dyDescent="0.3">
      <c r="AN432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2" s="7" t="str">
        <f t="array" ref="AO432:AS432">bsGreeks(data[[#This Row],[OptType]],Details!$B$4,VALUE(data[[#This Row],[Strike]]),Details!$B$6,data[[#This Row],[T]],AN432,Details!$B$7)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2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2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2" s="61"/>
      <c r="AV432" s="61"/>
      <c r="AW432" s="61"/>
      <c r="AX432" s="61"/>
      <c r="AY432" s="61"/>
      <c r="AZ432" s="61"/>
      <c r="BA432" s="61"/>
      <c r="BB432" s="61"/>
    </row>
    <row r="433" spans="40:54" x14ac:dyDescent="0.3">
      <c r="AN433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3" s="7" t="str">
        <f t="array" ref="AO433:AS433">bsGreeks(data[[#This Row],[OptType]],Details!$B$4,VALUE(data[[#This Row],[Strike]]),Details!$B$6,data[[#This Row],[T]],AN433,Details!$B$7)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3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3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3" s="61"/>
      <c r="AV433" s="61"/>
      <c r="AW433" s="61"/>
      <c r="AX433" s="61"/>
      <c r="AY433" s="61"/>
      <c r="AZ433" s="61"/>
      <c r="BA433" s="61"/>
      <c r="BB433" s="61"/>
    </row>
    <row r="434" spans="40:54" x14ac:dyDescent="0.3">
      <c r="AN434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4" s="7" t="str">
        <f t="array" ref="AO434:AS434">bsGreeks(data[[#This Row],[OptType]],Details!$B$4,VALUE(data[[#This Row],[Strike]]),Details!$B$6,data[[#This Row],[T]],AN434,Details!$B$7)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4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4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4" s="61"/>
      <c r="AV434" s="61"/>
      <c r="AW434" s="61"/>
      <c r="AX434" s="61"/>
      <c r="AY434" s="61"/>
      <c r="AZ434" s="61"/>
      <c r="BA434" s="61"/>
      <c r="BB434" s="61"/>
    </row>
    <row r="435" spans="40:54" x14ac:dyDescent="0.3">
      <c r="AN435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5" s="7" t="str">
        <f t="array" ref="AO435:AS435">bsGreeks(data[[#This Row],[OptType]],Details!$B$4,VALUE(data[[#This Row],[Strike]]),Details!$B$6,data[[#This Row],[T]],AN435,Details!$B$7)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5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5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5" s="61"/>
      <c r="AV435" s="61"/>
      <c r="AW435" s="61"/>
      <c r="AX435" s="61"/>
      <c r="AY435" s="61"/>
      <c r="AZ435" s="61"/>
      <c r="BA435" s="61"/>
      <c r="BB435" s="61"/>
    </row>
    <row r="436" spans="40:54" x14ac:dyDescent="0.3">
      <c r="AN436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6" s="7" t="str">
        <f t="array" ref="AO436:AS436">bsGreeks(data[[#This Row],[OptType]],Details!$B$4,VALUE(data[[#This Row],[Strike]]),Details!$B$6,data[[#This Row],[T]],AN436,Details!$B$7)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6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6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6" s="61"/>
      <c r="AV436" s="61"/>
      <c r="AW436" s="61"/>
      <c r="AX436" s="61"/>
      <c r="AY436" s="61"/>
      <c r="AZ436" s="61"/>
      <c r="BA436" s="61"/>
      <c r="BB436" s="61"/>
    </row>
    <row r="437" spans="40:54" x14ac:dyDescent="0.3">
      <c r="AN437" s="5" t="str">
        <f>impliedVol(data[[#This Row],[OptType]],Details!$B$4,VALUE(data[[#This Row],[Strike]]),VALUE(data[[#This Row],[Cnt Price]]),Details!$B$6,data[[#This Row],[T]],Details!$B$7)</f>
        <v>TypeError: unsupported operand type(s) for *: 'float' and 'NoneType'
    return K * exp(-r * T) + priceCall(S, K, r, T, sigma) - S
  File "c:\work\freelance\test\blackscholes.py", line 46, in pricePut
    diffPrice = (priceCall(S, K, r, T, vol) - C ) if (opt == 'c') else (pricePut(S, K, r, T, vol) - C )
  File "c:\work\freelance\test\blackscholes.py", line 76, in impliedVol
    return bs.impliedVol(opt, S, K, C, r, T, div)
  File "c:\work\freelance\test\GreekCalculator.py", line 58, in impliedVol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O437" s="7" t="str">
        <f t="array" ref="AO437:AS437">bsGreeks(data[[#This Row],[OptType]],Details!$B$4,VALUE(data[[#This Row],[Strike]]),Details!$B$6,data[[#This Row],[T]],AN437,Details!$B$7)</f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P437" s="7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Q43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R43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S437" s="6" t="str">
        <v>TypeError: loop of ufunc does not support argument 0 of type NoneType which has no callable sqrt method
    d1 = (1 / (sigma * sqrt(T))) * (log(S/K) + (r + sigma**2/2)* T)
  File "c:\work\freelance\test\blackscholes.py", line 19, in d1d2
    d1, d2 = d1d2(sigma, S, K, r - div, T)
  File "c:\work\freelance\test\blackscholes.py", line 100, in getGreeks
    return bs.getGreeks(optType, S, K, r, T, sigma, div, cntSize)
  File "c:\work\freelance\test\GreekCalculator.py", line 50, in bsGreeks
    ret = func(*args)
  File "C:\Python310\lib\site-packages\xlwings\udfs.py", line 548,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  <c r="AU437" s="61"/>
      <c r="AV437" s="61"/>
      <c r="AW437" s="61"/>
      <c r="AX437" s="61"/>
      <c r="AY437" s="61"/>
      <c r="AZ437" s="61"/>
      <c r="BA437" s="61"/>
      <c r="BB437" s="61"/>
    </row>
    <row r="438" spans="40:54" x14ac:dyDescent="0.3">
      <c r="AP438" s="5"/>
      <c r="AQ438" s="7"/>
      <c r="AR438" s="7"/>
      <c r="AS438" s="6"/>
      <c r="AT438" s="6"/>
      <c r="AU438" s="60"/>
      <c r="AV438" s="61"/>
      <c r="AW438" s="61"/>
      <c r="AX438" s="61"/>
      <c r="AY438" s="61"/>
      <c r="AZ438" s="61"/>
      <c r="BA438" s="61"/>
      <c r="BB438" s="61"/>
    </row>
    <row r="439" spans="40:54" x14ac:dyDescent="0.3">
      <c r="AP439" s="5"/>
      <c r="AQ439" s="7"/>
      <c r="AR439" s="7"/>
      <c r="AS439" s="6"/>
      <c r="AT439" s="6"/>
      <c r="AU439" s="60"/>
      <c r="AV439" s="61"/>
      <c r="AW439" s="61"/>
      <c r="AX439" s="61"/>
      <c r="AY439" s="61"/>
      <c r="AZ439" s="61"/>
      <c r="BA439" s="61"/>
      <c r="BB439" s="61"/>
    </row>
    <row r="440" spans="40:54" x14ac:dyDescent="0.3">
      <c r="AP440" s="5"/>
      <c r="AQ440" s="7"/>
      <c r="AR440" s="7"/>
      <c r="AS440" s="6"/>
      <c r="AT440" s="6"/>
      <c r="AU440" s="60"/>
      <c r="AV440" s="61"/>
      <c r="AW440" s="61"/>
      <c r="AX440" s="61"/>
      <c r="AY440" s="61"/>
      <c r="AZ440" s="61"/>
      <c r="BA440" s="61"/>
      <c r="BB440" s="61"/>
    </row>
    <row r="441" spans="40:54" x14ac:dyDescent="0.3">
      <c r="AP441" s="5"/>
      <c r="AQ441" s="7"/>
      <c r="AR441" s="7"/>
      <c r="AS441" s="6"/>
      <c r="AT441" s="6"/>
      <c r="AU441" s="60"/>
      <c r="AV441" s="61"/>
      <c r="AW441" s="61"/>
      <c r="AX441" s="61"/>
      <c r="AY441" s="61"/>
      <c r="AZ441" s="61"/>
      <c r="BA441" s="61"/>
      <c r="BB441" s="61"/>
    </row>
    <row r="442" spans="40:54" x14ac:dyDescent="0.3">
      <c r="AP442" s="5"/>
      <c r="AQ442" s="7"/>
      <c r="AR442" s="7"/>
      <c r="AS442" s="6"/>
      <c r="AT442" s="6"/>
      <c r="AU442" s="60"/>
      <c r="AV442" s="61"/>
      <c r="AW442" s="61"/>
      <c r="AX442" s="61"/>
      <c r="AY442" s="61"/>
      <c r="AZ442" s="61"/>
      <c r="BA442" s="61"/>
      <c r="BB442" s="61"/>
    </row>
    <row r="443" spans="40:54" x14ac:dyDescent="0.3">
      <c r="AP443" s="5"/>
      <c r="AQ443" s="7"/>
      <c r="AR443" s="7"/>
      <c r="AS443" s="6"/>
      <c r="AT443" s="6"/>
      <c r="AU443" s="60"/>
      <c r="AV443" s="61"/>
      <c r="AW443" s="61"/>
      <c r="AX443" s="61"/>
      <c r="AY443" s="61"/>
      <c r="AZ443" s="61"/>
      <c r="BA443" s="61"/>
      <c r="BB443" s="61"/>
    </row>
    <row r="444" spans="40:54" x14ac:dyDescent="0.3">
      <c r="AP444" s="5"/>
      <c r="AQ444" s="7"/>
      <c r="AR444" s="7"/>
      <c r="AS444" s="6"/>
      <c r="AT444" s="6"/>
      <c r="AU444" s="60"/>
      <c r="AV444" s="61"/>
      <c r="AW444" s="61"/>
      <c r="AX444" s="61"/>
      <c r="AY444" s="61"/>
      <c r="AZ444" s="61"/>
      <c r="BA444" s="61"/>
      <c r="BB444" s="61"/>
    </row>
    <row r="445" spans="40:54" x14ac:dyDescent="0.3">
      <c r="AP445" s="5"/>
      <c r="AQ445" s="7"/>
      <c r="AR445" s="7"/>
      <c r="AS445" s="6"/>
      <c r="AT445" s="6"/>
      <c r="AU445" s="60"/>
      <c r="AV445" s="61"/>
      <c r="AW445" s="61"/>
      <c r="AX445" s="61"/>
      <c r="AY445" s="61"/>
      <c r="AZ445" s="61"/>
      <c r="BA445" s="61"/>
      <c r="BB445" s="61"/>
    </row>
    <row r="446" spans="40:54" x14ac:dyDescent="0.3">
      <c r="AP446" s="5"/>
      <c r="AQ446" s="7"/>
      <c r="AR446" s="7"/>
      <c r="AS446" s="6"/>
      <c r="AT446" s="6"/>
      <c r="AU446" s="60"/>
      <c r="AV446" s="61"/>
      <c r="AW446" s="61"/>
      <c r="AX446" s="61"/>
      <c r="AY446" s="61"/>
      <c r="AZ446" s="61"/>
      <c r="BA446" s="61"/>
      <c r="BB446" s="61"/>
    </row>
    <row r="447" spans="40:54" x14ac:dyDescent="0.3">
      <c r="AP447" s="5"/>
      <c r="AQ447" s="7"/>
      <c r="AR447" s="7"/>
      <c r="AS447" s="6"/>
      <c r="AT447" s="6"/>
      <c r="AU447" s="60"/>
      <c r="AV447" s="61"/>
      <c r="AW447" s="61"/>
      <c r="AX447" s="61"/>
      <c r="AY447" s="61"/>
      <c r="AZ447" s="61"/>
      <c r="BA447" s="61"/>
      <c r="BB447" s="61"/>
    </row>
    <row r="448" spans="40:54" x14ac:dyDescent="0.3">
      <c r="AP448" s="5"/>
      <c r="AQ448" s="7"/>
      <c r="AR448" s="7"/>
      <c r="AS448" s="6"/>
      <c r="AT448" s="6"/>
      <c r="AU448" s="60"/>
      <c r="AV448" s="61"/>
      <c r="AW448" s="61"/>
      <c r="AX448" s="61"/>
      <c r="AY448" s="61"/>
      <c r="AZ448" s="61"/>
      <c r="BA448" s="61"/>
      <c r="BB448" s="61"/>
    </row>
    <row r="449" spans="42:54" x14ac:dyDescent="0.3">
      <c r="AP449" s="5"/>
      <c r="AQ449" s="7"/>
      <c r="AR449" s="7"/>
      <c r="AS449" s="6"/>
      <c r="AT449" s="6"/>
      <c r="AU449" s="60"/>
      <c r="AV449" s="61"/>
      <c r="AW449" s="61"/>
      <c r="AX449" s="61"/>
      <c r="AY449" s="61"/>
      <c r="AZ449" s="61"/>
      <c r="BA449" s="61"/>
      <c r="BB449" s="61"/>
    </row>
    <row r="450" spans="42:54" x14ac:dyDescent="0.3">
      <c r="AP450" s="5"/>
      <c r="AQ450" s="7"/>
      <c r="AR450" s="7"/>
      <c r="AS450" s="6"/>
      <c r="AT450" s="6"/>
      <c r="AU450" s="60"/>
      <c r="AV450" s="61"/>
      <c r="AW450" s="61"/>
      <c r="AX450" s="61"/>
      <c r="AY450" s="61"/>
      <c r="AZ450" s="61"/>
      <c r="BA450" s="61"/>
      <c r="BB450" s="61"/>
    </row>
    <row r="451" spans="42:54" x14ac:dyDescent="0.3">
      <c r="AP451" s="5"/>
      <c r="AQ451" s="7"/>
      <c r="AR451" s="7"/>
      <c r="AS451" s="6"/>
      <c r="AT451" s="6"/>
      <c r="AU451" s="60"/>
      <c r="AV451" s="61"/>
      <c r="AW451" s="61"/>
      <c r="AX451" s="61"/>
      <c r="AY451" s="61"/>
      <c r="AZ451" s="61"/>
      <c r="BA451" s="61"/>
      <c r="BB451" s="61"/>
    </row>
    <row r="452" spans="42:54" x14ac:dyDescent="0.3">
      <c r="AP452" s="5"/>
      <c r="AQ452" s="7"/>
      <c r="AR452" s="7"/>
      <c r="AS452" s="6"/>
      <c r="AT452" s="6"/>
      <c r="AU452" s="60"/>
      <c r="AV452" s="61"/>
      <c r="AW452" s="61"/>
      <c r="AX452" s="61"/>
      <c r="AY452" s="61"/>
      <c r="AZ452" s="61"/>
      <c r="BA452" s="61"/>
      <c r="BB452" s="61"/>
    </row>
    <row r="453" spans="42:54" x14ac:dyDescent="0.3">
      <c r="AP453" s="5"/>
      <c r="AQ453" s="7"/>
      <c r="AR453" s="7"/>
      <c r="AS453" s="6"/>
      <c r="AT453" s="6"/>
      <c r="AU453" s="60"/>
      <c r="AV453" s="61"/>
      <c r="AW453" s="61"/>
      <c r="AX453" s="61"/>
      <c r="AY453" s="61"/>
      <c r="AZ453" s="61"/>
      <c r="BA453" s="61"/>
      <c r="BB453" s="61"/>
    </row>
    <row r="454" spans="42:54" x14ac:dyDescent="0.3">
      <c r="AP454" s="5"/>
      <c r="AQ454" s="7"/>
      <c r="AR454" s="7"/>
      <c r="AS454" s="6"/>
      <c r="AT454" s="6"/>
      <c r="AU454" s="60"/>
      <c r="AV454" s="61"/>
      <c r="AW454" s="61"/>
      <c r="AX454" s="61"/>
      <c r="AY454" s="61"/>
      <c r="AZ454" s="61"/>
      <c r="BA454" s="61"/>
      <c r="BB454" s="61"/>
    </row>
    <row r="455" spans="42:54" x14ac:dyDescent="0.3">
      <c r="AP455" s="5"/>
      <c r="AQ455" s="7"/>
      <c r="AR455" s="7"/>
      <c r="AS455" s="6"/>
      <c r="AT455" s="6"/>
      <c r="AU455" s="60"/>
      <c r="AV455" s="61"/>
      <c r="AW455" s="61"/>
      <c r="AX455" s="61"/>
      <c r="AY455" s="61"/>
      <c r="AZ455" s="61"/>
      <c r="BA455" s="61"/>
      <c r="BB455" s="61"/>
    </row>
    <row r="456" spans="42:54" x14ac:dyDescent="0.3">
      <c r="AP456" s="5"/>
      <c r="AQ456" s="7"/>
      <c r="AR456" s="7"/>
      <c r="AS456" s="6"/>
      <c r="AT456" s="6"/>
      <c r="AU456" s="60"/>
      <c r="AV456" s="61"/>
      <c r="AW456" s="61"/>
      <c r="AX456" s="61"/>
      <c r="AY456" s="61"/>
      <c r="AZ456" s="61"/>
      <c r="BA456" s="61"/>
      <c r="BB456" s="61"/>
    </row>
    <row r="457" spans="42:54" x14ac:dyDescent="0.3">
      <c r="AP457" s="5"/>
      <c r="AQ457" s="7"/>
      <c r="AR457" s="7"/>
      <c r="AS457" s="6"/>
      <c r="AT457" s="6"/>
      <c r="AU457" s="60"/>
      <c r="AV457" s="61"/>
      <c r="AW457" s="61"/>
      <c r="AX457" s="61"/>
      <c r="AY457" s="61"/>
      <c r="AZ457" s="61"/>
      <c r="BA457" s="61"/>
      <c r="BB457" s="61"/>
    </row>
    <row r="458" spans="42:54" x14ac:dyDescent="0.3">
      <c r="AP458" s="5"/>
      <c r="AQ458" s="7"/>
      <c r="AR458" s="7"/>
      <c r="AS458" s="6"/>
      <c r="AT458" s="6"/>
      <c r="AU458" s="60"/>
      <c r="AV458" s="61"/>
      <c r="AW458" s="61"/>
      <c r="AX458" s="61"/>
      <c r="AY458" s="61"/>
      <c r="AZ458" s="61"/>
      <c r="BA458" s="61"/>
      <c r="BB458" s="61"/>
    </row>
    <row r="459" spans="42:54" x14ac:dyDescent="0.3">
      <c r="AP459" s="5"/>
      <c r="AQ459" s="7"/>
      <c r="AR459" s="7"/>
      <c r="AS459" s="6"/>
      <c r="AT459" s="6"/>
      <c r="AU459" s="60"/>
      <c r="AV459" s="61"/>
      <c r="AW459" s="61"/>
      <c r="AX459" s="61"/>
      <c r="AY459" s="61"/>
      <c r="AZ459" s="61"/>
      <c r="BA459" s="61"/>
      <c r="BB459" s="61"/>
    </row>
    <row r="460" spans="42:54" x14ac:dyDescent="0.3">
      <c r="AP460" s="5"/>
      <c r="AQ460" s="7"/>
      <c r="AR460" s="7"/>
      <c r="AS460" s="6"/>
      <c r="AT460" s="6"/>
      <c r="AU460" s="60"/>
      <c r="AV460" s="61"/>
      <c r="AW460" s="61"/>
      <c r="AX460" s="61"/>
      <c r="AY460" s="61"/>
      <c r="AZ460" s="61"/>
      <c r="BA460" s="61"/>
      <c r="BB460" s="61"/>
    </row>
    <row r="461" spans="42:54" x14ac:dyDescent="0.3">
      <c r="AP461" s="5"/>
      <c r="AQ461" s="7"/>
      <c r="AR461" s="7"/>
      <c r="AS461" s="6"/>
      <c r="AT461" s="6"/>
      <c r="AU461" s="60"/>
      <c r="AV461" s="61"/>
      <c r="AW461" s="61"/>
      <c r="AX461" s="61"/>
      <c r="AY461" s="61"/>
      <c r="AZ461" s="61"/>
      <c r="BA461" s="61"/>
      <c r="BB461" s="61"/>
    </row>
    <row r="462" spans="42:54" x14ac:dyDescent="0.3">
      <c r="AP462" s="5"/>
      <c r="AQ462" s="7"/>
      <c r="AR462" s="7"/>
      <c r="AS462" s="6"/>
      <c r="AT462" s="6"/>
      <c r="AU462" s="60"/>
      <c r="AV462" s="61"/>
      <c r="AW462" s="61"/>
      <c r="AX462" s="61"/>
      <c r="AY462" s="61"/>
      <c r="AZ462" s="61"/>
      <c r="BA462" s="61"/>
      <c r="BB462" s="61"/>
    </row>
    <row r="463" spans="42:54" x14ac:dyDescent="0.3">
      <c r="AP463" s="5"/>
      <c r="AQ463" s="7"/>
      <c r="AR463" s="7"/>
      <c r="AS463" s="6"/>
      <c r="AT463" s="6"/>
      <c r="AU463" s="60"/>
      <c r="AV463" s="61"/>
      <c r="AW463" s="61"/>
      <c r="AX463" s="61"/>
      <c r="AY463" s="61"/>
      <c r="AZ463" s="61"/>
      <c r="BA463" s="61"/>
      <c r="BB463" s="61"/>
    </row>
    <row r="464" spans="42:54" x14ac:dyDescent="0.3">
      <c r="AP464" s="5"/>
      <c r="AQ464" s="7"/>
      <c r="AR464" s="7"/>
      <c r="AS464" s="6"/>
      <c r="AT464" s="6"/>
      <c r="AU464" s="60"/>
      <c r="AV464" s="61"/>
      <c r="AW464" s="61"/>
      <c r="AX464" s="61"/>
      <c r="AY464" s="61"/>
      <c r="AZ464" s="61"/>
      <c r="BA464" s="61"/>
      <c r="BB464" s="61"/>
    </row>
    <row r="465" spans="42:54" x14ac:dyDescent="0.3">
      <c r="AP465" s="5"/>
      <c r="AQ465" s="7"/>
      <c r="AR465" s="7"/>
      <c r="AS465" s="6"/>
      <c r="AT465" s="6"/>
      <c r="AU465" s="60"/>
      <c r="AV465" s="61"/>
      <c r="AW465" s="61"/>
      <c r="AX465" s="61"/>
      <c r="AY465" s="61"/>
      <c r="AZ465" s="61"/>
      <c r="BA465" s="61"/>
      <c r="BB465" s="61"/>
    </row>
    <row r="466" spans="42:54" x14ac:dyDescent="0.3">
      <c r="AP466" s="5"/>
      <c r="AQ466" s="7"/>
      <c r="AR466" s="7"/>
      <c r="AS466" s="6"/>
      <c r="AT466" s="6"/>
      <c r="AU466" s="60"/>
      <c r="AV466" s="61"/>
      <c r="AW466" s="61"/>
      <c r="AX466" s="61"/>
      <c r="AY466" s="61"/>
      <c r="AZ466" s="61"/>
      <c r="BA466" s="61"/>
      <c r="BB466" s="61"/>
    </row>
    <row r="467" spans="42:54" x14ac:dyDescent="0.3">
      <c r="AP467" s="5"/>
      <c r="AQ467" s="7"/>
      <c r="AR467" s="7"/>
      <c r="AS467" s="6"/>
      <c r="AT467" s="6"/>
      <c r="AU467" s="60"/>
      <c r="AV467" s="61"/>
      <c r="AW467" s="61"/>
      <c r="AX467" s="61"/>
      <c r="AY467" s="61"/>
      <c r="AZ467" s="61"/>
      <c r="BA467" s="61"/>
      <c r="BB467" s="61"/>
    </row>
    <row r="468" spans="42:54" x14ac:dyDescent="0.3">
      <c r="AP468" s="5"/>
      <c r="AQ468" s="7"/>
      <c r="AR468" s="7"/>
      <c r="AS468" s="6"/>
      <c r="AT468" s="6"/>
      <c r="AU468" s="60"/>
      <c r="AV468" s="61"/>
      <c r="AW468" s="61"/>
      <c r="AX468" s="61"/>
      <c r="AY468" s="61"/>
      <c r="AZ468" s="61"/>
      <c r="BA468" s="61"/>
      <c r="BB468" s="61"/>
    </row>
    <row r="469" spans="42:54" x14ac:dyDescent="0.3">
      <c r="AP469" s="5"/>
      <c r="AQ469" s="7"/>
      <c r="AR469" s="7"/>
      <c r="AS469" s="6"/>
      <c r="AT469" s="6"/>
      <c r="AU469" s="60"/>
      <c r="AV469" s="61"/>
      <c r="AW469" s="61"/>
      <c r="AX469" s="61"/>
      <c r="AY469" s="61"/>
      <c r="AZ469" s="61"/>
      <c r="BA469" s="61"/>
      <c r="BB469" s="61"/>
    </row>
    <row r="470" spans="42:54" x14ac:dyDescent="0.3">
      <c r="AP470" s="5"/>
      <c r="AQ470" s="7"/>
      <c r="AR470" s="7"/>
      <c r="AS470" s="6"/>
      <c r="AT470" s="6"/>
      <c r="AU470" s="60"/>
      <c r="AV470" s="61"/>
      <c r="AW470" s="61"/>
      <c r="AX470" s="61"/>
      <c r="AY470" s="61"/>
      <c r="AZ470" s="61"/>
      <c r="BA470" s="61"/>
      <c r="BB470" s="61"/>
    </row>
    <row r="471" spans="42:54" x14ac:dyDescent="0.3">
      <c r="AP471" s="5"/>
      <c r="AQ471" s="7"/>
      <c r="AR471" s="7"/>
      <c r="AS471" s="6"/>
      <c r="AT471" s="6"/>
      <c r="AU471" s="60"/>
      <c r="AV471" s="61"/>
      <c r="AW471" s="61"/>
      <c r="AX471" s="61"/>
      <c r="AY471" s="61"/>
      <c r="AZ471" s="61"/>
      <c r="BA471" s="61"/>
      <c r="BB471" s="61"/>
    </row>
    <row r="472" spans="42:54" x14ac:dyDescent="0.3">
      <c r="AP472" s="5"/>
      <c r="AQ472" s="7"/>
      <c r="AR472" s="7"/>
      <c r="AS472" s="6"/>
      <c r="AT472" s="6"/>
      <c r="AU472" s="60"/>
      <c r="AV472" s="61"/>
      <c r="AW472" s="61"/>
      <c r="AX472" s="61"/>
      <c r="AY472" s="61"/>
      <c r="AZ472" s="61"/>
      <c r="BA472" s="61"/>
      <c r="BB472" s="61"/>
    </row>
    <row r="473" spans="42:54" x14ac:dyDescent="0.3">
      <c r="AP473" s="5"/>
      <c r="AQ473" s="7"/>
      <c r="AR473" s="7"/>
      <c r="AS473" s="6"/>
      <c r="AT473" s="6"/>
      <c r="AU473" s="60"/>
      <c r="AV473" s="61"/>
      <c r="AW473" s="61"/>
      <c r="AX473" s="61"/>
      <c r="AY473" s="61"/>
      <c r="AZ473" s="61"/>
      <c r="BA473" s="61"/>
      <c r="BB473" s="61"/>
    </row>
    <row r="474" spans="42:54" x14ac:dyDescent="0.3">
      <c r="AP474" s="5"/>
      <c r="AQ474" s="7"/>
      <c r="AR474" s="7"/>
      <c r="AS474" s="6"/>
      <c r="AT474" s="6"/>
      <c r="AU474" s="60"/>
      <c r="AV474" s="61"/>
      <c r="AW474" s="61"/>
      <c r="AX474" s="61"/>
      <c r="AY474" s="61"/>
      <c r="AZ474" s="61"/>
      <c r="BA474" s="61"/>
      <c r="BB474" s="61"/>
    </row>
    <row r="475" spans="42:54" x14ac:dyDescent="0.3">
      <c r="AP475" s="5"/>
      <c r="AQ475" s="7"/>
      <c r="AR475" s="7"/>
      <c r="AS475" s="6"/>
      <c r="AT475" s="6"/>
      <c r="AU475" s="60"/>
      <c r="AV475" s="61"/>
      <c r="AW475" s="61"/>
      <c r="AX475" s="61"/>
      <c r="AY475" s="61"/>
      <c r="AZ475" s="61"/>
      <c r="BA475" s="61"/>
      <c r="BB475" s="61"/>
    </row>
    <row r="476" spans="42:54" x14ac:dyDescent="0.3">
      <c r="AP476" s="5"/>
      <c r="AQ476" s="7"/>
      <c r="AR476" s="7"/>
      <c r="AS476" s="6"/>
      <c r="AT476" s="6"/>
      <c r="AU476" s="60"/>
      <c r="AV476" s="61"/>
      <c r="AW476" s="61"/>
      <c r="AX476" s="61"/>
      <c r="AY476" s="61"/>
      <c r="AZ476" s="61"/>
      <c r="BA476" s="61"/>
      <c r="BB476" s="61"/>
    </row>
    <row r="477" spans="42:54" x14ac:dyDescent="0.3">
      <c r="AP477" s="5"/>
      <c r="AQ477" s="7"/>
      <c r="AR477" s="7"/>
      <c r="AS477" s="6"/>
      <c r="AT477" s="6"/>
      <c r="AU477" s="60"/>
      <c r="AV477" s="61"/>
      <c r="AW477" s="61"/>
      <c r="AX477" s="61"/>
      <c r="AY477" s="61"/>
      <c r="AZ477" s="61"/>
      <c r="BA477" s="61"/>
      <c r="BB477" s="61"/>
    </row>
    <row r="478" spans="42:54" x14ac:dyDescent="0.3">
      <c r="AP478" s="5"/>
      <c r="AQ478" s="7"/>
      <c r="AR478" s="7"/>
      <c r="AS478" s="6"/>
      <c r="AT478" s="6"/>
      <c r="AU478" s="60"/>
      <c r="AV478" s="61"/>
      <c r="AW478" s="61"/>
      <c r="AX478" s="61"/>
      <c r="AY478" s="61"/>
      <c r="AZ478" s="61"/>
      <c r="BA478" s="61"/>
      <c r="BB478" s="61"/>
    </row>
    <row r="479" spans="42:54" x14ac:dyDescent="0.3">
      <c r="AP479" s="5"/>
      <c r="AQ479" s="7"/>
      <c r="AR479" s="7"/>
      <c r="AS479" s="6"/>
      <c r="AT479" s="6"/>
      <c r="AU479" s="60"/>
      <c r="AV479" s="61"/>
      <c r="AW479" s="61"/>
      <c r="AX479" s="61"/>
      <c r="AY479" s="61"/>
      <c r="AZ479" s="61"/>
      <c r="BA479" s="61"/>
      <c r="BB479" s="61"/>
    </row>
    <row r="480" spans="42:54" x14ac:dyDescent="0.3">
      <c r="AP480" s="5"/>
      <c r="AQ480" s="7"/>
      <c r="AR480" s="7"/>
      <c r="AS480" s="6"/>
      <c r="AT480" s="6"/>
      <c r="AU480" s="60"/>
      <c r="AV480" s="61"/>
      <c r="AW480" s="61"/>
      <c r="AX480" s="61"/>
      <c r="AY480" s="61"/>
      <c r="AZ480" s="61"/>
      <c r="BA480" s="61"/>
      <c r="BB480" s="61"/>
    </row>
    <row r="481" spans="42:54" x14ac:dyDescent="0.3">
      <c r="AP481" s="5"/>
      <c r="AQ481" s="7"/>
      <c r="AR481" s="7"/>
      <c r="AS481" s="6"/>
      <c r="AT481" s="6"/>
      <c r="AU481" s="60"/>
      <c r="AV481" s="61"/>
      <c r="AW481" s="61"/>
      <c r="AX481" s="61"/>
      <c r="AY481" s="61"/>
      <c r="AZ481" s="61"/>
      <c r="BA481" s="61"/>
      <c r="BB481" s="61"/>
    </row>
    <row r="482" spans="42:54" x14ac:dyDescent="0.3">
      <c r="AP482" s="5"/>
      <c r="AQ482" s="7"/>
      <c r="AR482" s="7"/>
      <c r="AS482" s="6"/>
      <c r="AT482" s="6"/>
      <c r="AU482" s="60"/>
      <c r="AV482" s="61"/>
      <c r="AW482" s="61"/>
      <c r="AX482" s="61"/>
      <c r="AY482" s="61"/>
      <c r="AZ482" s="61"/>
      <c r="BA482" s="61"/>
      <c r="BB482" s="61"/>
    </row>
    <row r="483" spans="42:54" x14ac:dyDescent="0.3">
      <c r="AP483" s="5"/>
      <c r="AQ483" s="7"/>
      <c r="AR483" s="7"/>
      <c r="AS483" s="6"/>
      <c r="AT483" s="6"/>
      <c r="AU483" s="60"/>
      <c r="AV483" s="61"/>
      <c r="AW483" s="61"/>
      <c r="AX483" s="61"/>
      <c r="AY483" s="61"/>
      <c r="AZ483" s="61"/>
      <c r="BA483" s="61"/>
      <c r="BB483" s="61"/>
    </row>
    <row r="484" spans="42:54" x14ac:dyDescent="0.3">
      <c r="AP484" s="5"/>
      <c r="AQ484" s="7"/>
      <c r="AR484" s="7"/>
      <c r="AS484" s="6"/>
      <c r="AT484" s="6"/>
      <c r="AU484" s="60"/>
      <c r="AV484" s="61"/>
      <c r="AW484" s="61"/>
      <c r="AX484" s="61"/>
      <c r="AY484" s="61"/>
      <c r="AZ484" s="61"/>
      <c r="BA484" s="61"/>
      <c r="BB484" s="61"/>
    </row>
    <row r="485" spans="42:54" x14ac:dyDescent="0.3">
      <c r="AP485" s="5"/>
      <c r="AQ485" s="7"/>
      <c r="AR485" s="7"/>
      <c r="AS485" s="6"/>
      <c r="AT485" s="6"/>
      <c r="AU485" s="60"/>
      <c r="AV485" s="61"/>
      <c r="AW485" s="61"/>
      <c r="AX485" s="61"/>
      <c r="AY485" s="61"/>
      <c r="AZ485" s="61"/>
      <c r="BA485" s="61"/>
      <c r="BB485" s="61"/>
    </row>
    <row r="486" spans="42:54" x14ac:dyDescent="0.3">
      <c r="AP486" s="5"/>
      <c r="AQ486" s="7"/>
      <c r="AR486" s="7"/>
      <c r="AS486" s="6"/>
      <c r="AT486" s="6"/>
      <c r="AU486" s="60"/>
      <c r="AV486" s="61"/>
      <c r="AW486" s="61"/>
      <c r="AX486" s="61"/>
      <c r="AY486" s="61"/>
      <c r="AZ486" s="61"/>
      <c r="BA486" s="61"/>
      <c r="BB486" s="61"/>
    </row>
    <row r="487" spans="42:54" x14ac:dyDescent="0.3">
      <c r="AP487" s="5"/>
      <c r="AQ487" s="7"/>
      <c r="AR487" s="7"/>
      <c r="AS487" s="6"/>
      <c r="AT487" s="6"/>
      <c r="AU487" s="60"/>
      <c r="AV487" s="61"/>
      <c r="AW487" s="61"/>
      <c r="AX487" s="61"/>
      <c r="AY487" s="61"/>
      <c r="AZ487" s="61"/>
      <c r="BA487" s="61"/>
      <c r="BB487" s="61"/>
    </row>
    <row r="488" spans="42:54" x14ac:dyDescent="0.3">
      <c r="AP488" s="5"/>
      <c r="AQ488" s="7"/>
      <c r="AR488" s="7"/>
      <c r="AS488" s="6"/>
      <c r="AT488" s="6"/>
      <c r="AU488" s="60"/>
      <c r="AV488" s="61"/>
      <c r="AW488" s="61"/>
      <c r="AX488" s="61"/>
      <c r="AY488" s="61"/>
      <c r="AZ488" s="61"/>
      <c r="BA488" s="61"/>
      <c r="BB488" s="61"/>
    </row>
    <row r="489" spans="42:54" x14ac:dyDescent="0.3">
      <c r="AP489" s="5"/>
      <c r="AQ489" s="7"/>
      <c r="AR489" s="7"/>
      <c r="AS489" s="6"/>
      <c r="AT489" s="6"/>
      <c r="AU489" s="60"/>
      <c r="AV489" s="61"/>
      <c r="AW489" s="61"/>
      <c r="AX489" s="61"/>
      <c r="AY489" s="61"/>
      <c r="AZ489" s="61"/>
      <c r="BA489" s="61"/>
      <c r="BB489" s="61"/>
    </row>
    <row r="490" spans="42:54" x14ac:dyDescent="0.3">
      <c r="AP490" s="5"/>
      <c r="AQ490" s="7"/>
      <c r="AR490" s="7"/>
      <c r="AS490" s="6"/>
      <c r="AT490" s="6"/>
      <c r="AU490" s="60"/>
      <c r="AV490" s="61"/>
      <c r="AW490" s="61"/>
      <c r="AX490" s="61"/>
      <c r="AY490" s="61"/>
      <c r="AZ490" s="61"/>
      <c r="BA490" s="61"/>
      <c r="BB490" s="61"/>
    </row>
    <row r="491" spans="42:54" x14ac:dyDescent="0.3">
      <c r="AP491" s="5"/>
      <c r="AQ491" s="7"/>
      <c r="AR491" s="7"/>
      <c r="AS491" s="6"/>
      <c r="AT491" s="6"/>
      <c r="AU491" s="60"/>
      <c r="AV491" s="61"/>
      <c r="AW491" s="61"/>
      <c r="AX491" s="61"/>
      <c r="AY491" s="61"/>
      <c r="AZ491" s="61"/>
      <c r="BA491" s="61"/>
      <c r="BB491" s="61"/>
    </row>
    <row r="492" spans="42:54" x14ac:dyDescent="0.3">
      <c r="AP492" s="5"/>
      <c r="AQ492" s="7"/>
      <c r="AR492" s="7"/>
      <c r="AS492" s="6"/>
      <c r="AT492" s="6"/>
      <c r="AU492" s="60"/>
      <c r="AV492" s="61"/>
      <c r="AW492" s="61"/>
      <c r="AX492" s="61"/>
      <c r="AY492" s="61"/>
      <c r="AZ492" s="61"/>
      <c r="BA492" s="61"/>
      <c r="BB492" s="61"/>
    </row>
    <row r="493" spans="42:54" x14ac:dyDescent="0.3">
      <c r="AP493" s="5"/>
      <c r="AQ493" s="7"/>
      <c r="AR493" s="7"/>
      <c r="AS493" s="6"/>
      <c r="AT493" s="6"/>
      <c r="AU493" s="60"/>
      <c r="AV493" s="61"/>
      <c r="AW493" s="61"/>
      <c r="AX493" s="61"/>
      <c r="AY493" s="61"/>
      <c r="AZ493" s="61"/>
      <c r="BA493" s="61"/>
      <c r="BB493" s="61"/>
    </row>
    <row r="494" spans="42:54" x14ac:dyDescent="0.3">
      <c r="AP494" s="5"/>
      <c r="AQ494" s="7"/>
      <c r="AR494" s="7"/>
      <c r="AS494" s="6"/>
      <c r="AT494" s="6"/>
      <c r="AU494" s="60"/>
      <c r="AV494" s="61"/>
      <c r="AW494" s="61"/>
      <c r="AX494" s="61"/>
      <c r="AY494" s="61"/>
      <c r="AZ494" s="61"/>
      <c r="BA494" s="61"/>
      <c r="BB494" s="61"/>
    </row>
    <row r="495" spans="42:54" x14ac:dyDescent="0.3">
      <c r="AP495" s="5"/>
      <c r="AQ495" s="7"/>
      <c r="AR495" s="7"/>
      <c r="AS495" s="6"/>
      <c r="AT495" s="6"/>
      <c r="AU495" s="60"/>
      <c r="AV495" s="61"/>
      <c r="AW495" s="61"/>
      <c r="AX495" s="61"/>
      <c r="AY495" s="61"/>
      <c r="AZ495" s="61"/>
      <c r="BA495" s="61"/>
      <c r="BB495" s="61"/>
    </row>
    <row r="496" spans="42:54" x14ac:dyDescent="0.3">
      <c r="AP496" s="5"/>
      <c r="AQ496" s="7"/>
      <c r="AR496" s="7"/>
      <c r="AS496" s="6"/>
      <c r="AT496" s="6"/>
      <c r="AU496" s="60"/>
      <c r="AV496" s="61"/>
      <c r="AW496" s="61"/>
      <c r="AX496" s="61"/>
      <c r="AY496" s="61"/>
      <c r="AZ496" s="61"/>
      <c r="BA496" s="61"/>
      <c r="BB496" s="61"/>
    </row>
    <row r="497" spans="42:54" x14ac:dyDescent="0.3">
      <c r="AP497" s="5"/>
      <c r="AQ497" s="7"/>
      <c r="AR497" s="7"/>
      <c r="AS497" s="6"/>
      <c r="AT497" s="6"/>
      <c r="AU497" s="60"/>
      <c r="AV497" s="61"/>
      <c r="AW497" s="61"/>
      <c r="AX497" s="61"/>
      <c r="AY497" s="61"/>
      <c r="AZ497" s="61"/>
      <c r="BA497" s="61"/>
      <c r="BB497" s="61"/>
    </row>
    <row r="498" spans="42:54" x14ac:dyDescent="0.3">
      <c r="AP498" s="5"/>
      <c r="AQ498" s="7"/>
      <c r="AR498" s="7"/>
      <c r="AS498" s="6"/>
      <c r="AT498" s="6"/>
      <c r="AU498" s="60"/>
      <c r="AV498" s="61"/>
      <c r="AW498" s="61"/>
      <c r="AX498" s="61"/>
      <c r="AY498" s="61"/>
      <c r="AZ498" s="61"/>
      <c r="BA498" s="61"/>
      <c r="BB498" s="61"/>
    </row>
    <row r="499" spans="42:54" x14ac:dyDescent="0.3">
      <c r="AP499" s="5"/>
      <c r="AQ499" s="7"/>
      <c r="AR499" s="7"/>
      <c r="AS499" s="6"/>
      <c r="AT499" s="6"/>
      <c r="AU499" s="60"/>
      <c r="AV499" s="61"/>
      <c r="AW499" s="61"/>
      <c r="AX499" s="61"/>
      <c r="AY499" s="61"/>
      <c r="AZ499" s="61"/>
      <c r="BA499" s="61"/>
      <c r="BB499" s="61"/>
    </row>
    <row r="500" spans="42:54" x14ac:dyDescent="0.3">
      <c r="AU500" s="61"/>
      <c r="AV500" s="61"/>
      <c r="AW500" s="61"/>
      <c r="AX500" s="61"/>
      <c r="AY500" s="61"/>
      <c r="AZ500" s="61"/>
      <c r="BA500" s="61"/>
      <c r="BB500" s="61"/>
    </row>
    <row r="501" spans="42:54" x14ac:dyDescent="0.3">
      <c r="AU501" s="61"/>
      <c r="AV501" s="61"/>
      <c r="AW501" s="61"/>
      <c r="AX501" s="61"/>
      <c r="AY501" s="61"/>
      <c r="AZ501" s="61"/>
      <c r="BA501" s="61"/>
      <c r="BB501" s="61"/>
    </row>
    <row r="502" spans="42:54" x14ac:dyDescent="0.3">
      <c r="AU502" s="61"/>
      <c r="AV502" s="61"/>
      <c r="AW502" s="61"/>
      <c r="AX502" s="61"/>
      <c r="AY502" s="61"/>
      <c r="AZ502" s="61"/>
      <c r="BA502" s="61"/>
      <c r="BB502" s="61"/>
    </row>
    <row r="503" spans="42:54" x14ac:dyDescent="0.3">
      <c r="AU503" s="61"/>
      <c r="AV503" s="61"/>
      <c r="AW503" s="61"/>
      <c r="AX503" s="61"/>
      <c r="AY503" s="61"/>
      <c r="AZ503" s="61"/>
      <c r="BA503" s="61"/>
      <c r="BB503" s="61"/>
    </row>
    <row r="504" spans="42:54" x14ac:dyDescent="0.3">
      <c r="AU504" s="61"/>
      <c r="AV504" s="61"/>
      <c r="AW504" s="61"/>
      <c r="AX504" s="61"/>
      <c r="AY504" s="61"/>
      <c r="AZ504" s="61"/>
      <c r="BA504" s="61"/>
      <c r="BB504" s="61"/>
    </row>
    <row r="505" spans="42:54" x14ac:dyDescent="0.3">
      <c r="AU505" s="61"/>
      <c r="AV505" s="61"/>
      <c r="AW505" s="61"/>
      <c r="AX505" s="61"/>
      <c r="AY505" s="61"/>
      <c r="AZ505" s="61"/>
      <c r="BA505" s="61"/>
      <c r="BB505" s="61"/>
    </row>
    <row r="506" spans="42:54" x14ac:dyDescent="0.3">
      <c r="AU506" s="61"/>
      <c r="AV506" s="61"/>
      <c r="AW506" s="61"/>
      <c r="AX506" s="61"/>
      <c r="AY506" s="61"/>
      <c r="AZ506" s="61"/>
      <c r="BA506" s="61"/>
      <c r="BB506" s="61"/>
    </row>
    <row r="507" spans="42:54" x14ac:dyDescent="0.3">
      <c r="AU507" s="61"/>
      <c r="AV507" s="61"/>
      <c r="AW507" s="61"/>
      <c r="AX507" s="61"/>
      <c r="AY507" s="61"/>
      <c r="AZ507" s="61"/>
      <c r="BA507" s="61"/>
      <c r="BB507" s="61"/>
    </row>
    <row r="508" spans="42:54" x14ac:dyDescent="0.3">
      <c r="AU508" s="61"/>
      <c r="AV508" s="61"/>
      <c r="AW508" s="61"/>
      <c r="AX508" s="61"/>
      <c r="AY508" s="61"/>
      <c r="AZ508" s="61"/>
      <c r="BA508" s="61"/>
      <c r="BB508" s="61"/>
    </row>
    <row r="509" spans="42:54" x14ac:dyDescent="0.3">
      <c r="AU509" s="61"/>
      <c r="AV509" s="61"/>
      <c r="AW509" s="61"/>
      <c r="AX509" s="61"/>
      <c r="AY509" s="61"/>
      <c r="AZ509" s="61"/>
      <c r="BA509" s="61"/>
      <c r="BB509" s="61"/>
    </row>
    <row r="510" spans="42:54" x14ac:dyDescent="0.3">
      <c r="AU510" s="61"/>
      <c r="AV510" s="61"/>
      <c r="AW510" s="61"/>
      <c r="AX510" s="61"/>
      <c r="AY510" s="61"/>
      <c r="AZ510" s="61"/>
      <c r="BA510" s="61"/>
      <c r="BB510" s="61"/>
    </row>
    <row r="511" spans="42:54" x14ac:dyDescent="0.3">
      <c r="AU511" s="61"/>
      <c r="AV511" s="61"/>
      <c r="AW511" s="61"/>
      <c r="AX511" s="61"/>
      <c r="AY511" s="61"/>
      <c r="AZ511" s="61"/>
      <c r="BA511" s="61"/>
      <c r="BB511" s="61"/>
    </row>
    <row r="512" spans="42:54" x14ac:dyDescent="0.3">
      <c r="AU512" s="61"/>
      <c r="AV512" s="61"/>
      <c r="AW512" s="61"/>
      <c r="AX512" s="61"/>
      <c r="AY512" s="61"/>
      <c r="AZ512" s="61"/>
      <c r="BA512" s="61"/>
      <c r="BB512" s="61"/>
    </row>
    <row r="513" spans="47:54" x14ac:dyDescent="0.3">
      <c r="AU513" s="61"/>
      <c r="AV513" s="61"/>
      <c r="AW513" s="61"/>
      <c r="AX513" s="61"/>
      <c r="AY513" s="61"/>
      <c r="AZ513" s="61"/>
      <c r="BA513" s="61"/>
      <c r="BB513" s="61"/>
    </row>
    <row r="514" spans="47:54" x14ac:dyDescent="0.3">
      <c r="AU514" s="61"/>
      <c r="AV514" s="61"/>
      <c r="AW514" s="61"/>
      <c r="AX514" s="61"/>
      <c r="AY514" s="61"/>
      <c r="AZ514" s="61"/>
      <c r="BA514" s="61"/>
      <c r="BB514" s="61"/>
    </row>
    <row r="515" spans="47:54" x14ac:dyDescent="0.3">
      <c r="AU515" s="61"/>
      <c r="AV515" s="61"/>
      <c r="AW515" s="61"/>
      <c r="AX515" s="61"/>
      <c r="AY515" s="61"/>
      <c r="AZ515" s="61"/>
      <c r="BA515" s="61"/>
      <c r="BB515" s="61"/>
    </row>
    <row r="516" spans="47:54" x14ac:dyDescent="0.3">
      <c r="AU516" s="61"/>
      <c r="AV516" s="61"/>
      <c r="AW516" s="61"/>
      <c r="AX516" s="61"/>
      <c r="AY516" s="61"/>
      <c r="AZ516" s="61"/>
      <c r="BA516" s="61"/>
      <c r="BB516" s="61"/>
    </row>
    <row r="517" spans="47:54" x14ac:dyDescent="0.3">
      <c r="AU517" s="61"/>
      <c r="AV517" s="61"/>
      <c r="AW517" s="61"/>
      <c r="AX517" s="61"/>
      <c r="AY517" s="61"/>
      <c r="AZ517" s="61"/>
      <c r="BA517" s="61"/>
      <c r="BB517" s="61"/>
    </row>
    <row r="518" spans="47:54" x14ac:dyDescent="0.3">
      <c r="AU518" s="61"/>
      <c r="AV518" s="61"/>
      <c r="AW518" s="61"/>
      <c r="AX518" s="61"/>
      <c r="AY518" s="61"/>
      <c r="AZ518" s="61"/>
      <c r="BA518" s="61"/>
      <c r="BB518" s="61"/>
    </row>
    <row r="519" spans="47:54" x14ac:dyDescent="0.3">
      <c r="AU519" s="61"/>
      <c r="AV519" s="61"/>
      <c r="AW519" s="61"/>
      <c r="AX519" s="61"/>
      <c r="AY519" s="61"/>
      <c r="AZ519" s="61"/>
      <c r="BA519" s="61"/>
      <c r="BB519" s="61"/>
    </row>
    <row r="520" spans="47:54" x14ac:dyDescent="0.3">
      <c r="AU520" s="61"/>
      <c r="AV520" s="61"/>
      <c r="AW520" s="61"/>
      <c r="AX520" s="61"/>
      <c r="AY520" s="61"/>
      <c r="AZ520" s="61"/>
      <c r="BA520" s="61"/>
      <c r="BB520" s="61"/>
    </row>
    <row r="521" spans="47:54" x14ac:dyDescent="0.3">
      <c r="AU521" s="61"/>
      <c r="AV521" s="61"/>
      <c r="AW521" s="61"/>
      <c r="AX521" s="61"/>
      <c r="AY521" s="61"/>
      <c r="AZ521" s="61"/>
      <c r="BA521" s="61"/>
      <c r="BB521" s="61"/>
    </row>
    <row r="522" spans="47:54" x14ac:dyDescent="0.3">
      <c r="AU522" s="61"/>
      <c r="AV522" s="61"/>
      <c r="AW522" s="61"/>
      <c r="AX522" s="61"/>
      <c r="AY522" s="61"/>
      <c r="AZ522" s="61"/>
      <c r="BA522" s="61"/>
      <c r="BB522" s="61"/>
    </row>
    <row r="523" spans="47:54" x14ac:dyDescent="0.3">
      <c r="AU523" s="61"/>
      <c r="AV523" s="61"/>
      <c r="AW523" s="61"/>
      <c r="AX523" s="61"/>
      <c r="AY523" s="61"/>
      <c r="AZ523" s="61"/>
      <c r="BA523" s="61"/>
      <c r="BB523" s="61"/>
    </row>
    <row r="524" spans="47:54" x14ac:dyDescent="0.3">
      <c r="AU524" s="61"/>
      <c r="AV524" s="61"/>
      <c r="AW524" s="61"/>
      <c r="AX524" s="61"/>
      <c r="AY524" s="61"/>
      <c r="AZ524" s="61"/>
      <c r="BA524" s="61"/>
      <c r="BB524" s="61"/>
    </row>
    <row r="525" spans="47:54" x14ac:dyDescent="0.3">
      <c r="AU525" s="61"/>
      <c r="AV525" s="61"/>
      <c r="AW525" s="61"/>
      <c r="AX525" s="61"/>
      <c r="AY525" s="61"/>
      <c r="AZ525" s="61"/>
      <c r="BA525" s="61"/>
      <c r="BB525" s="61"/>
    </row>
    <row r="526" spans="47:54" x14ac:dyDescent="0.3">
      <c r="AU526" s="61"/>
      <c r="AV526" s="61"/>
      <c r="AW526" s="61"/>
      <c r="AX526" s="61"/>
      <c r="AY526" s="61"/>
      <c r="AZ526" s="61"/>
      <c r="BA526" s="61"/>
      <c r="BB526" s="61"/>
    </row>
    <row r="527" spans="47:54" x14ac:dyDescent="0.3">
      <c r="AU527" s="61"/>
      <c r="AV527" s="61"/>
      <c r="AW527" s="61"/>
      <c r="AX527" s="61"/>
      <c r="AY527" s="61"/>
      <c r="AZ527" s="61"/>
      <c r="BA527" s="61"/>
      <c r="BB527" s="61"/>
    </row>
    <row r="528" spans="47:54" x14ac:dyDescent="0.3">
      <c r="AU528" s="61"/>
      <c r="AV528" s="61"/>
      <c r="AW528" s="61"/>
      <c r="AX528" s="61"/>
      <c r="AY528" s="61"/>
      <c r="AZ528" s="61"/>
      <c r="BA528" s="61"/>
      <c r="BB528" s="61"/>
    </row>
    <row r="529" spans="47:54" x14ac:dyDescent="0.3">
      <c r="AU529" s="61"/>
      <c r="AV529" s="61"/>
      <c r="AW529" s="61"/>
      <c r="AX529" s="61"/>
      <c r="AY529" s="61"/>
      <c r="AZ529" s="61"/>
      <c r="BA529" s="61"/>
      <c r="BB529" s="61"/>
    </row>
    <row r="530" spans="47:54" x14ac:dyDescent="0.3">
      <c r="AU530" s="61"/>
      <c r="AV530" s="61"/>
      <c r="AW530" s="61"/>
      <c r="AX530" s="61"/>
      <c r="AY530" s="61"/>
      <c r="AZ530" s="61"/>
      <c r="BA530" s="61"/>
      <c r="BB530" s="61"/>
    </row>
    <row r="531" spans="47:54" x14ac:dyDescent="0.3">
      <c r="AU531" s="61"/>
      <c r="AV531" s="61"/>
      <c r="AW531" s="61"/>
      <c r="AX531" s="61"/>
      <c r="AY531" s="61"/>
      <c r="AZ531" s="61"/>
      <c r="BA531" s="61"/>
      <c r="BB531" s="61"/>
    </row>
    <row r="532" spans="47:54" x14ac:dyDescent="0.3">
      <c r="AU532" s="61"/>
      <c r="AV532" s="61"/>
      <c r="AW532" s="61"/>
      <c r="AX532" s="61"/>
      <c r="AY532" s="61"/>
      <c r="AZ532" s="61"/>
      <c r="BA532" s="61"/>
      <c r="BB532" s="61"/>
    </row>
    <row r="533" spans="47:54" x14ac:dyDescent="0.3">
      <c r="AU533" s="61"/>
      <c r="AV533" s="61"/>
      <c r="AW533" s="61"/>
      <c r="AX533" s="61"/>
      <c r="AY533" s="61"/>
      <c r="AZ533" s="61"/>
      <c r="BA533" s="61"/>
      <c r="BB533" s="61"/>
    </row>
    <row r="534" spans="47:54" x14ac:dyDescent="0.3">
      <c r="AU534" s="61"/>
      <c r="AV534" s="61"/>
      <c r="AW534" s="61"/>
      <c r="AX534" s="61"/>
      <c r="AY534" s="61"/>
      <c r="AZ534" s="61"/>
      <c r="BA534" s="61"/>
      <c r="BB534" s="61"/>
    </row>
    <row r="535" spans="47:54" x14ac:dyDescent="0.3">
      <c r="AU535" s="61"/>
      <c r="AV535" s="61"/>
      <c r="AW535" s="61"/>
      <c r="AX535" s="61"/>
      <c r="AY535" s="61"/>
      <c r="AZ535" s="61"/>
      <c r="BA535" s="61"/>
      <c r="BB535" s="61"/>
    </row>
    <row r="536" spans="47:54" x14ac:dyDescent="0.3">
      <c r="AU536" s="61"/>
      <c r="AV536" s="61"/>
      <c r="AW536" s="61"/>
      <c r="AX536" s="61"/>
      <c r="AY536" s="61"/>
      <c r="AZ536" s="61"/>
      <c r="BA536" s="61"/>
      <c r="BB536" s="61"/>
    </row>
    <row r="537" spans="47:54" x14ac:dyDescent="0.3">
      <c r="AU537" s="61"/>
      <c r="AV537" s="61"/>
      <c r="AW537" s="61"/>
      <c r="AX537" s="61"/>
      <c r="AY537" s="61"/>
      <c r="AZ537" s="61"/>
      <c r="BA537" s="61"/>
      <c r="BB537" s="61"/>
    </row>
    <row r="538" spans="47:54" x14ac:dyDescent="0.3">
      <c r="AU538" s="61"/>
      <c r="AV538" s="61"/>
      <c r="AW538" s="61"/>
      <c r="AX538" s="61"/>
      <c r="AY538" s="61"/>
      <c r="AZ538" s="61"/>
      <c r="BA538" s="61"/>
      <c r="BB538" s="61"/>
    </row>
    <row r="539" spans="47:54" x14ac:dyDescent="0.3">
      <c r="AU539" s="61"/>
      <c r="AV539" s="61"/>
      <c r="AW539" s="61"/>
      <c r="AX539" s="61"/>
      <c r="AY539" s="61"/>
      <c r="AZ539" s="61"/>
      <c r="BA539" s="61"/>
      <c r="BB539" s="61"/>
    </row>
    <row r="540" spans="47:54" x14ac:dyDescent="0.3">
      <c r="AU540" s="61"/>
      <c r="AV540" s="61"/>
      <c r="AW540" s="61"/>
      <c r="AX540" s="61"/>
      <c r="AY540" s="61"/>
      <c r="AZ540" s="61"/>
      <c r="BA540" s="61"/>
      <c r="BB540" s="61"/>
    </row>
    <row r="541" spans="47:54" x14ac:dyDescent="0.3">
      <c r="AU541" s="61"/>
      <c r="AV541" s="61"/>
      <c r="AW541" s="61"/>
      <c r="AX541" s="61"/>
      <c r="AY541" s="61"/>
      <c r="AZ541" s="61"/>
      <c r="BA541" s="61"/>
      <c r="BB541" s="61"/>
    </row>
    <row r="542" spans="47:54" x14ac:dyDescent="0.3">
      <c r="AU542" s="61"/>
      <c r="AV542" s="61"/>
      <c r="AW542" s="61"/>
      <c r="AX542" s="61"/>
      <c r="AY542" s="61"/>
      <c r="AZ542" s="61"/>
      <c r="BA542" s="61"/>
      <c r="BB542" s="61"/>
    </row>
    <row r="543" spans="47:54" x14ac:dyDescent="0.3">
      <c r="AU543" s="61"/>
      <c r="AV543" s="61"/>
      <c r="AW543" s="61"/>
      <c r="AX543" s="61"/>
      <c r="AY543" s="61"/>
      <c r="AZ543" s="61"/>
      <c r="BA543" s="61"/>
      <c r="BB543" s="61"/>
    </row>
    <row r="544" spans="47:54" x14ac:dyDescent="0.3">
      <c r="AU544" s="61"/>
      <c r="AV544" s="61"/>
      <c r="AW544" s="61"/>
      <c r="AX544" s="61"/>
      <c r="AY544" s="61"/>
      <c r="AZ544" s="61"/>
      <c r="BA544" s="61"/>
      <c r="BB544" s="61"/>
    </row>
    <row r="545" spans="47:54" x14ac:dyDescent="0.3">
      <c r="AU545" s="61"/>
      <c r="AV545" s="61"/>
      <c r="AW545" s="61"/>
      <c r="AX545" s="61"/>
      <c r="AY545" s="61"/>
      <c r="AZ545" s="61"/>
      <c r="BA545" s="61"/>
      <c r="BB545" s="61"/>
    </row>
    <row r="546" spans="47:54" x14ac:dyDescent="0.3">
      <c r="AU546" s="61"/>
      <c r="AV546" s="61"/>
      <c r="AW546" s="61"/>
      <c r="AX546" s="61"/>
      <c r="AY546" s="61"/>
      <c r="AZ546" s="61"/>
      <c r="BA546" s="61"/>
      <c r="BB546" s="61"/>
    </row>
    <row r="547" spans="47:54" x14ac:dyDescent="0.3">
      <c r="AU547" s="61"/>
      <c r="AV547" s="61"/>
      <c r="AW547" s="61"/>
      <c r="AX547" s="61"/>
      <c r="AY547" s="61"/>
      <c r="AZ547" s="61"/>
      <c r="BA547" s="61"/>
      <c r="BB547" s="61"/>
    </row>
    <row r="548" spans="47:54" x14ac:dyDescent="0.3">
      <c r="AU548" s="61"/>
      <c r="AV548" s="61"/>
      <c r="AW548" s="61"/>
      <c r="AX548" s="61"/>
      <c r="AY548" s="61"/>
      <c r="AZ548" s="61"/>
      <c r="BA548" s="61"/>
      <c r="BB548" s="61"/>
    </row>
    <row r="549" spans="47:54" x14ac:dyDescent="0.3">
      <c r="AU549" s="61"/>
      <c r="AV549" s="61"/>
      <c r="AW549" s="61"/>
      <c r="AX549" s="61"/>
      <c r="AY549" s="61"/>
      <c r="AZ549" s="61"/>
      <c r="BA549" s="61"/>
      <c r="BB549" s="61"/>
    </row>
    <row r="550" spans="47:54" x14ac:dyDescent="0.3">
      <c r="AU550" s="61"/>
      <c r="AV550" s="61"/>
      <c r="AW550" s="61"/>
      <c r="AX550" s="61"/>
      <c r="AY550" s="61"/>
      <c r="AZ550" s="61"/>
      <c r="BA550" s="61"/>
      <c r="BB550" s="61"/>
    </row>
    <row r="551" spans="47:54" x14ac:dyDescent="0.3">
      <c r="AU551" s="61"/>
      <c r="AV551" s="61"/>
      <c r="AW551" s="61"/>
      <c r="AX551" s="61"/>
      <c r="AY551" s="61"/>
      <c r="AZ551" s="61"/>
      <c r="BA551" s="61"/>
      <c r="BB551" s="61"/>
    </row>
    <row r="552" spans="47:54" x14ac:dyDescent="0.3">
      <c r="AU552" s="61"/>
      <c r="AV552" s="61"/>
      <c r="AW552" s="61"/>
      <c r="AX552" s="61"/>
      <c r="AY552" s="61"/>
      <c r="AZ552" s="61"/>
      <c r="BA552" s="61"/>
      <c r="BB552" s="61"/>
    </row>
    <row r="553" spans="47:54" x14ac:dyDescent="0.3">
      <c r="AU553" s="61"/>
      <c r="AV553" s="61"/>
      <c r="AW553" s="61"/>
      <c r="AX553" s="61"/>
      <c r="AY553" s="61"/>
      <c r="AZ553" s="61"/>
      <c r="BA553" s="61"/>
      <c r="BB553" s="61"/>
    </row>
    <row r="554" spans="47:54" x14ac:dyDescent="0.3">
      <c r="AU554" s="61"/>
      <c r="AV554" s="61"/>
      <c r="AW554" s="61"/>
      <c r="AX554" s="61"/>
      <c r="AY554" s="61"/>
      <c r="AZ554" s="61"/>
      <c r="BA554" s="61"/>
      <c r="BB554" s="61"/>
    </row>
    <row r="555" spans="47:54" x14ac:dyDescent="0.3">
      <c r="AU555" s="61"/>
      <c r="AV555" s="61"/>
      <c r="AW555" s="61"/>
      <c r="AX555" s="61"/>
      <c r="AY555" s="61"/>
      <c r="AZ555" s="61"/>
      <c r="BA555" s="61"/>
      <c r="BB555" s="61"/>
    </row>
    <row r="556" spans="47:54" x14ac:dyDescent="0.3">
      <c r="AU556" s="61"/>
      <c r="AV556" s="61"/>
      <c r="AW556" s="61"/>
      <c r="AX556" s="61"/>
      <c r="AY556" s="61"/>
      <c r="AZ556" s="61"/>
      <c r="BA556" s="61"/>
      <c r="BB556" s="61"/>
    </row>
    <row r="557" spans="47:54" x14ac:dyDescent="0.3">
      <c r="AU557" s="61"/>
      <c r="AV557" s="61"/>
      <c r="AW557" s="61"/>
      <c r="AX557" s="61"/>
      <c r="AY557" s="61"/>
      <c r="AZ557" s="61"/>
      <c r="BA557" s="61"/>
      <c r="BB557" s="61"/>
    </row>
    <row r="558" spans="47:54" x14ac:dyDescent="0.3">
      <c r="AU558" s="61"/>
      <c r="AV558" s="61"/>
      <c r="AW558" s="61"/>
      <c r="AX558" s="61"/>
      <c r="AY558" s="61"/>
      <c r="AZ558" s="61"/>
      <c r="BA558" s="61"/>
      <c r="BB558" s="61"/>
    </row>
    <row r="559" spans="47:54" x14ac:dyDescent="0.3">
      <c r="AU559" s="61"/>
      <c r="AV559" s="61"/>
      <c r="AW559" s="61"/>
      <c r="AX559" s="61"/>
      <c r="AY559" s="61"/>
      <c r="AZ559" s="61"/>
      <c r="BA559" s="61"/>
      <c r="BB559" s="61"/>
    </row>
    <row r="560" spans="47:54" x14ac:dyDescent="0.3">
      <c r="AU560" s="61"/>
      <c r="AV560" s="61"/>
      <c r="AW560" s="61"/>
      <c r="AX560" s="61"/>
      <c r="AY560" s="61"/>
      <c r="AZ560" s="61"/>
      <c r="BA560" s="61"/>
      <c r="BB560" s="61"/>
    </row>
    <row r="561" spans="47:54" x14ac:dyDescent="0.3">
      <c r="AU561" s="61"/>
      <c r="AV561" s="61"/>
      <c r="AW561" s="61"/>
      <c r="AX561" s="61"/>
      <c r="AY561" s="61"/>
      <c r="AZ561" s="61"/>
      <c r="BA561" s="61"/>
      <c r="BB561" s="61"/>
    </row>
    <row r="562" spans="47:54" x14ac:dyDescent="0.3">
      <c r="AU562" s="61"/>
      <c r="AV562" s="61"/>
      <c r="AW562" s="61"/>
      <c r="AX562" s="61"/>
      <c r="AY562" s="61"/>
      <c r="AZ562" s="61"/>
      <c r="BA562" s="61"/>
      <c r="BB562" s="61"/>
    </row>
    <row r="563" spans="47:54" x14ac:dyDescent="0.3">
      <c r="AU563" s="61"/>
      <c r="AV563" s="61"/>
      <c r="AW563" s="61"/>
      <c r="AX563" s="61"/>
      <c r="AY563" s="61"/>
      <c r="AZ563" s="61"/>
      <c r="BA563" s="61"/>
      <c r="BB563" s="61"/>
    </row>
    <row r="564" spans="47:54" x14ac:dyDescent="0.3">
      <c r="AU564" s="61"/>
      <c r="AV564" s="61"/>
      <c r="AW564" s="61"/>
      <c r="AX564" s="61"/>
      <c r="AY564" s="61"/>
      <c r="AZ564" s="61"/>
      <c r="BA564" s="61"/>
      <c r="BB564" s="61"/>
    </row>
    <row r="565" spans="47:54" x14ac:dyDescent="0.3">
      <c r="AU565" s="61"/>
      <c r="AV565" s="61"/>
      <c r="AW565" s="61"/>
      <c r="AX565" s="61"/>
      <c r="AY565" s="61"/>
      <c r="AZ565" s="61"/>
      <c r="BA565" s="61"/>
      <c r="BB565" s="61"/>
    </row>
    <row r="566" spans="47:54" x14ac:dyDescent="0.3">
      <c r="AU566" s="61"/>
      <c r="AV566" s="61"/>
      <c r="AW566" s="61"/>
      <c r="AX566" s="61"/>
      <c r="AY566" s="61"/>
      <c r="AZ566" s="61"/>
      <c r="BA566" s="61"/>
      <c r="BB566" s="61"/>
    </row>
    <row r="567" spans="47:54" x14ac:dyDescent="0.3">
      <c r="AU567" s="61"/>
      <c r="AV567" s="61"/>
      <c r="AW567" s="61"/>
      <c r="AX567" s="61"/>
      <c r="AY567" s="61"/>
      <c r="AZ567" s="61"/>
      <c r="BA567" s="61"/>
      <c r="BB567" s="61"/>
    </row>
    <row r="568" spans="47:54" x14ac:dyDescent="0.3">
      <c r="AU568" s="61"/>
      <c r="AV568" s="61"/>
      <c r="AW568" s="61"/>
      <c r="AX568" s="61"/>
      <c r="AY568" s="61"/>
      <c r="AZ568" s="61"/>
      <c r="BA568" s="61"/>
      <c r="BB568" s="61"/>
    </row>
    <row r="569" spans="47:54" x14ac:dyDescent="0.3">
      <c r="AU569" s="61"/>
      <c r="AV569" s="61"/>
      <c r="AW569" s="61"/>
      <c r="AX569" s="61"/>
      <c r="AY569" s="61"/>
      <c r="AZ569" s="61"/>
      <c r="BA569" s="61"/>
      <c r="BB569" s="61"/>
    </row>
    <row r="570" spans="47:54" x14ac:dyDescent="0.3">
      <c r="AU570" s="61"/>
      <c r="AV570" s="61"/>
      <c r="AW570" s="61"/>
      <c r="AX570" s="61"/>
      <c r="AY570" s="61"/>
      <c r="AZ570" s="61"/>
      <c r="BA570" s="61"/>
      <c r="BB570" s="61"/>
    </row>
    <row r="571" spans="47:54" x14ac:dyDescent="0.3">
      <c r="AU571" s="61"/>
      <c r="AV571" s="61"/>
      <c r="AW571" s="61"/>
      <c r="AX571" s="61"/>
      <c r="AY571" s="61"/>
      <c r="AZ571" s="61"/>
      <c r="BA571" s="61"/>
      <c r="BB571" s="61"/>
    </row>
    <row r="572" spans="47:54" x14ac:dyDescent="0.3">
      <c r="AU572" s="61"/>
      <c r="AV572" s="61"/>
      <c r="AW572" s="61"/>
      <c r="AX572" s="61"/>
      <c r="AY572" s="61"/>
      <c r="AZ572" s="61"/>
      <c r="BA572" s="61"/>
      <c r="BB572" s="61"/>
    </row>
    <row r="573" spans="47:54" x14ac:dyDescent="0.3">
      <c r="AU573" s="61"/>
      <c r="AV573" s="61"/>
      <c r="AW573" s="61"/>
      <c r="AX573" s="61"/>
      <c r="AY573" s="61"/>
      <c r="AZ573" s="61"/>
      <c r="BA573" s="61"/>
      <c r="BB573" s="61"/>
    </row>
    <row r="574" spans="47:54" x14ac:dyDescent="0.3">
      <c r="AU574" s="61"/>
      <c r="AV574" s="61"/>
      <c r="AW574" s="61"/>
      <c r="AX574" s="61"/>
      <c r="AY574" s="61"/>
      <c r="AZ574" s="61"/>
      <c r="BA574" s="61"/>
      <c r="BB574" s="61"/>
    </row>
    <row r="575" spans="47:54" x14ac:dyDescent="0.3">
      <c r="AU575" s="61"/>
      <c r="AV575" s="61"/>
      <c r="AW575" s="61"/>
      <c r="AX575" s="61"/>
      <c r="AY575" s="61"/>
      <c r="AZ575" s="61"/>
      <c r="BA575" s="61"/>
      <c r="BB575" s="61"/>
    </row>
    <row r="576" spans="47:54" x14ac:dyDescent="0.3">
      <c r="AU576" s="61"/>
      <c r="AV576" s="61"/>
      <c r="AW576" s="61"/>
      <c r="AX576" s="61"/>
      <c r="AY576" s="61"/>
      <c r="AZ576" s="61"/>
      <c r="BA576" s="61"/>
      <c r="BB576" s="61"/>
    </row>
    <row r="577" spans="47:54" x14ac:dyDescent="0.3">
      <c r="AU577" s="61"/>
      <c r="AV577" s="61"/>
      <c r="AW577" s="61"/>
      <c r="AX577" s="61"/>
      <c r="AY577" s="61"/>
      <c r="AZ577" s="61"/>
      <c r="BA577" s="61"/>
      <c r="BB577" s="61"/>
    </row>
    <row r="578" spans="47:54" x14ac:dyDescent="0.3">
      <c r="AU578" s="61"/>
      <c r="AV578" s="61"/>
      <c r="AW578" s="61"/>
      <c r="AX578" s="61"/>
      <c r="AY578" s="61"/>
      <c r="AZ578" s="61"/>
      <c r="BA578" s="61"/>
      <c r="BB578" s="61"/>
    </row>
    <row r="579" spans="47:54" x14ac:dyDescent="0.3">
      <c r="AU579" s="61"/>
      <c r="AV579" s="61"/>
      <c r="AW579" s="61"/>
      <c r="AX579" s="61"/>
      <c r="AY579" s="61"/>
      <c r="AZ579" s="61"/>
      <c r="BA579" s="61"/>
      <c r="BB579" s="61"/>
    </row>
    <row r="580" spans="47:54" x14ac:dyDescent="0.3">
      <c r="AU580" s="61"/>
      <c r="AV580" s="61"/>
      <c r="AW580" s="61"/>
      <c r="AX580" s="61"/>
      <c r="AY580" s="61"/>
      <c r="AZ580" s="61"/>
      <c r="BA580" s="61"/>
      <c r="BB580" s="61"/>
    </row>
    <row r="581" spans="47:54" x14ac:dyDescent="0.3">
      <c r="AU581" s="61"/>
      <c r="AV581" s="61"/>
      <c r="AW581" s="61"/>
      <c r="AX581" s="61"/>
      <c r="AY581" s="61"/>
      <c r="AZ581" s="61"/>
      <c r="BA581" s="61"/>
      <c r="BB581" s="61"/>
    </row>
    <row r="582" spans="47:54" x14ac:dyDescent="0.3">
      <c r="AU582" s="61"/>
      <c r="AV582" s="61"/>
      <c r="AW582" s="61"/>
      <c r="AX582" s="61"/>
      <c r="AY582" s="61"/>
      <c r="AZ582" s="61"/>
      <c r="BA582" s="61"/>
      <c r="BB582" s="61"/>
    </row>
    <row r="583" spans="47:54" x14ac:dyDescent="0.3">
      <c r="AU583" s="61"/>
      <c r="AV583" s="61"/>
      <c r="AW583" s="61"/>
      <c r="AX583" s="61"/>
      <c r="AY583" s="61"/>
      <c r="AZ583" s="61"/>
      <c r="BA583" s="61"/>
      <c r="BB583" s="61"/>
    </row>
    <row r="584" spans="47:54" x14ac:dyDescent="0.3">
      <c r="AU584" s="61"/>
      <c r="AV584" s="61"/>
      <c r="AW584" s="61"/>
      <c r="AX584" s="61"/>
      <c r="AY584" s="61"/>
      <c r="AZ584" s="61"/>
      <c r="BA584" s="61"/>
      <c r="BB584" s="61"/>
    </row>
    <row r="585" spans="47:54" x14ac:dyDescent="0.3">
      <c r="AU585" s="61"/>
      <c r="AV585" s="61"/>
      <c r="AW585" s="61"/>
      <c r="AX585" s="61"/>
      <c r="AY585" s="61"/>
      <c r="AZ585" s="61"/>
      <c r="BA585" s="61"/>
      <c r="BB585" s="61"/>
    </row>
    <row r="586" spans="47:54" x14ac:dyDescent="0.3">
      <c r="AU586" s="61"/>
      <c r="AV586" s="61"/>
      <c r="AW586" s="61"/>
      <c r="AX586" s="61"/>
      <c r="AY586" s="61"/>
      <c r="AZ586" s="61"/>
      <c r="BA586" s="61"/>
      <c r="BB586" s="61"/>
    </row>
    <row r="587" spans="47:54" x14ac:dyDescent="0.3">
      <c r="AU587" s="61"/>
      <c r="AV587" s="61"/>
      <c r="AW587" s="61"/>
      <c r="AX587" s="61"/>
      <c r="AY587" s="61"/>
      <c r="AZ587" s="61"/>
      <c r="BA587" s="61"/>
      <c r="BB587" s="61"/>
    </row>
    <row r="588" spans="47:54" x14ac:dyDescent="0.3">
      <c r="AU588" s="61"/>
      <c r="AV588" s="61"/>
      <c r="AW588" s="61"/>
      <c r="AX588" s="61"/>
      <c r="AY588" s="61"/>
      <c r="AZ588" s="61"/>
      <c r="BA588" s="61"/>
      <c r="BB588" s="61"/>
    </row>
    <row r="589" spans="47:54" x14ac:dyDescent="0.3">
      <c r="AU589" s="61"/>
      <c r="AV589" s="61"/>
      <c r="AW589" s="61"/>
      <c r="AX589" s="61"/>
      <c r="AY589" s="61"/>
      <c r="AZ589" s="61"/>
      <c r="BA589" s="61"/>
      <c r="BB589" s="61"/>
    </row>
    <row r="590" spans="47:54" x14ac:dyDescent="0.3">
      <c r="AU590" s="61"/>
      <c r="AV590" s="61"/>
      <c r="AW590" s="61"/>
      <c r="AX590" s="61"/>
      <c r="AY590" s="61"/>
      <c r="AZ590" s="61"/>
      <c r="BA590" s="61"/>
      <c r="BB590" s="61"/>
    </row>
    <row r="591" spans="47:54" x14ac:dyDescent="0.3">
      <c r="AU591" s="61"/>
      <c r="AV591" s="61"/>
      <c r="AW591" s="61"/>
      <c r="AX591" s="61"/>
      <c r="AY591" s="61"/>
      <c r="AZ591" s="61"/>
      <c r="BA591" s="61"/>
      <c r="BB591" s="61"/>
    </row>
    <row r="592" spans="47:54" x14ac:dyDescent="0.3">
      <c r="AU592" s="61"/>
      <c r="AV592" s="61"/>
      <c r="AW592" s="61"/>
      <c r="AX592" s="61"/>
      <c r="AY592" s="61"/>
      <c r="AZ592" s="61"/>
      <c r="BA592" s="61"/>
      <c r="BB592" s="61"/>
    </row>
    <row r="593" spans="47:54" x14ac:dyDescent="0.3">
      <c r="AU593" s="61"/>
      <c r="AV593" s="61"/>
      <c r="AW593" s="61"/>
      <c r="AX593" s="61"/>
      <c r="AY593" s="61"/>
      <c r="AZ593" s="61"/>
      <c r="BA593" s="61"/>
      <c r="BB593" s="61"/>
    </row>
    <row r="594" spans="47:54" x14ac:dyDescent="0.3">
      <c r="AU594" s="61"/>
      <c r="AV594" s="61"/>
      <c r="AW594" s="61"/>
      <c r="AX594" s="61"/>
      <c r="AY594" s="61"/>
      <c r="AZ594" s="61"/>
      <c r="BA594" s="61"/>
      <c r="BB594" s="61"/>
    </row>
    <row r="595" spans="47:54" x14ac:dyDescent="0.3">
      <c r="AU595" s="61"/>
      <c r="AV595" s="61"/>
      <c r="AW595" s="61"/>
      <c r="AX595" s="61"/>
      <c r="AY595" s="61"/>
      <c r="AZ595" s="61"/>
      <c r="BA595" s="61"/>
      <c r="BB595" s="61"/>
    </row>
    <row r="596" spans="47:54" x14ac:dyDescent="0.3">
      <c r="AU596" s="61"/>
      <c r="AV596" s="61"/>
      <c r="AW596" s="61"/>
      <c r="AX596" s="61"/>
      <c r="AY596" s="61"/>
      <c r="AZ596" s="61"/>
      <c r="BA596" s="61"/>
      <c r="BB596" s="61"/>
    </row>
    <row r="597" spans="47:54" x14ac:dyDescent="0.3">
      <c r="AU597" s="61"/>
      <c r="AV597" s="61"/>
      <c r="AW597" s="61"/>
      <c r="AX597" s="61"/>
      <c r="AY597" s="61"/>
      <c r="AZ597" s="61"/>
      <c r="BA597" s="61"/>
      <c r="BB597" s="61"/>
    </row>
    <row r="598" spans="47:54" x14ac:dyDescent="0.3">
      <c r="AU598" s="61"/>
      <c r="AV598" s="61"/>
      <c r="AW598" s="61"/>
      <c r="AX598" s="61"/>
      <c r="AY598" s="61"/>
      <c r="AZ598" s="61"/>
      <c r="BA598" s="61"/>
      <c r="BB598" s="61"/>
    </row>
    <row r="599" spans="47:54" x14ac:dyDescent="0.3">
      <c r="AU599" s="61"/>
      <c r="AV599" s="61"/>
      <c r="AW599" s="61"/>
      <c r="AX599" s="61"/>
      <c r="AY599" s="61"/>
      <c r="AZ599" s="61"/>
      <c r="BA599" s="61"/>
      <c r="BB599" s="61"/>
    </row>
    <row r="600" spans="47:54" x14ac:dyDescent="0.3">
      <c r="AU600" s="61"/>
      <c r="AV600" s="61"/>
      <c r="AW600" s="61"/>
      <c r="AX600" s="61"/>
      <c r="AY600" s="61"/>
      <c r="AZ600" s="61"/>
      <c r="BA600" s="61"/>
      <c r="BB600" s="61"/>
    </row>
    <row r="601" spans="47:54" x14ac:dyDescent="0.3">
      <c r="AU601" s="61"/>
      <c r="AV601" s="61"/>
      <c r="AW601" s="61"/>
      <c r="AX601" s="61"/>
      <c r="AY601" s="61"/>
      <c r="AZ601" s="61"/>
      <c r="BA601" s="61"/>
      <c r="BB601" s="61"/>
    </row>
    <row r="602" spans="47:54" x14ac:dyDescent="0.3">
      <c r="AU602" s="61"/>
      <c r="AV602" s="61"/>
      <c r="AW602" s="61"/>
      <c r="AX602" s="61"/>
      <c r="AY602" s="61"/>
      <c r="AZ602" s="61"/>
      <c r="BA602" s="61"/>
      <c r="BB602" s="61"/>
    </row>
    <row r="603" spans="47:54" x14ac:dyDescent="0.3">
      <c r="AU603" s="61"/>
      <c r="AV603" s="61"/>
      <c r="AW603" s="61"/>
      <c r="AX603" s="61"/>
      <c r="AY603" s="61"/>
      <c r="AZ603" s="61"/>
      <c r="BA603" s="61"/>
      <c r="BB603" s="61"/>
    </row>
    <row r="604" spans="47:54" x14ac:dyDescent="0.3">
      <c r="AU604" s="61"/>
      <c r="AV604" s="61"/>
      <c r="AW604" s="61"/>
      <c r="AX604" s="61"/>
      <c r="AY604" s="61"/>
      <c r="AZ604" s="61"/>
      <c r="BA604" s="61"/>
      <c r="BB604" s="61"/>
    </row>
    <row r="605" spans="47:54" x14ac:dyDescent="0.3">
      <c r="AU605" s="61"/>
      <c r="AV605" s="61"/>
      <c r="AW605" s="61"/>
      <c r="AX605" s="61"/>
      <c r="AY605" s="61"/>
      <c r="AZ605" s="61"/>
      <c r="BA605" s="61"/>
      <c r="BB605" s="61"/>
    </row>
    <row r="606" spans="47:54" x14ac:dyDescent="0.3">
      <c r="AU606" s="61"/>
      <c r="AV606" s="61"/>
      <c r="AW606" s="61"/>
      <c r="AX606" s="61"/>
      <c r="AY606" s="61"/>
      <c r="AZ606" s="61"/>
      <c r="BA606" s="61"/>
      <c r="BB606" s="61"/>
    </row>
    <row r="607" spans="47:54" x14ac:dyDescent="0.3">
      <c r="AU607" s="61"/>
      <c r="AV607" s="61"/>
      <c r="AW607" s="61"/>
      <c r="AX607" s="61"/>
      <c r="AY607" s="61"/>
      <c r="AZ607" s="61"/>
      <c r="BA607" s="61"/>
      <c r="BB607" s="61"/>
    </row>
    <row r="608" spans="47:54" x14ac:dyDescent="0.3">
      <c r="AU608" s="61"/>
      <c r="AV608" s="61"/>
      <c r="AW608" s="61"/>
      <c r="AX608" s="61"/>
      <c r="AY608" s="61"/>
      <c r="AZ608" s="61"/>
      <c r="BA608" s="61"/>
      <c r="BB608" s="61"/>
    </row>
    <row r="609" spans="47:54" x14ac:dyDescent="0.3">
      <c r="AU609" s="61"/>
      <c r="AV609" s="61"/>
      <c r="AW609" s="61"/>
      <c r="AX609" s="61"/>
      <c r="AY609" s="61"/>
      <c r="AZ609" s="61"/>
      <c r="BA609" s="61"/>
      <c r="BB609" s="61"/>
    </row>
    <row r="610" spans="47:54" x14ac:dyDescent="0.3">
      <c r="AU610" s="61"/>
      <c r="AV610" s="61"/>
      <c r="AW610" s="61"/>
      <c r="AX610" s="61"/>
      <c r="AY610" s="61"/>
      <c r="AZ610" s="61"/>
      <c r="BA610" s="61"/>
      <c r="BB610" s="61"/>
    </row>
    <row r="611" spans="47:54" x14ac:dyDescent="0.3">
      <c r="AU611" s="61"/>
      <c r="AV611" s="61"/>
      <c r="AW611" s="61"/>
      <c r="AX611" s="61"/>
      <c r="AY611" s="61"/>
      <c r="AZ611" s="61"/>
      <c r="BA611" s="61"/>
      <c r="BB611" s="61"/>
    </row>
    <row r="612" spans="47:54" x14ac:dyDescent="0.3">
      <c r="AU612" s="61"/>
      <c r="AV612" s="61"/>
      <c r="AW612" s="61"/>
      <c r="AX612" s="61"/>
      <c r="AY612" s="61"/>
      <c r="AZ612" s="61"/>
      <c r="BA612" s="61"/>
      <c r="BB612" s="61"/>
    </row>
    <row r="613" spans="47:54" x14ac:dyDescent="0.3">
      <c r="AU613" s="61"/>
      <c r="AV613" s="61"/>
      <c r="AW613" s="61"/>
      <c r="AX613" s="61"/>
      <c r="AY613" s="61"/>
      <c r="AZ613" s="61"/>
      <c r="BA613" s="61"/>
      <c r="BB613" s="61"/>
    </row>
    <row r="614" spans="47:54" x14ac:dyDescent="0.3">
      <c r="AU614" s="61"/>
      <c r="AV614" s="61"/>
      <c r="AW614" s="61"/>
      <c r="AX614" s="61"/>
      <c r="AY614" s="61"/>
      <c r="AZ614" s="61"/>
      <c r="BA614" s="61"/>
      <c r="BB614" s="61"/>
    </row>
    <row r="615" spans="47:54" x14ac:dyDescent="0.3">
      <c r="AU615" s="61"/>
      <c r="AV615" s="61"/>
      <c r="AW615" s="61"/>
      <c r="AX615" s="61"/>
      <c r="AY615" s="61"/>
      <c r="AZ615" s="61"/>
      <c r="BA615" s="61"/>
      <c r="BB615" s="61"/>
    </row>
    <row r="616" spans="47:54" x14ac:dyDescent="0.3">
      <c r="AU616" s="61"/>
      <c r="AV616" s="61"/>
      <c r="AW616" s="61"/>
      <c r="AX616" s="61"/>
      <c r="AY616" s="61"/>
      <c r="AZ616" s="61"/>
      <c r="BA616" s="61"/>
      <c r="BB616" s="61"/>
    </row>
    <row r="617" spans="47:54" x14ac:dyDescent="0.3">
      <c r="AU617" s="61"/>
      <c r="AV617" s="61"/>
      <c r="AW617" s="61"/>
      <c r="AX617" s="61"/>
      <c r="AY617" s="61"/>
      <c r="AZ617" s="61"/>
      <c r="BA617" s="61"/>
      <c r="BB617" s="61"/>
    </row>
    <row r="618" spans="47:54" x14ac:dyDescent="0.3">
      <c r="AU618" s="61"/>
      <c r="AV618" s="61"/>
      <c r="AW618" s="61"/>
      <c r="AX618" s="61"/>
      <c r="AY618" s="61"/>
      <c r="AZ618" s="61"/>
      <c r="BA618" s="61"/>
      <c r="BB618" s="61"/>
    </row>
    <row r="619" spans="47:54" x14ac:dyDescent="0.3">
      <c r="AU619" s="61"/>
      <c r="AV619" s="61"/>
      <c r="AW619" s="61"/>
      <c r="AX619" s="61"/>
      <c r="AY619" s="61"/>
      <c r="AZ619" s="61"/>
      <c r="BA619" s="61"/>
      <c r="BB619" s="61"/>
    </row>
    <row r="620" spans="47:54" x14ac:dyDescent="0.3">
      <c r="AU620" s="61"/>
      <c r="AV620" s="61"/>
      <c r="AW620" s="61"/>
      <c r="AX620" s="61"/>
      <c r="AY620" s="61"/>
      <c r="AZ620" s="61"/>
      <c r="BA620" s="61"/>
      <c r="BB620" s="61"/>
    </row>
    <row r="621" spans="47:54" x14ac:dyDescent="0.3">
      <c r="AU621" s="61"/>
      <c r="AV621" s="61"/>
      <c r="AW621" s="61"/>
      <c r="AX621" s="61"/>
      <c r="AY621" s="61"/>
      <c r="AZ621" s="61"/>
      <c r="BA621" s="61"/>
      <c r="BB621" s="61"/>
    </row>
    <row r="622" spans="47:54" x14ac:dyDescent="0.3">
      <c r="AU622" s="61"/>
      <c r="AV622" s="61"/>
      <c r="AW622" s="61"/>
      <c r="AX622" s="61"/>
      <c r="AY622" s="61"/>
      <c r="AZ622" s="61"/>
      <c r="BA622" s="61"/>
      <c r="BB622" s="61"/>
    </row>
    <row r="623" spans="47:54" x14ac:dyDescent="0.3">
      <c r="AU623" s="61"/>
      <c r="AV623" s="61"/>
      <c r="AW623" s="61"/>
      <c r="AX623" s="61"/>
      <c r="AY623" s="61"/>
      <c r="AZ623" s="61"/>
      <c r="BA623" s="61"/>
      <c r="BB623" s="61"/>
    </row>
    <row r="624" spans="47:54" x14ac:dyDescent="0.3">
      <c r="AU624" s="61"/>
      <c r="AV624" s="61"/>
      <c r="AW624" s="61"/>
      <c r="AX624" s="61"/>
      <c r="AY624" s="61"/>
      <c r="AZ624" s="61"/>
      <c r="BA624" s="61"/>
      <c r="BB624" s="61"/>
    </row>
    <row r="625" spans="47:54" x14ac:dyDescent="0.3">
      <c r="AU625" s="61"/>
      <c r="AV625" s="61"/>
      <c r="AW625" s="61"/>
      <c r="AX625" s="61"/>
      <c r="AY625" s="61"/>
      <c r="AZ625" s="61"/>
      <c r="BA625" s="61"/>
      <c r="BB625" s="61"/>
    </row>
    <row r="626" spans="47:54" x14ac:dyDescent="0.3">
      <c r="AU626" s="61"/>
      <c r="AV626" s="61"/>
      <c r="AW626" s="61"/>
      <c r="AX626" s="61"/>
      <c r="AY626" s="61"/>
      <c r="AZ626" s="61"/>
      <c r="BA626" s="61"/>
      <c r="BB626" s="61"/>
    </row>
    <row r="627" spans="47:54" x14ac:dyDescent="0.3">
      <c r="AU627" s="61"/>
      <c r="AV627" s="61"/>
      <c r="AW627" s="61"/>
      <c r="AX627" s="61"/>
      <c r="AY627" s="61"/>
      <c r="AZ627" s="61"/>
      <c r="BA627" s="61"/>
      <c r="BB627" s="61"/>
    </row>
    <row r="628" spans="47:54" x14ac:dyDescent="0.3">
      <c r="AU628" s="61"/>
      <c r="AV628" s="61"/>
      <c r="AW628" s="61"/>
      <c r="AX628" s="61"/>
      <c r="AY628" s="61"/>
      <c r="AZ628" s="61"/>
      <c r="BA628" s="61"/>
      <c r="BB628" s="61"/>
    </row>
    <row r="629" spans="47:54" x14ac:dyDescent="0.3">
      <c r="AU629" s="61"/>
      <c r="AV629" s="61"/>
      <c r="AW629" s="61"/>
      <c r="AX629" s="61"/>
      <c r="AY629" s="61"/>
      <c r="AZ629" s="61"/>
      <c r="BA629" s="61"/>
      <c r="BB629" s="61"/>
    </row>
    <row r="630" spans="47:54" x14ac:dyDescent="0.3">
      <c r="AU630" s="61"/>
      <c r="AV630" s="61"/>
      <c r="AW630" s="61"/>
      <c r="AX630" s="61"/>
      <c r="AY630" s="61"/>
      <c r="AZ630" s="61"/>
      <c r="BA630" s="61"/>
      <c r="BB630" s="61"/>
    </row>
    <row r="631" spans="47:54" x14ac:dyDescent="0.3">
      <c r="AU631" s="61"/>
      <c r="AV631" s="61"/>
      <c r="AW631" s="61"/>
      <c r="AX631" s="61"/>
      <c r="AY631" s="61"/>
      <c r="AZ631" s="61"/>
      <c r="BA631" s="61"/>
      <c r="BB631" s="61"/>
    </row>
    <row r="632" spans="47:54" x14ac:dyDescent="0.3">
      <c r="AU632" s="61"/>
      <c r="AV632" s="61"/>
      <c r="AW632" s="61"/>
      <c r="AX632" s="61"/>
      <c r="AY632" s="61"/>
      <c r="AZ632" s="61"/>
      <c r="BA632" s="61"/>
      <c r="BB632" s="61"/>
    </row>
    <row r="633" spans="47:54" x14ac:dyDescent="0.3">
      <c r="AU633" s="61"/>
      <c r="AV633" s="61"/>
      <c r="AW633" s="61"/>
      <c r="AX633" s="61"/>
      <c r="AY633" s="61"/>
      <c r="AZ633" s="61"/>
      <c r="BA633" s="61"/>
      <c r="BB633" s="61"/>
    </row>
    <row r="634" spans="47:54" x14ac:dyDescent="0.3">
      <c r="AU634" s="61"/>
      <c r="AV634" s="61"/>
      <c r="AW634" s="61"/>
      <c r="AX634" s="61"/>
      <c r="AY634" s="61"/>
      <c r="AZ634" s="61"/>
      <c r="BA634" s="61"/>
      <c r="BB634" s="61"/>
    </row>
    <row r="635" spans="47:54" x14ac:dyDescent="0.3">
      <c r="AU635" s="61"/>
      <c r="AV635" s="61"/>
      <c r="AW635" s="61"/>
      <c r="AX635" s="61"/>
      <c r="AY635" s="61"/>
      <c r="AZ635" s="61"/>
      <c r="BA635" s="61"/>
      <c r="BB635" s="61"/>
    </row>
    <row r="636" spans="47:54" x14ac:dyDescent="0.3">
      <c r="AU636" s="61"/>
      <c r="AV636" s="61"/>
      <c r="AW636" s="61"/>
      <c r="AX636" s="61"/>
      <c r="AY636" s="61"/>
      <c r="AZ636" s="61"/>
      <c r="BA636" s="61"/>
      <c r="BB636" s="61"/>
    </row>
    <row r="637" spans="47:54" x14ac:dyDescent="0.3">
      <c r="AU637" s="61"/>
      <c r="AV637" s="61"/>
      <c r="AW637" s="61"/>
      <c r="AX637" s="61"/>
      <c r="AY637" s="61"/>
      <c r="AZ637" s="61"/>
      <c r="BA637" s="61"/>
      <c r="BB637" s="61"/>
    </row>
    <row r="638" spans="47:54" x14ac:dyDescent="0.3">
      <c r="AU638" s="61"/>
      <c r="AV638" s="61"/>
      <c r="AW638" s="61"/>
      <c r="AX638" s="61"/>
      <c r="AY638" s="61"/>
      <c r="AZ638" s="61"/>
      <c r="BA638" s="61"/>
      <c r="BB638" s="61"/>
    </row>
    <row r="639" spans="47:54" x14ac:dyDescent="0.3">
      <c r="AU639" s="61"/>
      <c r="AV639" s="61"/>
      <c r="AW639" s="61"/>
      <c r="AX639" s="61"/>
      <c r="AY639" s="61"/>
      <c r="AZ639" s="61"/>
      <c r="BA639" s="61"/>
      <c r="BB639" s="61"/>
    </row>
    <row r="640" spans="47:54" x14ac:dyDescent="0.3">
      <c r="AU640" s="61"/>
      <c r="AV640" s="61"/>
      <c r="AW640" s="61"/>
      <c r="AX640" s="61"/>
      <c r="AY640" s="61"/>
      <c r="AZ640" s="61"/>
      <c r="BA640" s="61"/>
      <c r="BB640" s="61"/>
    </row>
    <row r="641" spans="47:54" x14ac:dyDescent="0.3">
      <c r="AU641" s="61"/>
      <c r="AV641" s="61"/>
      <c r="AW641" s="61"/>
      <c r="AX641" s="61"/>
      <c r="AY641" s="61"/>
      <c r="AZ641" s="61"/>
      <c r="BA641" s="61"/>
      <c r="BB641" s="61"/>
    </row>
    <row r="642" spans="47:54" x14ac:dyDescent="0.3">
      <c r="AU642" s="61"/>
      <c r="AV642" s="61"/>
      <c r="AW642" s="61"/>
      <c r="AX642" s="61"/>
      <c r="AY642" s="61"/>
      <c r="AZ642" s="61"/>
      <c r="BA642" s="61"/>
      <c r="BB642" s="61"/>
    </row>
    <row r="643" spans="47:54" x14ac:dyDescent="0.3">
      <c r="AU643" s="61"/>
      <c r="AV643" s="61"/>
      <c r="AW643" s="61"/>
      <c r="AX643" s="61"/>
      <c r="AY643" s="61"/>
      <c r="AZ643" s="61"/>
      <c r="BA643" s="61"/>
      <c r="BB643" s="61"/>
    </row>
    <row r="644" spans="47:54" x14ac:dyDescent="0.3">
      <c r="AU644" s="61"/>
      <c r="AV644" s="61"/>
      <c r="AW644" s="61"/>
      <c r="AX644" s="61"/>
      <c r="AY644" s="61"/>
      <c r="AZ644" s="61"/>
      <c r="BA644" s="61"/>
      <c r="BB644" s="61"/>
    </row>
    <row r="645" spans="47:54" x14ac:dyDescent="0.3">
      <c r="AU645" s="61"/>
      <c r="AV645" s="61"/>
      <c r="AW645" s="61"/>
      <c r="AX645" s="61"/>
      <c r="AY645" s="61"/>
      <c r="AZ645" s="61"/>
      <c r="BA645" s="61"/>
      <c r="BB645" s="61"/>
    </row>
    <row r="646" spans="47:54" x14ac:dyDescent="0.3">
      <c r="AU646" s="61"/>
      <c r="AV646" s="61"/>
      <c r="AW646" s="61"/>
      <c r="AX646" s="61"/>
      <c r="AY646" s="61"/>
      <c r="AZ646" s="61"/>
      <c r="BA646" s="61"/>
      <c r="BB646" s="61"/>
    </row>
    <row r="647" spans="47:54" x14ac:dyDescent="0.3">
      <c r="AU647" s="61"/>
      <c r="AV647" s="61"/>
      <c r="AW647" s="61"/>
      <c r="AX647" s="61"/>
      <c r="AY647" s="61"/>
      <c r="AZ647" s="61"/>
      <c r="BA647" s="61"/>
      <c r="BB647" s="61"/>
    </row>
    <row r="648" spans="47:54" x14ac:dyDescent="0.3">
      <c r="AU648" s="61"/>
      <c r="AV648" s="61"/>
      <c r="AW648" s="61"/>
      <c r="AX648" s="61"/>
      <c r="AY648" s="61"/>
      <c r="AZ648" s="61"/>
      <c r="BA648" s="61"/>
      <c r="BB648" s="61"/>
    </row>
    <row r="649" spans="47:54" x14ac:dyDescent="0.3">
      <c r="AU649" s="61"/>
      <c r="AV649" s="61"/>
      <c r="AW649" s="61"/>
      <c r="AX649" s="61"/>
      <c r="AY649" s="61"/>
      <c r="AZ649" s="61"/>
      <c r="BA649" s="61"/>
      <c r="BB649" s="61"/>
    </row>
    <row r="650" spans="47:54" x14ac:dyDescent="0.3">
      <c r="AU650" s="61"/>
      <c r="AV650" s="61"/>
      <c r="AW650" s="61"/>
      <c r="AX650" s="61"/>
      <c r="AY650" s="61"/>
      <c r="AZ650" s="61"/>
      <c r="BA650" s="61"/>
      <c r="BB650" s="61"/>
    </row>
    <row r="651" spans="47:54" x14ac:dyDescent="0.3">
      <c r="AU651" s="61"/>
      <c r="AV651" s="61"/>
      <c r="AW651" s="61"/>
      <c r="AX651" s="61"/>
      <c r="AY651" s="61"/>
      <c r="AZ651" s="61"/>
      <c r="BA651" s="61"/>
      <c r="BB651" s="61"/>
    </row>
    <row r="652" spans="47:54" x14ac:dyDescent="0.3">
      <c r="AU652" s="61"/>
      <c r="AV652" s="61"/>
      <c r="AW652" s="61"/>
      <c r="AX652" s="61"/>
      <c r="AY652" s="61"/>
      <c r="AZ652" s="61"/>
      <c r="BA652" s="61"/>
      <c r="BB652" s="61"/>
    </row>
    <row r="653" spans="47:54" x14ac:dyDescent="0.3">
      <c r="AU653" s="61"/>
      <c r="AV653" s="61"/>
      <c r="AW653" s="61"/>
      <c r="AX653" s="61"/>
      <c r="AY653" s="61"/>
      <c r="AZ653" s="61"/>
      <c r="BA653" s="61"/>
      <c r="BB653" s="61"/>
    </row>
    <row r="654" spans="47:54" x14ac:dyDescent="0.3">
      <c r="AU654" s="61"/>
      <c r="AV654" s="61"/>
      <c r="AW654" s="61"/>
      <c r="AX654" s="61"/>
      <c r="AY654" s="61"/>
      <c r="AZ654" s="61"/>
      <c r="BA654" s="61"/>
      <c r="BB654" s="61"/>
    </row>
    <row r="655" spans="47:54" x14ac:dyDescent="0.3">
      <c r="AU655" s="61"/>
      <c r="AV655" s="61"/>
      <c r="AW655" s="61"/>
      <c r="AX655" s="61"/>
      <c r="AY655" s="61"/>
      <c r="AZ655" s="61"/>
      <c r="BA655" s="61"/>
      <c r="BB655" s="61"/>
    </row>
    <row r="656" spans="47:54" x14ac:dyDescent="0.3">
      <c r="AU656" s="61"/>
      <c r="AV656" s="61"/>
      <c r="AW656" s="61"/>
      <c r="AX656" s="61"/>
      <c r="AY656" s="61"/>
      <c r="AZ656" s="61"/>
      <c r="BA656" s="61"/>
      <c r="BB656" s="61"/>
    </row>
    <row r="657" spans="47:54" x14ac:dyDescent="0.3">
      <c r="AU657" s="61"/>
      <c r="AV657" s="61"/>
      <c r="AW657" s="61"/>
      <c r="AX657" s="61"/>
      <c r="AY657" s="61"/>
      <c r="AZ657" s="61"/>
      <c r="BA657" s="61"/>
      <c r="BB657" s="61"/>
    </row>
    <row r="658" spans="47:54" x14ac:dyDescent="0.3">
      <c r="AU658" s="61"/>
      <c r="AV658" s="61"/>
      <c r="AW658" s="61"/>
      <c r="AX658" s="61"/>
      <c r="AY658" s="61"/>
      <c r="AZ658" s="61"/>
      <c r="BA658" s="61"/>
      <c r="BB658" s="61"/>
    </row>
    <row r="659" spans="47:54" x14ac:dyDescent="0.3">
      <c r="AU659" s="61"/>
      <c r="AV659" s="61"/>
      <c r="AW659" s="61"/>
      <c r="AX659" s="61"/>
      <c r="AY659" s="61"/>
      <c r="AZ659" s="61"/>
      <c r="BA659" s="61"/>
      <c r="BB659" s="61"/>
    </row>
    <row r="660" spans="47:54" x14ac:dyDescent="0.3">
      <c r="AU660" s="61"/>
      <c r="AV660" s="61"/>
      <c r="AW660" s="61"/>
      <c r="AX660" s="61"/>
      <c r="AY660" s="61"/>
      <c r="AZ660" s="61"/>
      <c r="BA660" s="61"/>
      <c r="BB660" s="61"/>
    </row>
    <row r="661" spans="47:54" x14ac:dyDescent="0.3">
      <c r="AU661" s="61"/>
      <c r="AV661" s="61"/>
      <c r="AW661" s="61"/>
      <c r="AX661" s="61"/>
      <c r="AY661" s="61"/>
      <c r="AZ661" s="61"/>
      <c r="BA661" s="61"/>
      <c r="BB661" s="61"/>
    </row>
    <row r="662" spans="47:54" x14ac:dyDescent="0.3">
      <c r="AU662" s="61"/>
      <c r="AV662" s="61"/>
      <c r="AW662" s="61"/>
      <c r="AX662" s="61"/>
      <c r="AY662" s="61"/>
      <c r="AZ662" s="61"/>
      <c r="BA662" s="61"/>
      <c r="BB662" s="61"/>
    </row>
    <row r="663" spans="47:54" x14ac:dyDescent="0.3">
      <c r="AU663" s="61"/>
      <c r="AV663" s="61"/>
      <c r="AW663" s="61"/>
      <c r="AX663" s="61"/>
      <c r="AY663" s="61"/>
      <c r="AZ663" s="61"/>
      <c r="BA663" s="61"/>
      <c r="BB663" s="61"/>
    </row>
    <row r="664" spans="47:54" x14ac:dyDescent="0.3">
      <c r="AU664" s="61"/>
      <c r="AV664" s="61"/>
      <c r="AW664" s="61"/>
      <c r="AX664" s="61"/>
      <c r="AY664" s="61"/>
      <c r="AZ664" s="61"/>
      <c r="BA664" s="61"/>
      <c r="BB664" s="61"/>
    </row>
    <row r="665" spans="47:54" x14ac:dyDescent="0.3">
      <c r="AU665" s="61"/>
      <c r="AV665" s="61"/>
      <c r="AW665" s="61"/>
      <c r="AX665" s="61"/>
      <c r="AY665" s="61"/>
      <c r="AZ665" s="61"/>
      <c r="BA665" s="61"/>
      <c r="BB665" s="61"/>
    </row>
    <row r="666" spans="47:54" x14ac:dyDescent="0.3">
      <c r="AU666" s="61"/>
      <c r="AV666" s="61"/>
      <c r="AW666" s="61"/>
      <c r="AX666" s="61"/>
      <c r="AY666" s="61"/>
      <c r="AZ666" s="61"/>
      <c r="BA666" s="61"/>
      <c r="BB666" s="61"/>
    </row>
    <row r="667" spans="47:54" x14ac:dyDescent="0.3">
      <c r="AU667" s="61"/>
      <c r="AV667" s="61"/>
      <c r="AW667" s="61"/>
      <c r="AX667" s="61"/>
      <c r="AY667" s="61"/>
      <c r="AZ667" s="61"/>
      <c r="BA667" s="61"/>
      <c r="BB667" s="61"/>
    </row>
    <row r="668" spans="47:54" x14ac:dyDescent="0.3">
      <c r="AU668" s="61"/>
      <c r="AV668" s="61"/>
      <c r="AW668" s="61"/>
      <c r="AX668" s="61"/>
      <c r="AY668" s="61"/>
      <c r="AZ668" s="61"/>
      <c r="BA668" s="61"/>
      <c r="BB668" s="61"/>
    </row>
    <row r="669" spans="47:54" x14ac:dyDescent="0.3">
      <c r="AU669" s="61"/>
      <c r="AV669" s="61"/>
      <c r="AW669" s="61"/>
      <c r="AX669" s="61"/>
      <c r="AY669" s="61"/>
      <c r="AZ669" s="61"/>
      <c r="BA669" s="61"/>
      <c r="BB669" s="61"/>
    </row>
    <row r="670" spans="47:54" x14ac:dyDescent="0.3">
      <c r="AU670" s="61"/>
      <c r="AV670" s="61"/>
      <c r="AW670" s="61"/>
      <c r="AX670" s="61"/>
      <c r="AY670" s="61"/>
      <c r="AZ670" s="61"/>
      <c r="BA670" s="61"/>
      <c r="BB670" s="61"/>
    </row>
    <row r="671" spans="47:54" x14ac:dyDescent="0.3">
      <c r="AU671" s="61"/>
      <c r="AV671" s="61"/>
      <c r="AW671" s="61"/>
      <c r="AX671" s="61"/>
      <c r="AY671" s="61"/>
      <c r="AZ671" s="61"/>
      <c r="BA671" s="61"/>
      <c r="BB671" s="61"/>
    </row>
    <row r="672" spans="47:54" x14ac:dyDescent="0.3">
      <c r="AU672" s="61"/>
      <c r="AV672" s="61"/>
      <c r="AW672" s="61"/>
      <c r="AX672" s="61"/>
      <c r="AY672" s="61"/>
      <c r="AZ672" s="61"/>
      <c r="BA672" s="61"/>
      <c r="BB672" s="61"/>
    </row>
    <row r="673" spans="47:54" x14ac:dyDescent="0.3">
      <c r="AU673" s="61"/>
      <c r="AV673" s="61"/>
      <c r="AW673" s="61"/>
      <c r="AX673" s="61"/>
      <c r="AY673" s="61"/>
      <c r="AZ673" s="61"/>
      <c r="BA673" s="61"/>
      <c r="BB673" s="61"/>
    </row>
    <row r="674" spans="47:54" x14ac:dyDescent="0.3">
      <c r="AU674" s="61"/>
      <c r="AV674" s="61"/>
      <c r="AW674" s="61"/>
      <c r="AX674" s="61"/>
      <c r="AY674" s="61"/>
      <c r="AZ674" s="61"/>
      <c r="BA674" s="61"/>
      <c r="BB674" s="61"/>
    </row>
    <row r="675" spans="47:54" x14ac:dyDescent="0.3">
      <c r="AU675" s="61"/>
      <c r="AV675" s="61"/>
      <c r="AW675" s="61"/>
      <c r="AX675" s="61"/>
      <c r="AY675" s="61"/>
      <c r="AZ675" s="61"/>
      <c r="BA675" s="61"/>
      <c r="BB675" s="61"/>
    </row>
    <row r="676" spans="47:54" x14ac:dyDescent="0.3">
      <c r="AU676" s="61"/>
      <c r="AV676" s="61"/>
      <c r="AW676" s="61"/>
      <c r="AX676" s="61"/>
      <c r="AY676" s="61"/>
      <c r="AZ676" s="61"/>
      <c r="BA676" s="61"/>
      <c r="BB676" s="61"/>
    </row>
    <row r="677" spans="47:54" x14ac:dyDescent="0.3">
      <c r="AU677" s="61"/>
      <c r="AV677" s="61"/>
      <c r="AW677" s="61"/>
      <c r="AX677" s="61"/>
      <c r="AY677" s="61"/>
      <c r="AZ677" s="61"/>
      <c r="BA677" s="61"/>
      <c r="BB677" s="61"/>
    </row>
    <row r="678" spans="47:54" x14ac:dyDescent="0.3">
      <c r="AU678" s="61"/>
      <c r="AV678" s="61"/>
      <c r="AW678" s="61"/>
      <c r="AX678" s="61"/>
      <c r="AY678" s="61"/>
      <c r="AZ678" s="61"/>
      <c r="BA678" s="61"/>
      <c r="BB678" s="61"/>
    </row>
    <row r="679" spans="47:54" x14ac:dyDescent="0.3">
      <c r="AU679" s="61"/>
      <c r="AV679" s="61"/>
      <c r="AW679" s="61"/>
      <c r="AX679" s="61"/>
      <c r="AY679" s="61"/>
      <c r="AZ679" s="61"/>
      <c r="BA679" s="61"/>
      <c r="BB679" s="61"/>
    </row>
    <row r="680" spans="47:54" x14ac:dyDescent="0.3">
      <c r="AU680" s="61"/>
      <c r="AV680" s="61"/>
      <c r="AW680" s="61"/>
      <c r="AX680" s="61"/>
      <c r="AY680" s="61"/>
      <c r="AZ680" s="61"/>
      <c r="BA680" s="61"/>
      <c r="BB680" s="61"/>
    </row>
    <row r="681" spans="47:54" x14ac:dyDescent="0.3">
      <c r="AU681" s="61"/>
      <c r="AV681" s="61"/>
      <c r="AW681" s="61"/>
      <c r="AX681" s="61"/>
      <c r="AY681" s="61"/>
      <c r="AZ681" s="61"/>
      <c r="BA681" s="61"/>
      <c r="BB681" s="61"/>
    </row>
    <row r="682" spans="47:54" x14ac:dyDescent="0.3">
      <c r="AU682" s="61"/>
      <c r="AV682" s="61"/>
      <c r="AW682" s="61"/>
      <c r="AX682" s="61"/>
      <c r="AY682" s="61"/>
      <c r="AZ682" s="61"/>
      <c r="BA682" s="61"/>
      <c r="BB682" s="61"/>
    </row>
    <row r="683" spans="47:54" x14ac:dyDescent="0.3">
      <c r="AU683" s="61"/>
      <c r="AV683" s="61"/>
      <c r="AW683" s="61"/>
      <c r="AX683" s="61"/>
      <c r="AY683" s="61"/>
      <c r="AZ683" s="61"/>
      <c r="BA683" s="61"/>
      <c r="BB683" s="61"/>
    </row>
    <row r="684" spans="47:54" x14ac:dyDescent="0.3">
      <c r="AU684" s="61"/>
      <c r="AV684" s="61"/>
      <c r="AW684" s="61"/>
      <c r="AX684" s="61"/>
      <c r="AY684" s="61"/>
      <c r="AZ684" s="61"/>
      <c r="BA684" s="61"/>
      <c r="BB684" s="61"/>
    </row>
    <row r="685" spans="47:54" x14ac:dyDescent="0.3">
      <c r="AU685" s="61"/>
      <c r="AV685" s="61"/>
      <c r="AW685" s="61"/>
      <c r="AX685" s="61"/>
      <c r="AY685" s="61"/>
      <c r="AZ685" s="61"/>
      <c r="BA685" s="61"/>
      <c r="BB685" s="61"/>
    </row>
    <row r="686" spans="47:54" x14ac:dyDescent="0.3">
      <c r="AU686" s="61"/>
      <c r="AV686" s="61"/>
      <c r="AW686" s="61"/>
      <c r="AX686" s="61"/>
      <c r="AY686" s="61"/>
      <c r="AZ686" s="61"/>
      <c r="BA686" s="61"/>
      <c r="BB686" s="61"/>
    </row>
    <row r="687" spans="47:54" x14ac:dyDescent="0.3">
      <c r="AU687" s="61"/>
      <c r="AV687" s="61"/>
      <c r="AW687" s="61"/>
      <c r="AX687" s="61"/>
      <c r="AY687" s="61"/>
      <c r="AZ687" s="61"/>
      <c r="BA687" s="61"/>
      <c r="BB687" s="61"/>
    </row>
    <row r="688" spans="47:54" x14ac:dyDescent="0.3">
      <c r="AU688" s="61"/>
      <c r="AV688" s="61"/>
      <c r="AW688" s="61"/>
      <c r="AX688" s="61"/>
      <c r="AY688" s="61"/>
      <c r="AZ688" s="61"/>
      <c r="BA688" s="61"/>
      <c r="BB688" s="61"/>
    </row>
    <row r="689" spans="47:54" x14ac:dyDescent="0.3">
      <c r="AU689" s="61"/>
      <c r="AV689" s="61"/>
      <c r="AW689" s="61"/>
      <c r="AX689" s="61"/>
      <c r="AY689" s="61"/>
      <c r="AZ689" s="61"/>
      <c r="BA689" s="61"/>
      <c r="BB689" s="61"/>
    </row>
    <row r="690" spans="47:54" x14ac:dyDescent="0.3">
      <c r="AU690" s="61"/>
      <c r="AV690" s="61"/>
      <c r="AW690" s="61"/>
      <c r="AX690" s="61"/>
      <c r="AY690" s="61"/>
      <c r="AZ690" s="61"/>
      <c r="BA690" s="61"/>
      <c r="BB690" s="61"/>
    </row>
    <row r="691" spans="47:54" x14ac:dyDescent="0.3">
      <c r="AU691" s="61"/>
      <c r="AV691" s="61"/>
      <c r="AW691" s="61"/>
      <c r="AX691" s="61"/>
      <c r="AY691" s="61"/>
      <c r="AZ691" s="61"/>
      <c r="BA691" s="61"/>
      <c r="BB691" s="61"/>
    </row>
    <row r="692" spans="47:54" x14ac:dyDescent="0.3">
      <c r="AU692" s="61"/>
      <c r="AV692" s="61"/>
      <c r="AW692" s="61"/>
      <c r="AX692" s="61"/>
      <c r="AY692" s="61"/>
      <c r="AZ692" s="61"/>
      <c r="BA692" s="61"/>
      <c r="BB692" s="61"/>
    </row>
    <row r="693" spans="47:54" x14ac:dyDescent="0.3">
      <c r="AU693" s="61"/>
      <c r="AV693" s="61"/>
      <c r="AW693" s="61"/>
      <c r="AX693" s="61"/>
      <c r="AY693" s="61"/>
      <c r="AZ693" s="61"/>
      <c r="BA693" s="61"/>
      <c r="BB693" s="61"/>
    </row>
    <row r="694" spans="47:54" x14ac:dyDescent="0.3">
      <c r="AU694" s="61"/>
      <c r="AV694" s="61"/>
      <c r="AW694" s="61"/>
      <c r="AX694" s="61"/>
      <c r="AY694" s="61"/>
      <c r="AZ694" s="61"/>
      <c r="BA694" s="61"/>
      <c r="BB694" s="61"/>
    </row>
    <row r="695" spans="47:54" x14ac:dyDescent="0.3">
      <c r="AU695" s="61"/>
      <c r="AV695" s="61"/>
      <c r="AW695" s="61"/>
      <c r="AX695" s="61"/>
      <c r="AY695" s="61"/>
      <c r="AZ695" s="61"/>
      <c r="BA695" s="61"/>
      <c r="BB695" s="61"/>
    </row>
    <row r="696" spans="47:54" x14ac:dyDescent="0.3">
      <c r="AU696" s="61"/>
      <c r="AV696" s="61"/>
      <c r="AW696" s="61"/>
      <c r="AX696" s="61"/>
      <c r="AY696" s="61"/>
      <c r="AZ696" s="61"/>
      <c r="BA696" s="61"/>
      <c r="BB696" s="61"/>
    </row>
    <row r="697" spans="47:54" x14ac:dyDescent="0.3">
      <c r="AU697" s="61"/>
      <c r="AV697" s="61"/>
      <c r="AW697" s="61"/>
      <c r="AX697" s="61"/>
      <c r="AY697" s="61"/>
      <c r="AZ697" s="61"/>
      <c r="BA697" s="61"/>
      <c r="BB697" s="61"/>
    </row>
    <row r="698" spans="47:54" x14ac:dyDescent="0.3">
      <c r="AU698" s="61"/>
      <c r="AV698" s="61"/>
      <c r="AW698" s="61"/>
      <c r="AX698" s="61"/>
      <c r="AY698" s="61"/>
      <c r="AZ698" s="61"/>
      <c r="BA698" s="61"/>
      <c r="BB698" s="61"/>
    </row>
    <row r="699" spans="47:54" x14ac:dyDescent="0.3">
      <c r="AU699" s="61"/>
      <c r="AV699" s="61"/>
      <c r="AW699" s="61"/>
      <c r="AX699" s="61"/>
      <c r="AY699" s="61"/>
      <c r="AZ699" s="61"/>
      <c r="BA699" s="61"/>
      <c r="BB699" s="61"/>
    </row>
    <row r="700" spans="47:54" x14ac:dyDescent="0.3">
      <c r="AU700" s="61"/>
      <c r="AV700" s="61"/>
      <c r="AW700" s="61"/>
      <c r="AX700" s="61"/>
      <c r="AY700" s="61"/>
      <c r="AZ700" s="61"/>
      <c r="BA700" s="61"/>
      <c r="BB700" s="61"/>
    </row>
    <row r="701" spans="47:54" x14ac:dyDescent="0.3">
      <c r="AU701" s="61"/>
      <c r="AV701" s="61"/>
      <c r="AW701" s="61"/>
      <c r="AX701" s="61"/>
      <c r="AY701" s="61"/>
      <c r="AZ701" s="61"/>
      <c r="BA701" s="61"/>
      <c r="BB701" s="61"/>
    </row>
    <row r="702" spans="47:54" x14ac:dyDescent="0.3">
      <c r="AU702" s="61"/>
      <c r="AV702" s="61"/>
      <c r="AW702" s="61"/>
      <c r="AX702" s="61"/>
      <c r="AY702" s="61"/>
      <c r="AZ702" s="61"/>
      <c r="BA702" s="61"/>
      <c r="BB702" s="61"/>
    </row>
    <row r="703" spans="47:54" x14ac:dyDescent="0.3">
      <c r="AU703" s="61"/>
      <c r="AV703" s="61"/>
      <c r="AW703" s="61"/>
      <c r="AX703" s="61"/>
      <c r="AY703" s="61"/>
      <c r="AZ703" s="61"/>
      <c r="BA703" s="61"/>
      <c r="BB703" s="61"/>
    </row>
    <row r="704" spans="47:54" x14ac:dyDescent="0.3">
      <c r="AU704" s="61"/>
      <c r="AV704" s="61"/>
      <c r="AW704" s="61"/>
      <c r="AX704" s="61"/>
      <c r="AY704" s="61"/>
      <c r="AZ704" s="61"/>
      <c r="BA704" s="61"/>
      <c r="BB704" s="61"/>
    </row>
    <row r="705" spans="47:54" x14ac:dyDescent="0.3">
      <c r="AU705" s="61"/>
      <c r="AV705" s="61"/>
      <c r="AW705" s="61"/>
      <c r="AX705" s="61"/>
      <c r="AY705" s="61"/>
      <c r="AZ705" s="61"/>
      <c r="BA705" s="61"/>
      <c r="BB705" s="61"/>
    </row>
    <row r="706" spans="47:54" x14ac:dyDescent="0.3">
      <c r="AU706" s="61"/>
      <c r="AV706" s="61"/>
      <c r="AW706" s="61"/>
      <c r="AX706" s="61"/>
      <c r="AY706" s="61"/>
      <c r="AZ706" s="61"/>
      <c r="BA706" s="61"/>
      <c r="BB706" s="61"/>
    </row>
    <row r="707" spans="47:54" x14ac:dyDescent="0.3">
      <c r="AU707" s="61"/>
      <c r="AV707" s="61"/>
      <c r="AW707" s="61"/>
      <c r="AX707" s="61"/>
      <c r="AY707" s="61"/>
      <c r="AZ707" s="61"/>
      <c r="BA707" s="61"/>
      <c r="BB707" s="61"/>
    </row>
    <row r="708" spans="47:54" x14ac:dyDescent="0.3">
      <c r="AU708" s="61"/>
      <c r="AV708" s="61"/>
      <c r="AW708" s="61"/>
      <c r="AX708" s="61"/>
      <c r="AY708" s="61"/>
      <c r="AZ708" s="61"/>
      <c r="BA708" s="61"/>
      <c r="BB708" s="61"/>
    </row>
    <row r="709" spans="47:54" x14ac:dyDescent="0.3">
      <c r="AU709" s="61"/>
      <c r="AV709" s="61"/>
      <c r="AW709" s="61"/>
      <c r="AX709" s="61"/>
      <c r="AY709" s="61"/>
      <c r="AZ709" s="61"/>
      <c r="BA709" s="61"/>
      <c r="BB709" s="61"/>
    </row>
    <row r="710" spans="47:54" x14ac:dyDescent="0.3">
      <c r="AU710" s="61"/>
      <c r="AV710" s="61"/>
      <c r="AW710" s="61"/>
      <c r="AX710" s="61"/>
      <c r="AY710" s="61"/>
      <c r="AZ710" s="61"/>
      <c r="BA710" s="61"/>
      <c r="BB710" s="61"/>
    </row>
    <row r="711" spans="47:54" x14ac:dyDescent="0.3">
      <c r="AU711" s="61"/>
      <c r="AV711" s="61"/>
      <c r="AW711" s="61"/>
      <c r="AX711" s="61"/>
      <c r="AY711" s="61"/>
      <c r="AZ711" s="61"/>
      <c r="BA711" s="61"/>
      <c r="BB711" s="61"/>
    </row>
    <row r="712" spans="47:54" x14ac:dyDescent="0.3">
      <c r="AU712" s="61"/>
      <c r="AV712" s="61"/>
      <c r="AW712" s="61"/>
      <c r="AX712" s="61"/>
      <c r="AY712" s="61"/>
      <c r="AZ712" s="61"/>
      <c r="BA712" s="61"/>
      <c r="BB712" s="61"/>
    </row>
    <row r="713" spans="47:54" x14ac:dyDescent="0.3">
      <c r="AU713" s="61"/>
      <c r="AV713" s="61"/>
      <c r="AW713" s="61"/>
      <c r="AX713" s="61"/>
      <c r="AY713" s="61"/>
      <c r="AZ713" s="61"/>
      <c r="BA713" s="61"/>
      <c r="BB713" s="61"/>
    </row>
    <row r="714" spans="47:54" x14ac:dyDescent="0.3">
      <c r="AU714" s="61"/>
      <c r="AV714" s="61"/>
      <c r="AW714" s="61"/>
      <c r="AX714" s="61"/>
      <c r="AY714" s="61"/>
      <c r="AZ714" s="61"/>
      <c r="BA714" s="61"/>
      <c r="BB714" s="61"/>
    </row>
    <row r="715" spans="47:54" x14ac:dyDescent="0.3">
      <c r="AU715" s="61"/>
      <c r="AV715" s="61"/>
      <c r="AW715" s="61"/>
      <c r="AX715" s="61"/>
      <c r="AY715" s="61"/>
      <c r="AZ715" s="61"/>
      <c r="BA715" s="61"/>
      <c r="BB715" s="61"/>
    </row>
    <row r="716" spans="47:54" x14ac:dyDescent="0.3">
      <c r="AU716" s="61"/>
      <c r="AV716" s="61"/>
      <c r="AW716" s="61"/>
      <c r="AX716" s="61"/>
      <c r="AY716" s="61"/>
      <c r="AZ716" s="61"/>
      <c r="BA716" s="61"/>
      <c r="BB716" s="61"/>
    </row>
    <row r="717" spans="47:54" x14ac:dyDescent="0.3">
      <c r="AU717" s="61"/>
      <c r="AV717" s="61"/>
      <c r="AW717" s="61"/>
      <c r="AX717" s="61"/>
      <c r="AY717" s="61"/>
      <c r="AZ717" s="61"/>
      <c r="BA717" s="61"/>
      <c r="BB717" s="61"/>
    </row>
    <row r="718" spans="47:54" x14ac:dyDescent="0.3">
      <c r="AU718" s="61"/>
      <c r="AV718" s="61"/>
      <c r="AW718" s="61"/>
      <c r="AX718" s="61"/>
      <c r="AY718" s="61"/>
      <c r="AZ718" s="61"/>
      <c r="BA718" s="61"/>
      <c r="BB718" s="61"/>
    </row>
    <row r="719" spans="47:54" x14ac:dyDescent="0.3">
      <c r="AU719" s="61"/>
      <c r="AV719" s="61"/>
      <c r="AW719" s="61"/>
      <c r="AX719" s="61"/>
      <c r="AY719" s="61"/>
      <c r="AZ719" s="61"/>
      <c r="BA719" s="61"/>
      <c r="BB719" s="61"/>
    </row>
    <row r="720" spans="47:54" x14ac:dyDescent="0.3">
      <c r="AU720" s="61"/>
      <c r="AV720" s="61"/>
      <c r="AW720" s="61"/>
      <c r="AX720" s="61"/>
      <c r="AY720" s="61"/>
      <c r="AZ720" s="61"/>
      <c r="BA720" s="61"/>
      <c r="BB720" s="61"/>
    </row>
    <row r="721" spans="47:54" x14ac:dyDescent="0.3">
      <c r="AU721" s="61"/>
      <c r="AV721" s="61"/>
      <c r="AW721" s="61"/>
      <c r="AX721" s="61"/>
      <c r="AY721" s="61"/>
      <c r="AZ721" s="61"/>
      <c r="BA721" s="61"/>
      <c r="BB721" s="61"/>
    </row>
    <row r="722" spans="47:54" x14ac:dyDescent="0.3">
      <c r="AU722" s="61"/>
      <c r="AV722" s="61"/>
      <c r="AW722" s="61"/>
      <c r="AX722" s="61"/>
      <c r="AY722" s="61"/>
      <c r="AZ722" s="61"/>
      <c r="BA722" s="61"/>
      <c r="BB722" s="61"/>
    </row>
    <row r="723" spans="47:54" x14ac:dyDescent="0.3">
      <c r="AU723" s="61"/>
      <c r="AV723" s="61"/>
      <c r="AW723" s="61"/>
      <c r="AX723" s="61"/>
      <c r="AY723" s="61"/>
      <c r="AZ723" s="61"/>
      <c r="BA723" s="61"/>
      <c r="BB723" s="61"/>
    </row>
    <row r="724" spans="47:54" x14ac:dyDescent="0.3">
      <c r="AU724" s="61"/>
      <c r="AV724" s="61"/>
      <c r="AW724" s="61"/>
      <c r="AX724" s="61"/>
      <c r="AY724" s="61"/>
      <c r="AZ724" s="61"/>
      <c r="BA724" s="61"/>
      <c r="BB724" s="61"/>
    </row>
    <row r="725" spans="47:54" x14ac:dyDescent="0.3">
      <c r="AU725" s="61"/>
      <c r="AV725" s="61"/>
      <c r="AW725" s="61"/>
      <c r="AX725" s="61"/>
      <c r="AY725" s="61"/>
      <c r="AZ725" s="61"/>
      <c r="BA725" s="61"/>
      <c r="BB725" s="61"/>
    </row>
    <row r="726" spans="47:54" x14ac:dyDescent="0.3">
      <c r="AU726" s="61"/>
      <c r="AV726" s="61"/>
      <c r="AW726" s="61"/>
      <c r="AX726" s="61"/>
      <c r="AY726" s="61"/>
      <c r="AZ726" s="61"/>
      <c r="BA726" s="61"/>
      <c r="BB726" s="61"/>
    </row>
    <row r="727" spans="47:54" x14ac:dyDescent="0.3">
      <c r="AU727" s="61"/>
      <c r="AV727" s="61"/>
      <c r="AW727" s="61"/>
      <c r="AX727" s="61"/>
      <c r="AY727" s="61"/>
      <c r="AZ727" s="61"/>
      <c r="BA727" s="61"/>
      <c r="BB727" s="61"/>
    </row>
    <row r="728" spans="47:54" x14ac:dyDescent="0.3">
      <c r="AU728" s="61"/>
      <c r="AV728" s="61"/>
      <c r="AW728" s="61"/>
      <c r="AX728" s="61"/>
      <c r="AY728" s="61"/>
      <c r="AZ728" s="61"/>
      <c r="BA728" s="61"/>
      <c r="BB728" s="61"/>
    </row>
    <row r="729" spans="47:54" x14ac:dyDescent="0.3">
      <c r="AU729" s="61"/>
      <c r="AV729" s="61"/>
      <c r="AW729" s="61"/>
      <c r="AX729" s="61"/>
      <c r="AY729" s="61"/>
      <c r="AZ729" s="61"/>
      <c r="BA729" s="61"/>
      <c r="BB729" s="61"/>
    </row>
    <row r="730" spans="47:54" x14ac:dyDescent="0.3">
      <c r="AU730" s="61"/>
      <c r="AV730" s="61"/>
      <c r="AW730" s="61"/>
      <c r="AX730" s="61"/>
      <c r="AY730" s="61"/>
      <c r="AZ730" s="61"/>
      <c r="BA730" s="61"/>
      <c r="BB730" s="61"/>
    </row>
    <row r="731" spans="47:54" x14ac:dyDescent="0.3">
      <c r="AU731" s="61"/>
      <c r="AV731" s="61"/>
      <c r="AW731" s="61"/>
      <c r="AX731" s="61"/>
      <c r="AY731" s="61"/>
      <c r="AZ731" s="61"/>
      <c r="BA731" s="61"/>
      <c r="BB731" s="61"/>
    </row>
    <row r="732" spans="47:54" x14ac:dyDescent="0.3">
      <c r="AU732" s="61"/>
      <c r="AV732" s="61"/>
      <c r="AW732" s="61"/>
      <c r="AX732" s="61"/>
      <c r="AY732" s="61"/>
      <c r="AZ732" s="61"/>
      <c r="BA732" s="61"/>
      <c r="BB732" s="61"/>
    </row>
    <row r="733" spans="47:54" x14ac:dyDescent="0.3">
      <c r="AU733" s="61"/>
      <c r="AV733" s="61"/>
      <c r="AW733" s="61"/>
      <c r="AX733" s="61"/>
      <c r="AY733" s="61"/>
      <c r="AZ733" s="61"/>
      <c r="BA733" s="61"/>
      <c r="BB733" s="61"/>
    </row>
    <row r="734" spans="47:54" x14ac:dyDescent="0.3">
      <c r="AU734" s="61"/>
      <c r="AV734" s="61"/>
      <c r="AW734" s="61"/>
      <c r="AX734" s="61"/>
      <c r="AY734" s="61"/>
      <c r="AZ734" s="61"/>
      <c r="BA734" s="61"/>
      <c r="BB734" s="61"/>
    </row>
    <row r="735" spans="47:54" x14ac:dyDescent="0.3">
      <c r="AU735" s="61"/>
      <c r="AV735" s="61"/>
      <c r="AW735" s="61"/>
      <c r="AX735" s="61"/>
      <c r="AY735" s="61"/>
      <c r="AZ735" s="61"/>
      <c r="BA735" s="61"/>
      <c r="BB735" s="61"/>
    </row>
    <row r="736" spans="47:54" x14ac:dyDescent="0.3">
      <c r="AU736" s="61"/>
      <c r="AV736" s="61"/>
      <c r="AW736" s="61"/>
      <c r="AX736" s="61"/>
      <c r="AY736" s="61"/>
      <c r="AZ736" s="61"/>
      <c r="BA736" s="61"/>
      <c r="BB736" s="61"/>
    </row>
    <row r="737" spans="47:54" x14ac:dyDescent="0.3">
      <c r="AU737" s="61"/>
      <c r="AV737" s="61"/>
      <c r="AW737" s="61"/>
      <c r="AX737" s="61"/>
      <c r="AY737" s="61"/>
      <c r="AZ737" s="61"/>
      <c r="BA737" s="61"/>
      <c r="BB737" s="61"/>
    </row>
    <row r="738" spans="47:54" x14ac:dyDescent="0.3">
      <c r="AU738" s="61"/>
      <c r="AV738" s="61"/>
      <c r="AW738" s="61"/>
      <c r="AX738" s="61"/>
      <c r="AY738" s="61"/>
      <c r="AZ738" s="61"/>
      <c r="BA738" s="61"/>
      <c r="BB738" s="61"/>
    </row>
    <row r="739" spans="47:54" x14ac:dyDescent="0.3">
      <c r="AU739" s="61"/>
      <c r="AV739" s="61"/>
      <c r="AW739" s="61"/>
      <c r="AX739" s="61"/>
      <c r="AY739" s="61"/>
      <c r="AZ739" s="61"/>
      <c r="BA739" s="61"/>
      <c r="BB739" s="61"/>
    </row>
    <row r="740" spans="47:54" x14ac:dyDescent="0.3">
      <c r="AU740" s="61"/>
      <c r="AV740" s="61"/>
      <c r="AW740" s="61"/>
      <c r="AX740" s="61"/>
      <c r="AY740" s="61"/>
      <c r="AZ740" s="61"/>
      <c r="BA740" s="61"/>
      <c r="BB740" s="61"/>
    </row>
    <row r="741" spans="47:54" x14ac:dyDescent="0.3">
      <c r="AU741" s="61"/>
      <c r="AV741" s="61"/>
      <c r="AW741" s="61"/>
      <c r="AX741" s="61"/>
      <c r="AY741" s="61"/>
      <c r="AZ741" s="61"/>
      <c r="BA741" s="61"/>
      <c r="BB741" s="61"/>
    </row>
    <row r="742" spans="47:54" x14ac:dyDescent="0.3">
      <c r="AU742" s="61"/>
      <c r="AV742" s="61"/>
      <c r="AW742" s="61"/>
      <c r="AX742" s="61"/>
      <c r="AY742" s="61"/>
      <c r="AZ742" s="61"/>
      <c r="BA742" s="61"/>
      <c r="BB742" s="61"/>
    </row>
    <row r="743" spans="47:54" x14ac:dyDescent="0.3">
      <c r="AU743" s="61"/>
      <c r="AV743" s="61"/>
      <c r="AW743" s="61"/>
      <c r="AX743" s="61"/>
      <c r="AY743" s="61"/>
      <c r="AZ743" s="61"/>
      <c r="BA743" s="61"/>
      <c r="BB743" s="61"/>
    </row>
    <row r="744" spans="47:54" x14ac:dyDescent="0.3">
      <c r="AU744" s="61"/>
      <c r="AV744" s="61"/>
      <c r="AW744" s="61"/>
      <c r="AX744" s="61"/>
      <c r="AY744" s="61"/>
      <c r="AZ744" s="61"/>
      <c r="BA744" s="61"/>
      <c r="BB744" s="61"/>
    </row>
    <row r="745" spans="47:54" x14ac:dyDescent="0.3">
      <c r="AU745" s="61"/>
      <c r="AV745" s="61"/>
      <c r="AW745" s="61"/>
      <c r="AX745" s="61"/>
      <c r="AY745" s="61"/>
      <c r="AZ745" s="61"/>
      <c r="BA745" s="61"/>
      <c r="BB745" s="61"/>
    </row>
    <row r="746" spans="47:54" x14ac:dyDescent="0.3">
      <c r="AU746" s="61"/>
      <c r="AV746" s="61"/>
      <c r="AW746" s="61"/>
      <c r="AX746" s="61"/>
      <c r="AY746" s="61"/>
      <c r="AZ746" s="61"/>
      <c r="BA746" s="61"/>
      <c r="BB746" s="61"/>
    </row>
    <row r="747" spans="47:54" x14ac:dyDescent="0.3">
      <c r="AU747" s="61"/>
      <c r="AV747" s="61"/>
      <c r="AW747" s="61"/>
      <c r="AX747" s="61"/>
      <c r="AY747" s="61"/>
      <c r="AZ747" s="61"/>
      <c r="BA747" s="61"/>
      <c r="BB747" s="61"/>
    </row>
    <row r="748" spans="47:54" x14ac:dyDescent="0.3">
      <c r="AU748" s="61"/>
      <c r="AV748" s="61"/>
      <c r="AW748" s="61"/>
      <c r="AX748" s="61"/>
      <c r="AY748" s="61"/>
      <c r="AZ748" s="61"/>
      <c r="BA748" s="61"/>
      <c r="BB748" s="61"/>
    </row>
    <row r="749" spans="47:54" x14ac:dyDescent="0.3">
      <c r="AU749" s="61"/>
      <c r="AV749" s="61"/>
      <c r="AW749" s="61"/>
      <c r="AX749" s="61"/>
      <c r="AY749" s="61"/>
      <c r="AZ749" s="61"/>
      <c r="BA749" s="61"/>
      <c r="BB749" s="61"/>
    </row>
    <row r="750" spans="47:54" x14ac:dyDescent="0.3">
      <c r="AU750" s="61"/>
      <c r="AV750" s="61"/>
      <c r="AW750" s="61"/>
      <c r="AX750" s="61"/>
      <c r="AY750" s="61"/>
      <c r="AZ750" s="61"/>
      <c r="BA750" s="61"/>
      <c r="BB750" s="61"/>
    </row>
    <row r="751" spans="47:54" x14ac:dyDescent="0.3">
      <c r="AU751" s="61"/>
      <c r="AV751" s="61"/>
      <c r="AW751" s="61"/>
      <c r="AX751" s="61"/>
      <c r="AY751" s="61"/>
      <c r="AZ751" s="61"/>
      <c r="BA751" s="61"/>
      <c r="BB751" s="61"/>
    </row>
    <row r="752" spans="47:54" x14ac:dyDescent="0.3">
      <c r="AU752" s="61"/>
      <c r="AV752" s="61"/>
      <c r="AW752" s="61"/>
      <c r="AX752" s="61"/>
      <c r="AY752" s="61"/>
      <c r="AZ752" s="61"/>
      <c r="BA752" s="61"/>
      <c r="BB752" s="61"/>
    </row>
    <row r="753" spans="47:54" x14ac:dyDescent="0.3">
      <c r="AU753" s="61"/>
      <c r="AV753" s="61"/>
      <c r="AW753" s="61"/>
      <c r="AX753" s="61"/>
      <c r="AY753" s="61"/>
      <c r="AZ753" s="61"/>
      <c r="BA753" s="61"/>
      <c r="BB753" s="61"/>
    </row>
    <row r="754" spans="47:54" x14ac:dyDescent="0.3">
      <c r="AU754" s="61"/>
      <c r="AV754" s="61"/>
      <c r="AW754" s="61"/>
      <c r="AX754" s="61"/>
      <c r="AY754" s="61"/>
      <c r="AZ754" s="61"/>
      <c r="BA754" s="61"/>
      <c r="BB754" s="61"/>
    </row>
    <row r="755" spans="47:54" x14ac:dyDescent="0.3">
      <c r="AU755" s="61"/>
      <c r="AV755" s="61"/>
      <c r="AW755" s="61"/>
      <c r="AX755" s="61"/>
      <c r="AY755" s="61"/>
      <c r="AZ755" s="61"/>
      <c r="BA755" s="61"/>
      <c r="BB755" s="61"/>
    </row>
    <row r="756" spans="47:54" x14ac:dyDescent="0.3">
      <c r="AU756" s="61"/>
      <c r="AV756" s="61"/>
      <c r="AW756" s="61"/>
      <c r="AX756" s="61"/>
      <c r="AY756" s="61"/>
      <c r="AZ756" s="61"/>
      <c r="BA756" s="61"/>
      <c r="BB756" s="61"/>
    </row>
    <row r="757" spans="47:54" x14ac:dyDescent="0.3">
      <c r="AU757" s="61"/>
      <c r="AV757" s="61"/>
      <c r="AW757" s="61"/>
      <c r="AX757" s="61"/>
      <c r="AY757" s="61"/>
      <c r="AZ757" s="61"/>
      <c r="BA757" s="61"/>
      <c r="BB757" s="61"/>
    </row>
    <row r="758" spans="47:54" x14ac:dyDescent="0.3">
      <c r="AU758" s="61"/>
      <c r="AV758" s="61"/>
      <c r="AW758" s="61"/>
      <c r="AX758" s="61"/>
      <c r="AY758" s="61"/>
      <c r="AZ758" s="61"/>
      <c r="BA758" s="61"/>
      <c r="BB758" s="61"/>
    </row>
    <row r="759" spans="47:54" x14ac:dyDescent="0.3">
      <c r="AU759" s="61"/>
      <c r="AV759" s="61"/>
      <c r="AW759" s="61"/>
      <c r="AX759" s="61"/>
      <c r="AY759" s="61"/>
      <c r="AZ759" s="61"/>
      <c r="BA759" s="61"/>
      <c r="BB759" s="61"/>
    </row>
    <row r="760" spans="47:54" x14ac:dyDescent="0.3">
      <c r="AU760" s="61"/>
      <c r="AV760" s="61"/>
      <c r="AW760" s="61"/>
      <c r="AX760" s="61"/>
      <c r="AY760" s="61"/>
      <c r="AZ760" s="61"/>
      <c r="BA760" s="61"/>
      <c r="BB760" s="61"/>
    </row>
    <row r="761" spans="47:54" x14ac:dyDescent="0.3">
      <c r="AU761" s="61"/>
      <c r="AV761" s="61"/>
      <c r="AW761" s="61"/>
      <c r="AX761" s="61"/>
      <c r="AY761" s="61"/>
      <c r="AZ761" s="61"/>
      <c r="BA761" s="61"/>
      <c r="BB761" s="61"/>
    </row>
    <row r="762" spans="47:54" x14ac:dyDescent="0.3">
      <c r="AU762" s="61"/>
      <c r="AV762" s="61"/>
      <c r="AW762" s="61"/>
      <c r="AX762" s="61"/>
      <c r="AY762" s="61"/>
      <c r="AZ762" s="61"/>
      <c r="BA762" s="61"/>
      <c r="BB762" s="61"/>
    </row>
    <row r="763" spans="47:54" x14ac:dyDescent="0.3">
      <c r="AU763" s="61"/>
      <c r="AV763" s="61"/>
      <c r="AW763" s="61"/>
      <c r="AX763" s="61"/>
      <c r="AY763" s="61"/>
      <c r="AZ763" s="61"/>
      <c r="BA763" s="61"/>
      <c r="BB763" s="61"/>
    </row>
    <row r="764" spans="47:54" x14ac:dyDescent="0.3">
      <c r="AU764" s="61"/>
      <c r="AV764" s="61"/>
      <c r="AW764" s="61"/>
      <c r="AX764" s="61"/>
      <c r="AY764" s="61"/>
      <c r="AZ764" s="61"/>
      <c r="BA764" s="61"/>
      <c r="BB764" s="61"/>
    </row>
    <row r="765" spans="47:54" x14ac:dyDescent="0.3">
      <c r="AU765" s="61"/>
      <c r="AV765" s="61"/>
      <c r="AW765" s="61"/>
      <c r="AX765" s="61"/>
      <c r="AY765" s="61"/>
      <c r="AZ765" s="61"/>
      <c r="BA765" s="61"/>
      <c r="BB765" s="61"/>
    </row>
    <row r="766" spans="47:54" x14ac:dyDescent="0.3">
      <c r="AU766" s="61"/>
      <c r="AV766" s="61"/>
      <c r="AW766" s="61"/>
      <c r="AX766" s="61"/>
      <c r="AY766" s="61"/>
      <c r="AZ766" s="61"/>
      <c r="BA766" s="61"/>
      <c r="BB766" s="61"/>
    </row>
    <row r="767" spans="47:54" x14ac:dyDescent="0.3">
      <c r="AU767" s="61"/>
      <c r="AV767" s="61"/>
      <c r="AW767" s="61"/>
      <c r="AX767" s="61"/>
      <c r="AY767" s="61"/>
      <c r="AZ767" s="61"/>
      <c r="BA767" s="61"/>
      <c r="BB767" s="61"/>
    </row>
    <row r="768" spans="47:54" x14ac:dyDescent="0.3">
      <c r="AU768" s="61"/>
      <c r="AV768" s="61"/>
      <c r="AW768" s="61"/>
      <c r="AX768" s="61"/>
      <c r="AY768" s="61"/>
      <c r="AZ768" s="61"/>
      <c r="BA768" s="61"/>
      <c r="BB768" s="61"/>
    </row>
    <row r="769" spans="47:54" x14ac:dyDescent="0.3">
      <c r="AU769" s="61"/>
      <c r="AV769" s="61"/>
      <c r="AW769" s="61"/>
      <c r="AX769" s="61"/>
      <c r="AY769" s="61"/>
      <c r="AZ769" s="61"/>
      <c r="BA769" s="61"/>
      <c r="BB769" s="61"/>
    </row>
    <row r="770" spans="47:54" x14ac:dyDescent="0.3">
      <c r="AU770" s="61"/>
      <c r="AV770" s="61"/>
      <c r="AW770" s="61"/>
      <c r="AX770" s="61"/>
      <c r="AY770" s="61"/>
      <c r="AZ770" s="61"/>
      <c r="BA770" s="61"/>
      <c r="BB770" s="61"/>
    </row>
    <row r="771" spans="47:54" x14ac:dyDescent="0.3">
      <c r="AU771" s="61"/>
      <c r="AV771" s="61"/>
      <c r="AW771" s="61"/>
      <c r="AX771" s="61"/>
      <c r="AY771" s="61"/>
      <c r="AZ771" s="61"/>
      <c r="BA771" s="61"/>
      <c r="BB771" s="61"/>
    </row>
    <row r="772" spans="47:54" x14ac:dyDescent="0.3">
      <c r="AU772" s="61"/>
      <c r="AV772" s="61"/>
      <c r="AW772" s="61"/>
      <c r="AX772" s="61"/>
      <c r="AY772" s="61"/>
      <c r="AZ772" s="61"/>
      <c r="BA772" s="61"/>
      <c r="BB772" s="61"/>
    </row>
    <row r="773" spans="47:54" x14ac:dyDescent="0.3">
      <c r="AU773" s="61"/>
      <c r="AV773" s="61"/>
      <c r="AW773" s="61"/>
      <c r="AX773" s="61"/>
      <c r="AY773" s="61"/>
      <c r="AZ773" s="61"/>
      <c r="BA773" s="61"/>
      <c r="BB773" s="61"/>
    </row>
    <row r="774" spans="47:54" x14ac:dyDescent="0.3">
      <c r="AU774" s="61"/>
      <c r="AV774" s="61"/>
      <c r="AW774" s="61"/>
      <c r="AX774" s="61"/>
      <c r="AY774" s="61"/>
      <c r="AZ774" s="61"/>
      <c r="BA774" s="61"/>
      <c r="BB774" s="61"/>
    </row>
    <row r="775" spans="47:54" x14ac:dyDescent="0.3">
      <c r="AU775" s="61"/>
      <c r="AV775" s="61"/>
      <c r="AW775" s="61"/>
      <c r="AX775" s="61"/>
      <c r="AY775" s="61"/>
      <c r="AZ775" s="61"/>
      <c r="BA775" s="61"/>
      <c r="BB775" s="61"/>
    </row>
    <row r="776" spans="47:54" x14ac:dyDescent="0.3">
      <c r="AU776" s="61"/>
      <c r="AV776" s="61"/>
      <c r="AW776" s="61"/>
      <c r="AX776" s="61"/>
      <c r="AY776" s="61"/>
      <c r="AZ776" s="61"/>
      <c r="BA776" s="61"/>
      <c r="BB776" s="61"/>
    </row>
    <row r="777" spans="47:54" x14ac:dyDescent="0.3">
      <c r="AU777" s="61"/>
      <c r="AV777" s="61"/>
      <c r="AW777" s="61"/>
      <c r="AX777" s="61"/>
      <c r="AY777" s="61"/>
      <c r="AZ777" s="61"/>
      <c r="BA777" s="61"/>
      <c r="BB777" s="61"/>
    </row>
    <row r="778" spans="47:54" x14ac:dyDescent="0.3">
      <c r="AU778" s="61"/>
      <c r="AV778" s="61"/>
      <c r="AW778" s="61"/>
      <c r="AX778" s="61"/>
      <c r="AY778" s="61"/>
      <c r="AZ778" s="61"/>
      <c r="BA778" s="61"/>
      <c r="BB778" s="61"/>
    </row>
    <row r="779" spans="47:54" x14ac:dyDescent="0.3">
      <c r="AU779" s="61"/>
      <c r="AV779" s="61"/>
      <c r="AW779" s="61"/>
      <c r="AX779" s="61"/>
      <c r="AY779" s="61"/>
      <c r="AZ779" s="61"/>
      <c r="BA779" s="61"/>
      <c r="BB779" s="61"/>
    </row>
    <row r="780" spans="47:54" x14ac:dyDescent="0.3">
      <c r="AU780" s="61"/>
      <c r="AV780" s="61"/>
      <c r="AW780" s="61"/>
      <c r="AX780" s="61"/>
      <c r="AY780" s="61"/>
      <c r="AZ780" s="61"/>
      <c r="BA780" s="61"/>
      <c r="BB780" s="61"/>
    </row>
    <row r="781" spans="47:54" x14ac:dyDescent="0.3">
      <c r="AU781" s="61"/>
      <c r="AV781" s="61"/>
      <c r="AW781" s="61"/>
      <c r="AX781" s="61"/>
      <c r="AY781" s="61"/>
      <c r="AZ781" s="61"/>
      <c r="BA781" s="61"/>
      <c r="BB781" s="61"/>
    </row>
    <row r="782" spans="47:54" x14ac:dyDescent="0.3">
      <c r="AU782" s="61"/>
      <c r="AV782" s="61"/>
      <c r="AW782" s="61"/>
      <c r="AX782" s="61"/>
      <c r="AY782" s="61"/>
      <c r="AZ782" s="61"/>
      <c r="BA782" s="61"/>
      <c r="BB782" s="61"/>
    </row>
    <row r="783" spans="47:54" x14ac:dyDescent="0.3">
      <c r="AU783" s="61"/>
      <c r="AV783" s="61"/>
      <c r="AW783" s="61"/>
      <c r="AX783" s="61"/>
      <c r="AY783" s="61"/>
      <c r="AZ783" s="61"/>
      <c r="BA783" s="61"/>
      <c r="BB783" s="61"/>
    </row>
    <row r="784" spans="47:54" x14ac:dyDescent="0.3">
      <c r="AU784" s="61"/>
      <c r="AV784" s="61"/>
      <c r="AW784" s="61"/>
      <c r="AX784" s="61"/>
      <c r="AY784" s="61"/>
      <c r="AZ784" s="61"/>
      <c r="BA784" s="61"/>
      <c r="BB784" s="61"/>
    </row>
    <row r="785" spans="47:54" x14ac:dyDescent="0.3">
      <c r="AU785" s="61"/>
      <c r="AV785" s="61"/>
      <c r="AW785" s="61"/>
      <c r="AX785" s="61"/>
      <c r="AY785" s="61"/>
      <c r="AZ785" s="61"/>
      <c r="BA785" s="61"/>
      <c r="BB785" s="61"/>
    </row>
    <row r="786" spans="47:54" x14ac:dyDescent="0.3">
      <c r="AU786" s="61"/>
      <c r="AV786" s="61"/>
      <c r="AW786" s="61"/>
      <c r="AX786" s="61"/>
      <c r="AY786" s="61"/>
      <c r="AZ786" s="61"/>
      <c r="BA786" s="61"/>
      <c r="BB786" s="61"/>
    </row>
    <row r="787" spans="47:54" x14ac:dyDescent="0.3">
      <c r="AU787" s="61"/>
      <c r="AV787" s="61"/>
      <c r="AW787" s="61"/>
      <c r="AX787" s="61"/>
      <c r="AY787" s="61"/>
      <c r="AZ787" s="61"/>
      <c r="BA787" s="61"/>
      <c r="BB787" s="61"/>
    </row>
    <row r="788" spans="47:54" x14ac:dyDescent="0.3">
      <c r="AU788" s="61"/>
      <c r="AV788" s="61"/>
      <c r="AW788" s="61"/>
      <c r="AX788" s="61"/>
      <c r="AY788" s="61"/>
      <c r="AZ788" s="61"/>
      <c r="BA788" s="61"/>
      <c r="BB788" s="61"/>
    </row>
    <row r="789" spans="47:54" x14ac:dyDescent="0.3">
      <c r="AU789" s="61"/>
      <c r="AV789" s="61"/>
      <c r="AW789" s="61"/>
      <c r="AX789" s="61"/>
      <c r="AY789" s="61"/>
      <c r="AZ789" s="61"/>
      <c r="BA789" s="61"/>
      <c r="BB789" s="61"/>
    </row>
    <row r="790" spans="47:54" x14ac:dyDescent="0.3">
      <c r="AU790" s="61"/>
      <c r="AV790" s="61"/>
      <c r="AW790" s="61"/>
      <c r="AX790" s="61"/>
      <c r="AY790" s="61"/>
      <c r="AZ790" s="61"/>
      <c r="BA790" s="61"/>
      <c r="BB790" s="61"/>
    </row>
    <row r="791" spans="47:54" x14ac:dyDescent="0.3">
      <c r="AU791" s="61"/>
      <c r="AV791" s="61"/>
      <c r="AW791" s="61"/>
      <c r="AX791" s="61"/>
      <c r="AY791" s="61"/>
      <c r="AZ791" s="61"/>
      <c r="BA791" s="61"/>
      <c r="BB791" s="61"/>
    </row>
    <row r="792" spans="47:54" x14ac:dyDescent="0.3">
      <c r="AU792" s="61"/>
      <c r="AV792" s="61"/>
      <c r="AW792" s="61"/>
      <c r="AX792" s="61"/>
      <c r="AY792" s="61"/>
      <c r="AZ792" s="61"/>
      <c r="BA792" s="61"/>
      <c r="BB792" s="61"/>
    </row>
    <row r="793" spans="47:54" x14ac:dyDescent="0.3">
      <c r="AU793" s="61"/>
      <c r="AV793" s="61"/>
      <c r="AW793" s="61"/>
      <c r="AX793" s="61"/>
      <c r="AY793" s="61"/>
      <c r="AZ793" s="61"/>
      <c r="BA793" s="61"/>
      <c r="BB793" s="61"/>
    </row>
    <row r="794" spans="47:54" x14ac:dyDescent="0.3">
      <c r="AU794" s="61"/>
      <c r="AV794" s="61"/>
      <c r="AW794" s="61"/>
      <c r="AX794" s="61"/>
      <c r="AY794" s="61"/>
      <c r="AZ794" s="61"/>
      <c r="BA794" s="61"/>
      <c r="BB794" s="61"/>
    </row>
    <row r="795" spans="47:54" x14ac:dyDescent="0.3">
      <c r="AU795" s="61"/>
      <c r="AV795" s="61"/>
      <c r="AW795" s="61"/>
      <c r="AX795" s="61"/>
      <c r="AY795" s="61"/>
      <c r="AZ795" s="61"/>
      <c r="BA795" s="61"/>
      <c r="BB795" s="61"/>
    </row>
    <row r="796" spans="47:54" x14ac:dyDescent="0.3">
      <c r="AU796" s="61"/>
      <c r="AV796" s="61"/>
      <c r="AW796" s="61"/>
      <c r="AX796" s="61"/>
      <c r="AY796" s="61"/>
      <c r="AZ796" s="61"/>
      <c r="BA796" s="61"/>
      <c r="BB796" s="61"/>
    </row>
    <row r="797" spans="47:54" x14ac:dyDescent="0.3">
      <c r="AU797" s="61"/>
      <c r="AV797" s="61"/>
      <c r="AW797" s="61"/>
      <c r="AX797" s="61"/>
      <c r="AY797" s="61"/>
      <c r="AZ797" s="61"/>
      <c r="BA797" s="61"/>
      <c r="BB797" s="61"/>
    </row>
    <row r="798" spans="47:54" x14ac:dyDescent="0.3">
      <c r="AU798" s="61"/>
      <c r="AV798" s="61"/>
      <c r="AW798" s="61"/>
      <c r="AX798" s="61"/>
      <c r="AY798" s="61"/>
      <c r="AZ798" s="61"/>
      <c r="BA798" s="61"/>
      <c r="BB798" s="61"/>
    </row>
    <row r="799" spans="47:54" x14ac:dyDescent="0.3">
      <c r="AU799" s="61"/>
      <c r="AV799" s="61"/>
      <c r="AW799" s="61"/>
      <c r="AX799" s="61"/>
      <c r="AY799" s="61"/>
      <c r="AZ799" s="61"/>
      <c r="BA799" s="61"/>
      <c r="BB799" s="61"/>
    </row>
    <row r="800" spans="47:54" x14ac:dyDescent="0.3">
      <c r="AU800" s="61"/>
      <c r="AV800" s="61"/>
      <c r="AW800" s="61"/>
      <c r="AX800" s="61"/>
      <c r="AY800" s="61"/>
      <c r="AZ800" s="61"/>
      <c r="BA800" s="61"/>
      <c r="BB800" s="61"/>
    </row>
    <row r="801" spans="47:54" x14ac:dyDescent="0.3">
      <c r="AU801" s="61"/>
      <c r="AV801" s="61"/>
      <c r="AW801" s="61"/>
      <c r="AX801" s="61"/>
      <c r="AY801" s="61"/>
      <c r="AZ801" s="61"/>
      <c r="BA801" s="61"/>
      <c r="BB801" s="61"/>
    </row>
    <row r="802" spans="47:54" x14ac:dyDescent="0.3">
      <c r="AU802" s="61"/>
      <c r="AV802" s="61"/>
      <c r="AW802" s="61"/>
      <c r="AX802" s="61"/>
      <c r="AY802" s="61"/>
      <c r="AZ802" s="61"/>
      <c r="BA802" s="61"/>
      <c r="BB802" s="61"/>
    </row>
    <row r="803" spans="47:54" x14ac:dyDescent="0.3">
      <c r="AU803" s="61"/>
      <c r="AV803" s="61"/>
      <c r="AW803" s="61"/>
      <c r="AX803" s="61"/>
      <c r="AY803" s="61"/>
      <c r="AZ803" s="61"/>
      <c r="BA803" s="61"/>
      <c r="BB803" s="61"/>
    </row>
    <row r="804" spans="47:54" x14ac:dyDescent="0.3">
      <c r="AU804" s="61"/>
      <c r="AV804" s="61"/>
      <c r="AW804" s="61"/>
      <c r="AX804" s="61"/>
      <c r="AY804" s="61"/>
      <c r="AZ804" s="61"/>
      <c r="BA804" s="61"/>
      <c r="BB804" s="61"/>
    </row>
    <row r="805" spans="47:54" x14ac:dyDescent="0.3">
      <c r="AU805" s="61"/>
      <c r="AV805" s="61"/>
      <c r="AW805" s="61"/>
      <c r="AX805" s="61"/>
      <c r="AY805" s="61"/>
      <c r="AZ805" s="61"/>
      <c r="BA805" s="61"/>
      <c r="BB805" s="61"/>
    </row>
    <row r="806" spans="47:54" x14ac:dyDescent="0.3">
      <c r="AU806" s="61"/>
      <c r="AV806" s="61"/>
      <c r="AW806" s="61"/>
      <c r="AX806" s="61"/>
      <c r="AY806" s="61"/>
      <c r="AZ806" s="61"/>
      <c r="BA806" s="61"/>
      <c r="BB806" s="61"/>
    </row>
    <row r="807" spans="47:54" x14ac:dyDescent="0.3">
      <c r="AU807" s="61"/>
      <c r="AV807" s="61"/>
      <c r="AW807" s="61"/>
      <c r="AX807" s="61"/>
      <c r="AY807" s="61"/>
      <c r="AZ807" s="61"/>
      <c r="BA807" s="61"/>
      <c r="BB807" s="61"/>
    </row>
    <row r="808" spans="47:54" x14ac:dyDescent="0.3">
      <c r="AU808" s="61"/>
      <c r="AV808" s="61"/>
      <c r="AW808" s="61"/>
      <c r="AX808" s="61"/>
      <c r="AY808" s="61"/>
      <c r="AZ808" s="61"/>
      <c r="BA808" s="61"/>
      <c r="BB808" s="61"/>
    </row>
    <row r="809" spans="47:54" x14ac:dyDescent="0.3">
      <c r="AU809" s="61"/>
      <c r="AV809" s="61"/>
      <c r="AW809" s="61"/>
      <c r="AX809" s="61"/>
      <c r="AY809" s="61"/>
      <c r="AZ809" s="61"/>
      <c r="BA809" s="61"/>
      <c r="BB809" s="61"/>
    </row>
    <row r="810" spans="47:54" x14ac:dyDescent="0.3">
      <c r="AU810" s="61"/>
      <c r="AV810" s="61"/>
      <c r="AW810" s="61"/>
      <c r="AX810" s="61"/>
      <c r="AY810" s="61"/>
      <c r="AZ810" s="61"/>
      <c r="BA810" s="61"/>
      <c r="BB810" s="61"/>
    </row>
    <row r="811" spans="47:54" x14ac:dyDescent="0.3">
      <c r="AU811" s="61"/>
      <c r="AV811" s="61"/>
      <c r="AW811" s="61"/>
      <c r="AX811" s="61"/>
      <c r="AY811" s="61"/>
      <c r="AZ811" s="61"/>
      <c r="BA811" s="61"/>
      <c r="BB811" s="61"/>
    </row>
    <row r="812" spans="47:54" x14ac:dyDescent="0.3">
      <c r="AU812" s="61"/>
      <c r="AV812" s="61"/>
      <c r="AW812" s="61"/>
      <c r="AX812" s="61"/>
      <c r="AY812" s="61"/>
      <c r="AZ812" s="61"/>
      <c r="BA812" s="61"/>
      <c r="BB812" s="61"/>
    </row>
    <row r="813" spans="47:54" x14ac:dyDescent="0.3">
      <c r="AU813" s="61"/>
      <c r="AV813" s="61"/>
      <c r="AW813" s="61"/>
      <c r="AX813" s="61"/>
      <c r="AY813" s="61"/>
      <c r="AZ813" s="61"/>
      <c r="BA813" s="61"/>
      <c r="BB813" s="61"/>
    </row>
    <row r="814" spans="47:54" x14ac:dyDescent="0.3">
      <c r="AU814" s="61"/>
      <c r="AV814" s="61"/>
      <c r="AW814" s="61"/>
      <c r="AX814" s="61"/>
      <c r="AY814" s="61"/>
      <c r="AZ814" s="61"/>
      <c r="BA814" s="61"/>
      <c r="BB814" s="61"/>
    </row>
    <row r="815" spans="47:54" x14ac:dyDescent="0.3">
      <c r="AU815" s="61"/>
      <c r="AV815" s="61"/>
      <c r="AW815" s="61"/>
      <c r="AX815" s="61"/>
      <c r="AY815" s="61"/>
      <c r="AZ815" s="61"/>
      <c r="BA815" s="61"/>
      <c r="BB815" s="61"/>
    </row>
    <row r="816" spans="47:54" x14ac:dyDescent="0.3">
      <c r="AU816" s="61"/>
      <c r="AV816" s="61"/>
      <c r="AW816" s="61"/>
      <c r="AX816" s="61"/>
      <c r="AY816" s="61"/>
      <c r="AZ816" s="61"/>
      <c r="BA816" s="61"/>
      <c r="BB816" s="61"/>
    </row>
    <row r="817" spans="47:54" x14ac:dyDescent="0.3">
      <c r="AU817" s="61"/>
      <c r="AV817" s="61"/>
      <c r="AW817" s="61"/>
      <c r="AX817" s="61"/>
      <c r="AY817" s="61"/>
      <c r="AZ817" s="61"/>
      <c r="BA817" s="61"/>
      <c r="BB817" s="61"/>
    </row>
    <row r="818" spans="47:54" x14ac:dyDescent="0.3">
      <c r="AU818" s="61"/>
      <c r="AV818" s="61"/>
      <c r="AW818" s="61"/>
      <c r="AX818" s="61"/>
      <c r="AY818" s="61"/>
      <c r="AZ818" s="61"/>
      <c r="BA818" s="61"/>
      <c r="BB818" s="61"/>
    </row>
    <row r="819" spans="47:54" x14ac:dyDescent="0.3">
      <c r="AU819" s="61"/>
      <c r="AV819" s="61"/>
      <c r="AW819" s="61"/>
      <c r="AX819" s="61"/>
      <c r="AY819" s="61"/>
      <c r="AZ819" s="61"/>
      <c r="BA819" s="61"/>
      <c r="BB819" s="61"/>
    </row>
    <row r="820" spans="47:54" x14ac:dyDescent="0.3">
      <c r="AU820" s="61"/>
      <c r="AV820" s="61"/>
      <c r="AW820" s="61"/>
      <c r="AX820" s="61"/>
      <c r="AY820" s="61"/>
      <c r="AZ820" s="61"/>
      <c r="BA820" s="61"/>
      <c r="BB820" s="61"/>
    </row>
    <row r="821" spans="47:54" x14ac:dyDescent="0.3">
      <c r="AU821" s="61"/>
      <c r="AV821" s="61"/>
      <c r="AW821" s="61"/>
      <c r="AX821" s="61"/>
      <c r="AY821" s="61"/>
      <c r="AZ821" s="61"/>
      <c r="BA821" s="61"/>
      <c r="BB821" s="61"/>
    </row>
    <row r="822" spans="47:54" x14ac:dyDescent="0.3">
      <c r="AU822" s="61"/>
      <c r="AV822" s="61"/>
      <c r="AW822" s="61"/>
      <c r="AX822" s="61"/>
      <c r="AY822" s="61"/>
      <c r="AZ822" s="61"/>
      <c r="BA822" s="61"/>
      <c r="BB822" s="61"/>
    </row>
    <row r="823" spans="47:54" x14ac:dyDescent="0.3">
      <c r="AU823" s="61"/>
      <c r="AV823" s="61"/>
      <c r="AW823" s="61"/>
      <c r="AX823" s="61"/>
      <c r="AY823" s="61"/>
      <c r="AZ823" s="61"/>
      <c r="BA823" s="61"/>
      <c r="BB823" s="61"/>
    </row>
    <row r="824" spans="47:54" x14ac:dyDescent="0.3">
      <c r="AU824" s="61"/>
      <c r="AV824" s="61"/>
      <c r="AW824" s="61"/>
      <c r="AX824" s="61"/>
      <c r="AY824" s="61"/>
      <c r="AZ824" s="61"/>
      <c r="BA824" s="61"/>
      <c r="BB824" s="61"/>
    </row>
    <row r="825" spans="47:54" x14ac:dyDescent="0.3">
      <c r="AU825" s="61"/>
      <c r="AV825" s="61"/>
      <c r="AW825" s="61"/>
      <c r="AX825" s="61"/>
      <c r="AY825" s="61"/>
      <c r="AZ825" s="61"/>
      <c r="BA825" s="61"/>
      <c r="BB825" s="61"/>
    </row>
    <row r="826" spans="47:54" x14ac:dyDescent="0.3">
      <c r="AU826" s="61"/>
      <c r="AV826" s="61"/>
      <c r="AW826" s="61"/>
      <c r="AX826" s="61"/>
      <c r="AY826" s="61"/>
      <c r="AZ826" s="61"/>
      <c r="BA826" s="61"/>
      <c r="BB826" s="61"/>
    </row>
    <row r="827" spans="47:54" x14ac:dyDescent="0.3">
      <c r="AU827" s="61"/>
      <c r="AV827" s="61"/>
      <c r="AW827" s="61"/>
      <c r="AX827" s="61"/>
      <c r="AY827" s="61"/>
      <c r="AZ827" s="61"/>
      <c r="BA827" s="61"/>
      <c r="BB827" s="61"/>
    </row>
    <row r="828" spans="47:54" x14ac:dyDescent="0.3">
      <c r="AU828" s="61"/>
      <c r="AV828" s="61"/>
      <c r="AW828" s="61"/>
      <c r="AX828" s="61"/>
      <c r="AY828" s="61"/>
      <c r="AZ828" s="61"/>
      <c r="BA828" s="61"/>
      <c r="BB828" s="61"/>
    </row>
    <row r="829" spans="47:54" x14ac:dyDescent="0.3">
      <c r="AU829" s="61"/>
      <c r="AV829" s="61"/>
      <c r="AW829" s="61"/>
      <c r="AX829" s="61"/>
      <c r="AY829" s="61"/>
      <c r="AZ829" s="61"/>
      <c r="BA829" s="61"/>
      <c r="BB829" s="61"/>
    </row>
    <row r="830" spans="47:54" x14ac:dyDescent="0.3">
      <c r="AU830" s="61"/>
      <c r="AV830" s="61"/>
      <c r="AW830" s="61"/>
      <c r="AX830" s="61"/>
      <c r="AY830" s="61"/>
      <c r="AZ830" s="61"/>
      <c r="BA830" s="61"/>
      <c r="BB830" s="61"/>
    </row>
    <row r="831" spans="47:54" x14ac:dyDescent="0.3">
      <c r="AU831" s="61"/>
      <c r="AV831" s="61"/>
      <c r="AW831" s="61"/>
      <c r="AX831" s="61"/>
      <c r="AY831" s="61"/>
      <c r="AZ831" s="61"/>
      <c r="BA831" s="61"/>
      <c r="BB831" s="61"/>
    </row>
    <row r="832" spans="47:54" x14ac:dyDescent="0.3">
      <c r="AU832" s="61"/>
      <c r="AV832" s="61"/>
      <c r="AW832" s="61"/>
      <c r="AX832" s="61"/>
      <c r="AY832" s="61"/>
      <c r="AZ832" s="61"/>
      <c r="BA832" s="61"/>
      <c r="BB832" s="61"/>
    </row>
    <row r="833" spans="47:54" x14ac:dyDescent="0.3">
      <c r="AU833" s="61"/>
      <c r="AV833" s="61"/>
      <c r="AW833" s="61"/>
      <c r="AX833" s="61"/>
      <c r="AY833" s="61"/>
      <c r="AZ833" s="61"/>
      <c r="BA833" s="61"/>
      <c r="BB833" s="61"/>
    </row>
    <row r="834" spans="47:54" x14ac:dyDescent="0.3">
      <c r="AU834" s="61"/>
      <c r="AV834" s="61"/>
      <c r="AW834" s="61"/>
      <c r="AX834" s="61"/>
      <c r="AY834" s="61"/>
      <c r="AZ834" s="61"/>
      <c r="BA834" s="61"/>
      <c r="BB834" s="61"/>
    </row>
    <row r="835" spans="47:54" x14ac:dyDescent="0.3">
      <c r="AU835" s="61"/>
      <c r="AV835" s="61"/>
      <c r="AW835" s="61"/>
      <c r="AX835" s="61"/>
      <c r="AY835" s="61"/>
      <c r="AZ835" s="61"/>
      <c r="BA835" s="61"/>
      <c r="BB835" s="61"/>
    </row>
    <row r="836" spans="47:54" x14ac:dyDescent="0.3">
      <c r="AU836" s="61"/>
      <c r="AV836" s="61"/>
      <c r="AW836" s="61"/>
      <c r="AX836" s="61"/>
      <c r="AY836" s="61"/>
      <c r="AZ836" s="61"/>
      <c r="BA836" s="61"/>
      <c r="BB836" s="61"/>
    </row>
    <row r="837" spans="47:54" x14ac:dyDescent="0.3">
      <c r="AU837" s="61"/>
      <c r="AV837" s="61"/>
      <c r="AW837" s="61"/>
      <c r="AX837" s="61"/>
      <c r="AY837" s="61"/>
      <c r="AZ837" s="61"/>
      <c r="BA837" s="61"/>
      <c r="BB837" s="61"/>
    </row>
    <row r="838" spans="47:54" x14ac:dyDescent="0.3">
      <c r="AU838" s="61"/>
      <c r="AV838" s="61"/>
      <c r="AW838" s="61"/>
      <c r="AX838" s="61"/>
      <c r="AY838" s="61"/>
      <c r="AZ838" s="61"/>
      <c r="BA838" s="61"/>
      <c r="BB838" s="61"/>
    </row>
    <row r="839" spans="47:54" x14ac:dyDescent="0.3">
      <c r="AU839" s="61"/>
      <c r="AV839" s="61"/>
      <c r="AW839" s="61"/>
      <c r="AX839" s="61"/>
      <c r="AY839" s="61"/>
      <c r="AZ839" s="61"/>
      <c r="BA839" s="61"/>
      <c r="BB839" s="61"/>
    </row>
    <row r="840" spans="47:54" x14ac:dyDescent="0.3">
      <c r="AU840" s="61"/>
      <c r="AV840" s="61"/>
      <c r="AW840" s="61"/>
      <c r="AX840" s="61"/>
      <c r="AY840" s="61"/>
      <c r="AZ840" s="61"/>
      <c r="BA840" s="61"/>
      <c r="BB840" s="61"/>
    </row>
    <row r="841" spans="47:54" x14ac:dyDescent="0.3">
      <c r="AU841" s="61"/>
      <c r="AV841" s="61"/>
      <c r="AW841" s="61"/>
      <c r="AX841" s="61"/>
      <c r="AY841" s="61"/>
      <c r="AZ841" s="61"/>
      <c r="BA841" s="61"/>
      <c r="BB841" s="61"/>
    </row>
    <row r="842" spans="47:54" x14ac:dyDescent="0.3">
      <c r="AU842" s="61"/>
      <c r="AV842" s="61"/>
      <c r="AW842" s="61"/>
      <c r="AX842" s="61"/>
      <c r="AY842" s="61"/>
      <c r="AZ842" s="61"/>
      <c r="BA842" s="61"/>
      <c r="BB842" s="61"/>
    </row>
    <row r="843" spans="47:54" x14ac:dyDescent="0.3">
      <c r="AU843" s="61"/>
      <c r="AV843" s="61"/>
      <c r="AW843" s="61"/>
      <c r="AX843" s="61"/>
      <c r="AY843" s="61"/>
      <c r="AZ843" s="61"/>
      <c r="BA843" s="61"/>
      <c r="BB843" s="61"/>
    </row>
    <row r="844" spans="47:54" x14ac:dyDescent="0.3">
      <c r="AU844" s="61"/>
      <c r="AV844" s="61"/>
      <c r="AW844" s="61"/>
      <c r="AX844" s="61"/>
      <c r="AY844" s="61"/>
      <c r="AZ844" s="61"/>
      <c r="BA844" s="61"/>
      <c r="BB844" s="61"/>
    </row>
    <row r="845" spans="47:54" x14ac:dyDescent="0.3">
      <c r="AU845" s="61"/>
      <c r="AV845" s="61"/>
      <c r="AW845" s="61"/>
      <c r="AX845" s="61"/>
      <c r="AY845" s="61"/>
      <c r="AZ845" s="61"/>
      <c r="BA845" s="61"/>
      <c r="BB845" s="61"/>
    </row>
    <row r="846" spans="47:54" x14ac:dyDescent="0.3">
      <c r="AU846" s="61"/>
      <c r="AV846" s="61"/>
      <c r="AW846" s="61"/>
      <c r="AX846" s="61"/>
      <c r="AY846" s="61"/>
      <c r="AZ846" s="61"/>
      <c r="BA846" s="61"/>
      <c r="BB846" s="61"/>
    </row>
    <row r="847" spans="47:54" x14ac:dyDescent="0.3">
      <c r="AU847" s="61"/>
      <c r="AV847" s="61"/>
      <c r="AW847" s="61"/>
      <c r="AX847" s="61"/>
      <c r="AY847" s="61"/>
      <c r="AZ847" s="61"/>
      <c r="BA847" s="61"/>
      <c r="BB847" s="61"/>
    </row>
    <row r="848" spans="47:54" x14ac:dyDescent="0.3">
      <c r="AU848" s="61"/>
      <c r="AV848" s="61"/>
      <c r="AW848" s="61"/>
      <c r="AX848" s="61"/>
      <c r="AY848" s="61"/>
      <c r="AZ848" s="61"/>
      <c r="BA848" s="61"/>
      <c r="BB848" s="61"/>
    </row>
    <row r="849" spans="47:54" x14ac:dyDescent="0.3">
      <c r="AU849" s="61"/>
      <c r="AV849" s="61"/>
      <c r="AW849" s="61"/>
      <c r="AX849" s="61"/>
      <c r="AY849" s="61"/>
      <c r="AZ849" s="61"/>
      <c r="BA849" s="61"/>
      <c r="BB849" s="61"/>
    </row>
    <row r="850" spans="47:54" x14ac:dyDescent="0.3">
      <c r="AU850" s="61"/>
      <c r="AV850" s="61"/>
      <c r="AW850" s="61"/>
      <c r="AX850" s="61"/>
      <c r="AY850" s="61"/>
      <c r="AZ850" s="61"/>
      <c r="BA850" s="61"/>
      <c r="BB850" s="61"/>
    </row>
    <row r="851" spans="47:54" x14ac:dyDescent="0.3">
      <c r="AU851" s="61"/>
      <c r="AV851" s="61"/>
      <c r="AW851" s="61"/>
      <c r="AX851" s="61"/>
      <c r="AY851" s="61"/>
      <c r="AZ851" s="61"/>
      <c r="BA851" s="61"/>
      <c r="BB851" s="61"/>
    </row>
    <row r="852" spans="47:54" x14ac:dyDescent="0.3">
      <c r="AU852" s="61"/>
      <c r="AV852" s="61"/>
      <c r="AW852" s="61"/>
      <c r="AX852" s="61"/>
      <c r="AY852" s="61"/>
      <c r="AZ852" s="61"/>
      <c r="BA852" s="61"/>
      <c r="BB852" s="61"/>
    </row>
    <row r="853" spans="47:54" x14ac:dyDescent="0.3">
      <c r="AU853" s="61"/>
      <c r="AV853" s="61"/>
      <c r="AW853" s="61"/>
      <c r="AX853" s="61"/>
      <c r="AY853" s="61"/>
      <c r="AZ853" s="61"/>
      <c r="BA853" s="61"/>
      <c r="BB853" s="61"/>
    </row>
    <row r="854" spans="47:54" x14ac:dyDescent="0.3">
      <c r="AU854" s="61"/>
      <c r="AV854" s="61"/>
      <c r="AW854" s="61"/>
      <c r="AX854" s="61"/>
      <c r="AY854" s="61"/>
      <c r="AZ854" s="61"/>
      <c r="BA854" s="61"/>
      <c r="BB854" s="61"/>
    </row>
    <row r="855" spans="47:54" x14ac:dyDescent="0.3">
      <c r="AU855" s="61"/>
      <c r="AV855" s="61"/>
      <c r="AW855" s="61"/>
      <c r="AX855" s="61"/>
      <c r="AY855" s="61"/>
      <c r="AZ855" s="61"/>
      <c r="BA855" s="61"/>
      <c r="BB855" s="61"/>
    </row>
    <row r="856" spans="47:54" x14ac:dyDescent="0.3">
      <c r="AU856" s="61"/>
      <c r="AV856" s="61"/>
      <c r="AW856" s="61"/>
      <c r="AX856" s="61"/>
      <c r="AY856" s="61"/>
      <c r="AZ856" s="61"/>
      <c r="BA856" s="61"/>
      <c r="BB856" s="61"/>
    </row>
    <row r="857" spans="47:54" x14ac:dyDescent="0.3">
      <c r="AU857" s="61"/>
      <c r="AV857" s="61"/>
      <c r="AW857" s="61"/>
      <c r="AX857" s="61"/>
      <c r="AY857" s="61"/>
      <c r="AZ857" s="61"/>
      <c r="BA857" s="61"/>
      <c r="BB857" s="61"/>
    </row>
    <row r="858" spans="47:54" x14ac:dyDescent="0.3">
      <c r="AU858" s="61"/>
      <c r="AV858" s="61"/>
      <c r="AW858" s="61"/>
      <c r="AX858" s="61"/>
      <c r="AY858" s="61"/>
      <c r="AZ858" s="61"/>
      <c r="BA858" s="61"/>
      <c r="BB858" s="61"/>
    </row>
    <row r="859" spans="47:54" x14ac:dyDescent="0.3">
      <c r="AU859" s="61"/>
      <c r="AV859" s="61"/>
      <c r="AW859" s="61"/>
      <c r="AX859" s="61"/>
      <c r="AY859" s="61"/>
      <c r="AZ859" s="61"/>
      <c r="BA859" s="61"/>
      <c r="BB859" s="61"/>
    </row>
    <row r="860" spans="47:54" x14ac:dyDescent="0.3">
      <c r="AU860" s="61"/>
      <c r="AV860" s="61"/>
      <c r="AW860" s="61"/>
      <c r="AX860" s="61"/>
      <c r="AY860" s="61"/>
      <c r="AZ860" s="61"/>
      <c r="BA860" s="61"/>
      <c r="BB860" s="61"/>
    </row>
    <row r="861" spans="47:54" x14ac:dyDescent="0.3">
      <c r="AU861" s="61"/>
      <c r="AV861" s="61"/>
      <c r="AW861" s="61"/>
      <c r="AX861" s="61"/>
      <c r="AY861" s="61"/>
      <c r="AZ861" s="61"/>
      <c r="BA861" s="61"/>
      <c r="BB861" s="61"/>
    </row>
    <row r="862" spans="47:54" x14ac:dyDescent="0.3">
      <c r="AU862" s="61"/>
      <c r="AV862" s="61"/>
      <c r="AW862" s="61"/>
      <c r="AX862" s="61"/>
      <c r="AY862" s="61"/>
      <c r="AZ862" s="61"/>
      <c r="BA862" s="61"/>
      <c r="BB862" s="61"/>
    </row>
    <row r="863" spans="47:54" x14ac:dyDescent="0.3">
      <c r="AU863" s="61"/>
      <c r="AV863" s="61"/>
      <c r="AW863" s="61"/>
      <c r="AX863" s="61"/>
      <c r="AY863" s="61"/>
      <c r="AZ863" s="61"/>
      <c r="BA863" s="61"/>
      <c r="BB863" s="61"/>
    </row>
    <row r="864" spans="47:54" x14ac:dyDescent="0.3">
      <c r="AU864" s="61"/>
      <c r="AV864" s="61"/>
      <c r="AW864" s="61"/>
      <c r="AX864" s="61"/>
      <c r="AY864" s="61"/>
      <c r="AZ864" s="61"/>
      <c r="BA864" s="61"/>
      <c r="BB864" s="61"/>
    </row>
    <row r="865" spans="47:54" x14ac:dyDescent="0.3">
      <c r="AU865" s="61"/>
      <c r="AV865" s="61"/>
      <c r="AW865" s="61"/>
      <c r="AX865" s="61"/>
      <c r="AY865" s="61"/>
      <c r="AZ865" s="61"/>
      <c r="BA865" s="61"/>
      <c r="BB865" s="61"/>
    </row>
    <row r="866" spans="47:54" x14ac:dyDescent="0.3">
      <c r="AU866" s="61"/>
      <c r="AV866" s="61"/>
      <c r="AW866" s="61"/>
      <c r="AX866" s="61"/>
      <c r="AY866" s="61"/>
      <c r="AZ866" s="61"/>
      <c r="BA866" s="61"/>
      <c r="BB866" s="61"/>
    </row>
    <row r="867" spans="47:54" x14ac:dyDescent="0.3">
      <c r="AU867" s="61"/>
      <c r="AV867" s="61"/>
      <c r="AW867" s="61"/>
      <c r="AX867" s="61"/>
      <c r="AY867" s="61"/>
      <c r="AZ867" s="61"/>
      <c r="BA867" s="61"/>
      <c r="BB867" s="61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6EAB-4129-467E-8D59-F687E7BC1F45}">
  <sheetPr codeName="Sheet6"/>
  <dimension ref="A1:AE126"/>
  <sheetViews>
    <sheetView topLeftCell="K1" workbookViewId="0">
      <selection activeCell="O2" sqref="O2"/>
    </sheetView>
  </sheetViews>
  <sheetFormatPr defaultRowHeight="15.6" x14ac:dyDescent="0.3"/>
  <sheetData>
    <row r="1" spans="1:31" x14ac:dyDescent="0.3">
      <c r="C1" t="s">
        <v>766</v>
      </c>
      <c r="AA1" t="s">
        <v>26</v>
      </c>
    </row>
    <row r="2" spans="1:31" ht="16.2" thickBot="1" x14ac:dyDescent="0.35">
      <c r="A2" s="42" t="s">
        <v>54</v>
      </c>
      <c r="B2" s="42" t="s">
        <v>64</v>
      </c>
      <c r="C2" s="42" t="s">
        <v>65</v>
      </c>
      <c r="D2" s="42" t="s">
        <v>61</v>
      </c>
      <c r="E2" s="42" t="s">
        <v>172</v>
      </c>
      <c r="F2" s="42" t="s">
        <v>173</v>
      </c>
      <c r="G2" s="42" t="s">
        <v>174</v>
      </c>
      <c r="H2" s="42" t="s">
        <v>176</v>
      </c>
      <c r="I2" s="42" t="s">
        <v>34</v>
      </c>
      <c r="J2" s="42" t="s">
        <v>178</v>
      </c>
      <c r="K2" s="45" t="s">
        <v>217</v>
      </c>
      <c r="L2" s="52"/>
      <c r="N2" s="52" t="s">
        <v>942</v>
      </c>
      <c r="O2" t="str">
        <f t="array" ref="O2:V26">optionChainGreeks(spot,N3:N26,J3:J26,K3:K26,Details!B6,Greeks!I3,Details!B7)</f>
        <v>Option Price</v>
      </c>
      <c r="P2" s="57" t="str">
        <v>Option Type</v>
      </c>
      <c r="Q2" t="str">
        <v>Implied Vol</v>
      </c>
      <c r="R2" t="str">
        <v>Delta</v>
      </c>
      <c r="S2" t="str">
        <v>Gamma</v>
      </c>
      <c r="T2" t="str">
        <v>Vega</v>
      </c>
      <c r="U2" t="str">
        <v>Theta</v>
      </c>
      <c r="V2" t="str">
        <v>Rho</v>
      </c>
      <c r="W2" t="s">
        <v>54</v>
      </c>
      <c r="X2" t="s">
        <v>177</v>
      </c>
      <c r="Y2" t="s">
        <v>40</v>
      </c>
      <c r="Z2" t="s">
        <v>17</v>
      </c>
      <c r="AA2" t="s">
        <v>18</v>
      </c>
      <c r="AB2" t="s">
        <v>19</v>
      </c>
      <c r="AC2" t="s">
        <v>20</v>
      </c>
      <c r="AD2" t="s">
        <v>21</v>
      </c>
    </row>
    <row r="3" spans="1:31" ht="16.2" thickTop="1" x14ac:dyDescent="0.3">
      <c r="A3" s="43" t="s">
        <v>208</v>
      </c>
      <c r="B3" s="43" t="s">
        <v>270</v>
      </c>
      <c r="C3" s="43" t="s">
        <v>740</v>
      </c>
      <c r="D3" s="43" t="s">
        <v>314</v>
      </c>
      <c r="E3" s="43" t="s">
        <v>116</v>
      </c>
      <c r="F3" s="43" t="s">
        <v>116</v>
      </c>
      <c r="G3" s="43" t="s">
        <v>307</v>
      </c>
      <c r="H3" s="48">
        <v>45</v>
      </c>
      <c r="I3" s="48">
        <v>0.12328767123287671</v>
      </c>
      <c r="J3" s="48" t="s">
        <v>44</v>
      </c>
      <c r="K3" s="49">
        <v>143.65</v>
      </c>
      <c r="L3" s="53"/>
      <c r="N3">
        <f>VALUE(A3)</f>
        <v>3990</v>
      </c>
      <c r="O3" s="6">
        <v>146.52543548999483</v>
      </c>
      <c r="P3" s="6" t="str">
        <v>p</v>
      </c>
      <c r="Q3" s="57">
        <v>0.21105020918000103</v>
      </c>
      <c r="R3" s="58">
        <v>-0.55981528172570894</v>
      </c>
      <c r="S3" s="58">
        <v>1.3527238068296685E-3</v>
      </c>
      <c r="T3" s="58">
        <v>5.4431810866774928</v>
      </c>
      <c r="U3" s="6">
        <v>-121.21356058902161</v>
      </c>
      <c r="V3">
        <v>-288.95584161101647</v>
      </c>
      <c r="AE3" t="str">
        <f>optionChainGreeks(spot,VALUE(data[Strike]),data[OptType],VALUE(data[Cnt Price]),Details!B6,AJ847,Details!B7)</f>
        <v>TypeError: object of type 'float' has no len()
    if (len(strikes) != len(optTypes) or len(optTypes) != len(cntPrices)):
  File "c:\work\freelance\test\GreekCalculator.py", line 74, in optionChainGreeks
    ret = func(*args)
  File "C:\Python310\lib\site-packages\xlwings\udfs.py", line 543, in call_udf
    res = call_udf(script, fname, args, this_workbook, FromVariant(caller))
  File "C:\Python310\lib\site-packages\xlwings\server.py", line 230, in CallUDF
    return func(*args)
  File "C:\Python310\lib\site-packages\win32com\server\policy.py", line 637, in _invokeex_
    return S_OK, -1, self._invokeex_(dispid, lcid, wFlags, args, None, None)
  File "C:\Python310\lib\site-packages\win32com\server\policy.py", line 308, in _invoke_
    return self._invoke_(dispid, lcid, wFlags, args)
  File "C:\Python310\lib\site-packages\win32com\server\policy.py", line 303, in _Invoke_</v>
      </c>
    </row>
    <row r="4" spans="1:31" x14ac:dyDescent="0.3">
      <c r="A4" s="44" t="s">
        <v>112</v>
      </c>
      <c r="B4" s="44" t="s">
        <v>741</v>
      </c>
      <c r="C4" s="44" t="s">
        <v>300</v>
      </c>
      <c r="D4" s="44"/>
      <c r="E4" s="44" t="s">
        <v>117</v>
      </c>
      <c r="F4" s="44" t="s">
        <v>117</v>
      </c>
      <c r="G4" s="44" t="s">
        <v>307</v>
      </c>
      <c r="H4" s="50">
        <v>45</v>
      </c>
      <c r="I4" s="50">
        <v>0.12328767123287671</v>
      </c>
      <c r="J4" s="50" t="s">
        <v>38</v>
      </c>
      <c r="K4" s="51">
        <v>244.29999999999998</v>
      </c>
      <c r="L4" s="54"/>
      <c r="N4">
        <f t="shared" ref="N4:N26" si="0">VALUE(A4)</f>
        <v>3900</v>
      </c>
      <c r="O4" s="6">
        <v>241.91080359487364</v>
      </c>
      <c r="P4" s="57" t="str">
        <v>c</v>
      </c>
      <c r="Q4" s="57">
        <v>0.40912364215483094</v>
      </c>
      <c r="R4" s="58">
        <v>0.55325658772701014</v>
      </c>
      <c r="S4" s="58">
        <v>6.9946492876050688E-4</v>
      </c>
      <c r="T4" s="58">
        <v>5.4560505248977913</v>
      </c>
      <c r="U4" s="6">
        <v>-253.31647410734692</v>
      </c>
      <c r="V4">
        <v>237.95147644615139</v>
      </c>
    </row>
    <row r="5" spans="1:31" x14ac:dyDescent="0.3">
      <c r="A5" s="43" t="s">
        <v>185</v>
      </c>
      <c r="B5" s="43" t="s">
        <v>742</v>
      </c>
      <c r="C5" s="43" t="s">
        <v>299</v>
      </c>
      <c r="D5" s="43"/>
      <c r="E5" s="43" t="s">
        <v>117</v>
      </c>
      <c r="F5" s="43" t="s">
        <v>117</v>
      </c>
      <c r="G5" s="43" t="s">
        <v>307</v>
      </c>
      <c r="H5" s="48">
        <v>45</v>
      </c>
      <c r="I5" s="48">
        <v>0.12328767123287671</v>
      </c>
      <c r="J5" s="48" t="s">
        <v>38</v>
      </c>
      <c r="K5" s="49">
        <v>237.5</v>
      </c>
      <c r="L5" s="53"/>
      <c r="N5">
        <f t="shared" si="0"/>
        <v>3910</v>
      </c>
      <c r="O5" s="6">
        <v>235.13697144580897</v>
      </c>
      <c r="P5" s="6" t="str">
        <v>c</v>
      </c>
      <c r="Q5" s="57">
        <v>0.40573244789813079</v>
      </c>
      <c r="R5" s="58">
        <v>0.54611088732186608</v>
      </c>
      <c r="S5" s="58">
        <v>7.0690284235612238E-4</v>
      </c>
      <c r="T5" s="58">
        <v>5.4683629449221458</v>
      </c>
      <c r="U5" s="6">
        <v>-251.75731691614129</v>
      </c>
      <c r="V5">
        <v>235.32753427543119</v>
      </c>
    </row>
    <row r="6" spans="1:31" x14ac:dyDescent="0.3">
      <c r="A6" s="44" t="s">
        <v>185</v>
      </c>
      <c r="B6" s="44" t="s">
        <v>284</v>
      </c>
      <c r="C6" s="44" t="s">
        <v>743</v>
      </c>
      <c r="D6" s="44" t="s">
        <v>297</v>
      </c>
      <c r="E6" s="44" t="s">
        <v>83</v>
      </c>
      <c r="F6" s="44" t="s">
        <v>83</v>
      </c>
      <c r="G6" s="44" t="s">
        <v>307</v>
      </c>
      <c r="H6" s="50">
        <v>45</v>
      </c>
      <c r="I6" s="50">
        <v>0.12328767123287671</v>
      </c>
      <c r="J6" s="50" t="s">
        <v>44</v>
      </c>
      <c r="K6" s="51">
        <v>115.25</v>
      </c>
      <c r="L6" s="54"/>
      <c r="N6">
        <f t="shared" si="0"/>
        <v>3910</v>
      </c>
      <c r="O6" s="6">
        <v>117.57419758603965</v>
      </c>
      <c r="P6" s="6" t="str">
        <v>p</v>
      </c>
      <c r="Q6" s="57">
        <v>0.23630916052277853</v>
      </c>
      <c r="R6" s="58">
        <v>-0.45300181010105411</v>
      </c>
      <c r="S6" s="58">
        <v>1.2134032671126138E-3</v>
      </c>
      <c r="T6" s="58">
        <v>5.4669308418027525</v>
      </c>
      <c r="U6" s="6">
        <v>-138.34312415736954</v>
      </c>
      <c r="V6">
        <v>-233.70030088873051</v>
      </c>
    </row>
    <row r="7" spans="1:31" x14ac:dyDescent="0.3">
      <c r="A7" s="43" t="s">
        <v>186</v>
      </c>
      <c r="B7" s="43" t="s">
        <v>304</v>
      </c>
      <c r="C7" s="43" t="s">
        <v>744</v>
      </c>
      <c r="D7" s="43"/>
      <c r="E7" s="43" t="s">
        <v>100</v>
      </c>
      <c r="F7" s="43" t="s">
        <v>100</v>
      </c>
      <c r="G7" s="43" t="s">
        <v>307</v>
      </c>
      <c r="H7" s="48">
        <v>45</v>
      </c>
      <c r="I7" s="48">
        <v>0.12328767123287671</v>
      </c>
      <c r="J7" s="48" t="s">
        <v>38</v>
      </c>
      <c r="K7" s="49">
        <v>230.8</v>
      </c>
      <c r="L7" s="53"/>
      <c r="N7">
        <f t="shared" si="0"/>
        <v>3920</v>
      </c>
      <c r="O7" s="6">
        <v>228.46380083270333</v>
      </c>
      <c r="P7" s="6" t="str">
        <v>c</v>
      </c>
      <c r="Q7" s="57">
        <v>0.40240862559397966</v>
      </c>
      <c r="R7" s="58">
        <v>0.53885468102015543</v>
      </c>
      <c r="S7" s="58">
        <v>7.1413417637409605E-4</v>
      </c>
      <c r="T7" s="58">
        <v>5.4790461875911998</v>
      </c>
      <c r="U7" s="6">
        <v>-250.1555986588599</v>
      </c>
      <c r="V7" s="4">
        <v>232.63771957367581</v>
      </c>
    </row>
    <row r="8" spans="1:31" x14ac:dyDescent="0.3">
      <c r="A8" s="44" t="s">
        <v>135</v>
      </c>
      <c r="B8" s="44" t="s">
        <v>745</v>
      </c>
      <c r="C8" s="44" t="s">
        <v>746</v>
      </c>
      <c r="D8" s="44" t="s">
        <v>428</v>
      </c>
      <c r="E8" s="44" t="s">
        <v>83</v>
      </c>
      <c r="F8" s="44" t="s">
        <v>83</v>
      </c>
      <c r="G8" s="44" t="s">
        <v>307</v>
      </c>
      <c r="H8" s="50">
        <v>45</v>
      </c>
      <c r="I8" s="50">
        <v>0.12328767123287671</v>
      </c>
      <c r="J8" s="50" t="s">
        <v>44</v>
      </c>
      <c r="K8" s="51">
        <v>120.14999999999999</v>
      </c>
      <c r="L8" s="54"/>
      <c r="N8">
        <f t="shared" si="0"/>
        <v>3925</v>
      </c>
      <c r="O8" s="6">
        <v>122.56912757658029</v>
      </c>
      <c r="P8" s="6" t="str">
        <v>p</v>
      </c>
      <c r="Q8" s="57">
        <v>0.23189465214126537</v>
      </c>
      <c r="R8" s="58">
        <v>-0.47140499728777929</v>
      </c>
      <c r="S8" s="58">
        <v>1.2419529842884638E-3</v>
      </c>
      <c r="T8" s="58">
        <v>5.4910291755521738</v>
      </c>
      <c r="U8" s="6">
        <v>-136.07067074318135</v>
      </c>
      <c r="V8" s="4">
        <v>-243.2212726026267</v>
      </c>
    </row>
    <row r="9" spans="1:31" x14ac:dyDescent="0.3">
      <c r="A9" s="43" t="s">
        <v>184</v>
      </c>
      <c r="B9" s="43" t="s">
        <v>747</v>
      </c>
      <c r="C9" s="43" t="s">
        <v>748</v>
      </c>
      <c r="D9" s="43"/>
      <c r="E9" s="43" t="s">
        <v>100</v>
      </c>
      <c r="F9" s="43" t="s">
        <v>100</v>
      </c>
      <c r="G9" s="43" t="s">
        <v>307</v>
      </c>
      <c r="H9" s="48">
        <v>45</v>
      </c>
      <c r="I9" s="48">
        <v>0.12328767123287671</v>
      </c>
      <c r="J9" s="48" t="s">
        <v>38</v>
      </c>
      <c r="K9" s="49">
        <v>224.2</v>
      </c>
      <c r="L9" s="53"/>
      <c r="N9">
        <f t="shared" si="0"/>
        <v>3930</v>
      </c>
      <c r="O9" s="6">
        <v>221.89127924418585</v>
      </c>
      <c r="P9" s="6" t="str">
        <v>c</v>
      </c>
      <c r="Q9" s="57">
        <v>0.3991490446738305</v>
      </c>
      <c r="R9" s="58">
        <v>0.53149058351583955</v>
      </c>
      <c r="S9" s="58">
        <v>7.2114486220470873E-4</v>
      </c>
      <c r="T9" s="58">
        <v>5.4880172848493887</v>
      </c>
      <c r="U9" s="6">
        <v>-248.50780386160736</v>
      </c>
      <c r="V9" s="4">
        <v>229.88329921925464</v>
      </c>
    </row>
    <row r="10" spans="1:31" x14ac:dyDescent="0.3">
      <c r="A10" s="44" t="s">
        <v>187</v>
      </c>
      <c r="B10" s="44" t="s">
        <v>275</v>
      </c>
      <c r="C10" s="44" t="s">
        <v>302</v>
      </c>
      <c r="D10" s="44" t="s">
        <v>433</v>
      </c>
      <c r="E10" s="44" t="s">
        <v>114</v>
      </c>
      <c r="F10" s="44" t="s">
        <v>114</v>
      </c>
      <c r="G10" s="44" t="s">
        <v>307</v>
      </c>
      <c r="H10" s="50">
        <v>45</v>
      </c>
      <c r="I10" s="50">
        <v>0.12328767123287671</v>
      </c>
      <c r="J10" s="50" t="s">
        <v>44</v>
      </c>
      <c r="K10" s="51">
        <v>125.25</v>
      </c>
      <c r="L10" s="54"/>
      <c r="N10">
        <f t="shared" si="0"/>
        <v>3940</v>
      </c>
      <c r="O10" s="6">
        <v>127.76773047478036</v>
      </c>
      <c r="P10" s="6" t="str">
        <v>p</v>
      </c>
      <c r="Q10" s="57">
        <v>0.22737016896350373</v>
      </c>
      <c r="R10" s="58">
        <v>-0.49051268573037332</v>
      </c>
      <c r="S10" s="58">
        <v>1.2695713249759658E-3</v>
      </c>
      <c r="T10" s="58">
        <v>5.5036201480125166</v>
      </c>
      <c r="U10" s="6">
        <v>-133.40832701502907</v>
      </c>
      <c r="V10" s="4">
        <v>-253.10825543316645</v>
      </c>
    </row>
    <row r="11" spans="1:31" x14ac:dyDescent="0.3">
      <c r="A11" s="43" t="s">
        <v>137</v>
      </c>
      <c r="B11" s="43" t="s">
        <v>749</v>
      </c>
      <c r="C11" s="43" t="s">
        <v>750</v>
      </c>
      <c r="D11" s="43" t="s">
        <v>276</v>
      </c>
      <c r="E11" s="43" t="s">
        <v>114</v>
      </c>
      <c r="F11" s="43" t="s">
        <v>114</v>
      </c>
      <c r="G11" s="43" t="s">
        <v>307</v>
      </c>
      <c r="H11" s="48">
        <v>45</v>
      </c>
      <c r="I11" s="48">
        <v>0.12328767123287671</v>
      </c>
      <c r="J11" s="48" t="s">
        <v>44</v>
      </c>
      <c r="K11" s="49">
        <v>137.95000000000002</v>
      </c>
      <c r="L11" s="53"/>
      <c r="N11">
        <f t="shared" si="0"/>
        <v>3975</v>
      </c>
      <c r="O11" s="6">
        <v>140.7130364812383</v>
      </c>
      <c r="P11" s="6" t="str">
        <v>p</v>
      </c>
      <c r="Q11" s="57">
        <v>0.21627197507963358</v>
      </c>
      <c r="R11" s="58">
        <v>-0.53802386101521038</v>
      </c>
      <c r="S11" s="58">
        <v>1.3290292551162443E-3</v>
      </c>
      <c r="T11" s="58">
        <v>5.4801525743696322</v>
      </c>
      <c r="U11" s="6">
        <v>-125.51066666488931</v>
      </c>
      <c r="V11" s="4">
        <v>-277.69453081058055</v>
      </c>
    </row>
    <row r="12" spans="1:31" x14ac:dyDescent="0.3">
      <c r="A12" s="44" t="s">
        <v>207</v>
      </c>
      <c r="B12" s="44" t="s">
        <v>298</v>
      </c>
      <c r="C12" s="44" t="s">
        <v>751</v>
      </c>
      <c r="D12" s="44"/>
      <c r="E12" s="44" t="s">
        <v>100</v>
      </c>
      <c r="F12" s="44" t="s">
        <v>100</v>
      </c>
      <c r="G12" s="44" t="s">
        <v>307</v>
      </c>
      <c r="H12" s="50">
        <v>45</v>
      </c>
      <c r="I12" s="50">
        <v>0.12328767123287671</v>
      </c>
      <c r="J12" s="50" t="s">
        <v>38</v>
      </c>
      <c r="K12" s="51">
        <v>192.2</v>
      </c>
      <c r="L12" s="54"/>
      <c r="N12">
        <f t="shared" si="0"/>
        <v>3980</v>
      </c>
      <c r="O12" s="6">
        <v>190.03798853795047</v>
      </c>
      <c r="P12" s="6" t="str">
        <v>c</v>
      </c>
      <c r="Q12" s="57">
        <v>0.38280311941063455</v>
      </c>
      <c r="R12" s="58">
        <v>0.49300762769232054</v>
      </c>
      <c r="S12" s="58">
        <v>7.5417344227556287E-4</v>
      </c>
      <c r="T12" s="58">
        <v>5.5043312995263172</v>
      </c>
      <c r="U12" s="6">
        <v>-238.90719568978537</v>
      </c>
      <c r="V12" s="4">
        <v>215.18239043670846</v>
      </c>
    </row>
    <row r="13" spans="1:31" x14ac:dyDescent="0.3">
      <c r="A13" s="43" t="s">
        <v>207</v>
      </c>
      <c r="B13" s="43" t="s">
        <v>752</v>
      </c>
      <c r="C13" s="43" t="s">
        <v>292</v>
      </c>
      <c r="D13" s="43" t="s">
        <v>440</v>
      </c>
      <c r="E13" s="43" t="s">
        <v>116</v>
      </c>
      <c r="F13" s="43" t="s">
        <v>116</v>
      </c>
      <c r="G13" s="43" t="s">
        <v>307</v>
      </c>
      <c r="H13" s="48">
        <v>45</v>
      </c>
      <c r="I13" s="48">
        <v>0.12328767123287671</v>
      </c>
      <c r="J13" s="48" t="s">
        <v>44</v>
      </c>
      <c r="K13" s="49">
        <v>139.85</v>
      </c>
      <c r="L13" s="53"/>
      <c r="N13">
        <f t="shared" si="0"/>
        <v>3980</v>
      </c>
      <c r="O13" s="6">
        <v>142.64994689199784</v>
      </c>
      <c r="P13" s="6" t="str">
        <v>p</v>
      </c>
      <c r="Q13" s="57">
        <v>0.21459739909856923</v>
      </c>
      <c r="R13" s="58">
        <v>-0.54517287578914175</v>
      </c>
      <c r="S13" s="58">
        <v>1.3368813610671775E-3</v>
      </c>
      <c r="T13" s="58">
        <v>5.469847080946062</v>
      </c>
      <c r="U13" s="6">
        <v>-124.16299928635691</v>
      </c>
      <c r="V13" s="4">
        <v>-281.39268087605797</v>
      </c>
    </row>
    <row r="14" spans="1:31" x14ac:dyDescent="0.3">
      <c r="A14" s="44" t="s">
        <v>208</v>
      </c>
      <c r="B14" s="44" t="s">
        <v>753</v>
      </c>
      <c r="C14" s="44" t="s">
        <v>296</v>
      </c>
      <c r="D14" s="44" t="s">
        <v>303</v>
      </c>
      <c r="E14" s="44" t="s">
        <v>100</v>
      </c>
      <c r="F14" s="44" t="s">
        <v>100</v>
      </c>
      <c r="G14" s="44" t="s">
        <v>307</v>
      </c>
      <c r="H14" s="50">
        <v>45</v>
      </c>
      <c r="I14" s="50">
        <v>0.12328767123287671</v>
      </c>
      <c r="J14" s="50" t="s">
        <v>38</v>
      </c>
      <c r="K14" s="51">
        <v>186.1</v>
      </c>
      <c r="L14" s="54"/>
      <c r="N14">
        <f t="shared" si="0"/>
        <v>3990</v>
      </c>
      <c r="O14" s="6">
        <v>183.96919050767656</v>
      </c>
      <c r="P14" s="6" t="str">
        <v>c</v>
      </c>
      <c r="Q14" s="57">
        <v>0.3796861338277876</v>
      </c>
      <c r="R14" s="58">
        <v>0.48500571785923585</v>
      </c>
      <c r="S14" s="58">
        <v>7.5994434313552295E-4</v>
      </c>
      <c r="T14" s="58">
        <v>5.5012880594223645</v>
      </c>
      <c r="U14" s="6">
        <v>-236.80295241090479</v>
      </c>
      <c r="V14" s="4">
        <v>212.05728499891384</v>
      </c>
    </row>
    <row r="15" spans="1:31" x14ac:dyDescent="0.3">
      <c r="A15" s="43" t="s">
        <v>112</v>
      </c>
      <c r="B15" s="43" t="s">
        <v>754</v>
      </c>
      <c r="C15" s="43" t="s">
        <v>287</v>
      </c>
      <c r="D15" s="43" t="s">
        <v>586</v>
      </c>
      <c r="E15" s="43" t="s">
        <v>113</v>
      </c>
      <c r="F15" s="43" t="s">
        <v>113</v>
      </c>
      <c r="G15" s="43" t="s">
        <v>307</v>
      </c>
      <c r="H15" s="48">
        <v>45</v>
      </c>
      <c r="I15" s="48">
        <v>0.12328767123287671</v>
      </c>
      <c r="J15" s="48" t="s">
        <v>44</v>
      </c>
      <c r="K15" s="49">
        <v>112.05000000000001</v>
      </c>
      <c r="L15" s="53"/>
      <c r="N15">
        <f t="shared" si="0"/>
        <v>3900</v>
      </c>
      <c r="O15" s="6">
        <v>114.31278611404832</v>
      </c>
      <c r="P15" s="6" t="str">
        <v>p</v>
      </c>
      <c r="Q15" s="57">
        <v>0.23912135991212477</v>
      </c>
      <c r="R15" s="58">
        <v>-0.44110279255370566</v>
      </c>
      <c r="S15" s="58">
        <v>1.1943386152493591E-3</v>
      </c>
      <c r="T15" s="58">
        <v>5.4450730265525094</v>
      </c>
      <c r="U15" s="6">
        <v>-139.60767244682253</v>
      </c>
      <c r="V15" s="4">
        <v>-227.54037231710208</v>
      </c>
    </row>
    <row r="16" spans="1:31" x14ac:dyDescent="0.3">
      <c r="A16" s="44" t="s">
        <v>186</v>
      </c>
      <c r="B16" s="44" t="s">
        <v>286</v>
      </c>
      <c r="C16" s="44" t="s">
        <v>289</v>
      </c>
      <c r="D16" s="44" t="s">
        <v>589</v>
      </c>
      <c r="E16" s="44" t="s">
        <v>83</v>
      </c>
      <c r="F16" s="44" t="s">
        <v>83</v>
      </c>
      <c r="G16" s="44" t="s">
        <v>307</v>
      </c>
      <c r="H16" s="50">
        <v>45</v>
      </c>
      <c r="I16" s="50">
        <v>0.12328767123287671</v>
      </c>
      <c r="J16" s="50" t="s">
        <v>44</v>
      </c>
      <c r="K16" s="51">
        <v>118.55</v>
      </c>
      <c r="L16" s="54"/>
      <c r="N16">
        <f t="shared" si="0"/>
        <v>3920</v>
      </c>
      <c r="O16" s="6">
        <v>120.93716236381533</v>
      </c>
      <c r="P16" s="6" t="str">
        <v>p</v>
      </c>
      <c r="Q16" s="57">
        <v>0.2334785805128882</v>
      </c>
      <c r="R16" s="58">
        <v>-0.46519465328318332</v>
      </c>
      <c r="S16" s="58">
        <v>1.2319961339039161E-3</v>
      </c>
      <c r="T16" s="58">
        <v>5.4842122167649405</v>
      </c>
      <c r="U16" s="6">
        <v>-136.9315422303124</v>
      </c>
      <c r="V16" s="4">
        <v>-240.01492634670021</v>
      </c>
    </row>
    <row r="17" spans="1:22" x14ac:dyDescent="0.3">
      <c r="A17" s="43" t="s">
        <v>135</v>
      </c>
      <c r="B17" s="43" t="s">
        <v>755</v>
      </c>
      <c r="C17" s="43" t="s">
        <v>756</v>
      </c>
      <c r="D17" s="43" t="s">
        <v>592</v>
      </c>
      <c r="E17" s="43" t="s">
        <v>100</v>
      </c>
      <c r="F17" s="43" t="s">
        <v>100</v>
      </c>
      <c r="G17" s="43" t="s">
        <v>307</v>
      </c>
      <c r="H17" s="48">
        <v>45</v>
      </c>
      <c r="I17" s="48">
        <v>0.12328767123287671</v>
      </c>
      <c r="J17" s="48" t="s">
        <v>38</v>
      </c>
      <c r="K17" s="49">
        <v>227.5</v>
      </c>
      <c r="L17" s="53"/>
      <c r="N17">
        <f t="shared" si="0"/>
        <v>3925</v>
      </c>
      <c r="O17" s="6">
        <v>225.17746986976044</v>
      </c>
      <c r="P17" s="6" t="str">
        <v>c</v>
      </c>
      <c r="Q17" s="57">
        <v>0.40079381027792332</v>
      </c>
      <c r="R17" s="58">
        <v>0.53518713619070502</v>
      </c>
      <c r="S17" s="58">
        <v>7.1762694346816825E-4</v>
      </c>
      <c r="T17" s="58">
        <v>5.4837494579840538</v>
      </c>
      <c r="U17" s="6">
        <v>-249.3514897008595</v>
      </c>
      <c r="V17" s="4">
        <v>231.26753696955458</v>
      </c>
    </row>
    <row r="18" spans="1:22" x14ac:dyDescent="0.3">
      <c r="A18" s="44" t="s">
        <v>184</v>
      </c>
      <c r="B18" s="44" t="s">
        <v>279</v>
      </c>
      <c r="C18" s="44" t="s">
        <v>301</v>
      </c>
      <c r="D18" s="44" t="s">
        <v>595</v>
      </c>
      <c r="E18" s="44" t="s">
        <v>83</v>
      </c>
      <c r="F18" s="44" t="s">
        <v>83</v>
      </c>
      <c r="G18" s="44" t="s">
        <v>307</v>
      </c>
      <c r="H18" s="50">
        <v>45</v>
      </c>
      <c r="I18" s="50">
        <v>0.12328767123287671</v>
      </c>
      <c r="J18" s="50" t="s">
        <v>44</v>
      </c>
      <c r="K18" s="51">
        <v>121.85000000000001</v>
      </c>
      <c r="L18" s="54"/>
      <c r="N18">
        <f t="shared" si="0"/>
        <v>3930</v>
      </c>
      <c r="O18" s="6">
        <v>124.30160149339963</v>
      </c>
      <c r="P18" s="6" t="str">
        <v>p</v>
      </c>
      <c r="Q18" s="57">
        <v>0.23044043510175344</v>
      </c>
      <c r="R18" s="58">
        <v>-0.47769274852422783</v>
      </c>
      <c r="S18" s="58">
        <v>1.2510512223492427E-3</v>
      </c>
      <c r="T18" s="58">
        <v>5.4965684508600905</v>
      </c>
      <c r="U18" s="6">
        <v>-135.25281351512618</v>
      </c>
      <c r="V18" s="4">
        <v>-246.47745502074093</v>
      </c>
    </row>
    <row r="19" spans="1:22" x14ac:dyDescent="0.3">
      <c r="A19" s="43" t="s">
        <v>187</v>
      </c>
      <c r="B19" s="43" t="s">
        <v>281</v>
      </c>
      <c r="C19" s="43" t="s">
        <v>757</v>
      </c>
      <c r="D19" s="43" t="s">
        <v>598</v>
      </c>
      <c r="E19" s="43" t="s">
        <v>100</v>
      </c>
      <c r="F19" s="43" t="s">
        <v>100</v>
      </c>
      <c r="G19" s="43" t="s">
        <v>307</v>
      </c>
      <c r="H19" s="48">
        <v>45</v>
      </c>
      <c r="I19" s="48">
        <v>0.12328767123287671</v>
      </c>
      <c r="J19" s="48" t="s">
        <v>38</v>
      </c>
      <c r="K19" s="49">
        <v>217.6</v>
      </c>
      <c r="L19" s="53"/>
      <c r="N19">
        <f t="shared" si="0"/>
        <v>3940</v>
      </c>
      <c r="O19" s="6">
        <v>215.31933623184727</v>
      </c>
      <c r="P19" s="6" t="str">
        <v>c</v>
      </c>
      <c r="Q19" s="57">
        <v>0.39576858217644156</v>
      </c>
      <c r="R19" s="58">
        <v>0.52400689861541161</v>
      </c>
      <c r="S19" s="58">
        <v>7.2825725593047761E-4</v>
      </c>
      <c r="T19" s="58">
        <v>5.4952062597181417</v>
      </c>
      <c r="U19" s="6">
        <v>-246.7000224283282</v>
      </c>
      <c r="V19" s="4">
        <v>227.07093528468533</v>
      </c>
    </row>
    <row r="20" spans="1:22" x14ac:dyDescent="0.3">
      <c r="A20" s="44" t="s">
        <v>136</v>
      </c>
      <c r="B20" s="44" t="s">
        <v>758</v>
      </c>
      <c r="C20" s="44" t="s">
        <v>759</v>
      </c>
      <c r="D20" s="44" t="s">
        <v>601</v>
      </c>
      <c r="E20" s="44" t="s">
        <v>114</v>
      </c>
      <c r="F20" s="44" t="s">
        <v>114</v>
      </c>
      <c r="G20" s="44" t="s">
        <v>307</v>
      </c>
      <c r="H20" s="50">
        <v>45</v>
      </c>
      <c r="I20" s="50">
        <v>0.12328767123287671</v>
      </c>
      <c r="J20" s="50" t="s">
        <v>44</v>
      </c>
      <c r="K20" s="51">
        <v>128.75</v>
      </c>
      <c r="L20" s="54"/>
      <c r="N20">
        <f t="shared" si="0"/>
        <v>3950</v>
      </c>
      <c r="O20" s="6">
        <v>131.33558398330069</v>
      </c>
      <c r="P20" s="6" t="str">
        <v>p</v>
      </c>
      <c r="Q20" s="57">
        <v>0.22425962225593468</v>
      </c>
      <c r="R20" s="58">
        <v>-0.50366145951966168</v>
      </c>
      <c r="S20" s="58">
        <v>1.2874905222410879E-3</v>
      </c>
      <c r="T20" s="58">
        <v>5.5049450677787979</v>
      </c>
      <c r="U20" s="6">
        <v>-131.38784788742635</v>
      </c>
      <c r="V20" s="4">
        <v>-259.91071678313187</v>
      </c>
    </row>
    <row r="21" spans="1:22" x14ac:dyDescent="0.3">
      <c r="A21" s="43" t="s">
        <v>136</v>
      </c>
      <c r="B21" s="43" t="s">
        <v>760</v>
      </c>
      <c r="C21" s="43" t="s">
        <v>305</v>
      </c>
      <c r="D21" s="43" t="s">
        <v>280</v>
      </c>
      <c r="E21" s="43" t="s">
        <v>100</v>
      </c>
      <c r="F21" s="43" t="s">
        <v>100</v>
      </c>
      <c r="G21" s="43" t="s">
        <v>307</v>
      </c>
      <c r="H21" s="48">
        <v>45</v>
      </c>
      <c r="I21" s="48">
        <v>0.12328767123287671</v>
      </c>
      <c r="J21" s="48" t="s">
        <v>38</v>
      </c>
      <c r="K21" s="49">
        <v>211.1</v>
      </c>
      <c r="L21" s="53"/>
      <c r="N21">
        <f t="shared" si="0"/>
        <v>3950</v>
      </c>
      <c r="O21" s="6">
        <v>208.84804859038331</v>
      </c>
      <c r="P21" s="6" t="str">
        <v>c</v>
      </c>
      <c r="Q21" s="57">
        <v>0.39244677777326414</v>
      </c>
      <c r="R21" s="58">
        <v>0.51641405644904359</v>
      </c>
      <c r="S21" s="58">
        <v>7.351311938148873E-4</v>
      </c>
      <c r="T21" s="58">
        <v>5.5005166270344388</v>
      </c>
      <c r="U21" s="6">
        <v>-244.83933460630257</v>
      </c>
      <c r="V21" s="4">
        <v>224.19335222564496</v>
      </c>
    </row>
    <row r="22" spans="1:22" x14ac:dyDescent="0.3">
      <c r="A22" s="44" t="s">
        <v>188</v>
      </c>
      <c r="B22" s="44" t="s">
        <v>738</v>
      </c>
      <c r="C22" s="44" t="s">
        <v>739</v>
      </c>
      <c r="D22" s="44" t="s">
        <v>606</v>
      </c>
      <c r="E22" s="44" t="s">
        <v>100</v>
      </c>
      <c r="F22" s="44" t="s">
        <v>100</v>
      </c>
      <c r="G22" s="44" t="s">
        <v>307</v>
      </c>
      <c r="H22" s="50">
        <v>45</v>
      </c>
      <c r="I22" s="50">
        <v>0.12328767123287671</v>
      </c>
      <c r="J22" s="50" t="s">
        <v>38</v>
      </c>
      <c r="K22" s="51">
        <v>204.7</v>
      </c>
      <c r="L22" s="54"/>
      <c r="N22">
        <f t="shared" si="0"/>
        <v>3960</v>
      </c>
      <c r="O22" s="6">
        <v>202.47740363931803</v>
      </c>
      <c r="P22" s="6" t="str">
        <v>c</v>
      </c>
      <c r="Q22" s="57">
        <v>0.38918057361274938</v>
      </c>
      <c r="R22" s="58">
        <v>0.5087147084530661</v>
      </c>
      <c r="S22" s="58">
        <v>7.4175183482453548E-4</v>
      </c>
      <c r="T22" s="58">
        <v>5.5038633888681829</v>
      </c>
      <c r="U22" s="6">
        <v>-242.92240740011735</v>
      </c>
      <c r="V22" s="4">
        <v>221.25183472218586</v>
      </c>
    </row>
    <row r="23" spans="1:22" x14ac:dyDescent="0.3">
      <c r="A23" s="43" t="s">
        <v>188</v>
      </c>
      <c r="B23" s="43" t="s">
        <v>283</v>
      </c>
      <c r="C23" s="43" t="s">
        <v>761</v>
      </c>
      <c r="D23" s="43" t="s">
        <v>609</v>
      </c>
      <c r="E23" s="43" t="s">
        <v>114</v>
      </c>
      <c r="F23" s="43" t="s">
        <v>114</v>
      </c>
      <c r="G23" s="43" t="s">
        <v>307</v>
      </c>
      <c r="H23" s="48">
        <v>45</v>
      </c>
      <c r="I23" s="48">
        <v>0.12328767123287671</v>
      </c>
      <c r="J23" s="48" t="s">
        <v>44</v>
      </c>
      <c r="K23" s="49">
        <v>132.35000000000002</v>
      </c>
      <c r="L23" s="53"/>
      <c r="N23">
        <f t="shared" si="0"/>
        <v>3960</v>
      </c>
      <c r="O23" s="6">
        <v>135.00520343191965</v>
      </c>
      <c r="P23" s="6" t="str">
        <v>p</v>
      </c>
      <c r="Q23" s="57">
        <v>0.22110019514011289</v>
      </c>
      <c r="R23" s="58">
        <v>-0.51714743941620189</v>
      </c>
      <c r="S23" s="58">
        <v>1.3047366793130454E-3</v>
      </c>
      <c r="T23" s="58">
        <v>5.5000908115295646</v>
      </c>
      <c r="U23" s="6">
        <v>-129.18083600234496</v>
      </c>
      <c r="V23" s="4">
        <v>-266.88889446241899</v>
      </c>
    </row>
    <row r="24" spans="1:22" x14ac:dyDescent="0.3">
      <c r="A24" s="44" t="s">
        <v>214</v>
      </c>
      <c r="B24" s="44" t="s">
        <v>762</v>
      </c>
      <c r="C24" s="44" t="s">
        <v>240</v>
      </c>
      <c r="D24" s="44" t="s">
        <v>612</v>
      </c>
      <c r="E24" s="44" t="s">
        <v>100</v>
      </c>
      <c r="F24" s="44" t="s">
        <v>100</v>
      </c>
      <c r="G24" s="44" t="s">
        <v>307</v>
      </c>
      <c r="H24" s="50">
        <v>45</v>
      </c>
      <c r="I24" s="50">
        <v>0.12328767123287671</v>
      </c>
      <c r="J24" s="50" t="s">
        <v>38</v>
      </c>
      <c r="K24" s="51">
        <v>198.4</v>
      </c>
      <c r="L24" s="54"/>
      <c r="N24">
        <f t="shared" si="0"/>
        <v>3970</v>
      </c>
      <c r="O24" s="6">
        <v>196.207388185946</v>
      </c>
      <c r="P24" s="6" t="str">
        <v>c</v>
      </c>
      <c r="Q24" s="57">
        <v>0.38596698909797944</v>
      </c>
      <c r="R24" s="58">
        <v>0.50091161193531253</v>
      </c>
      <c r="S24" s="58">
        <v>7.4810425150072593E-4</v>
      </c>
      <c r="T24" s="58">
        <v>5.5051625586344413</v>
      </c>
      <c r="U24" s="6">
        <v>-240.94604541049546</v>
      </c>
      <c r="V24" s="4">
        <v>218.24771875219182</v>
      </c>
    </row>
    <row r="25" spans="1:22" x14ac:dyDescent="0.3">
      <c r="A25" s="43" t="s">
        <v>214</v>
      </c>
      <c r="B25" s="43" t="s">
        <v>663</v>
      </c>
      <c r="C25" s="43" t="s">
        <v>763</v>
      </c>
      <c r="D25" s="43" t="s">
        <v>615</v>
      </c>
      <c r="E25" s="43" t="s">
        <v>114</v>
      </c>
      <c r="F25" s="43" t="s">
        <v>114</v>
      </c>
      <c r="G25" s="43" t="s">
        <v>307</v>
      </c>
      <c r="H25" s="48">
        <v>45</v>
      </c>
      <c r="I25" s="48">
        <v>0.12328767123287671</v>
      </c>
      <c r="J25" s="48" t="s">
        <v>44</v>
      </c>
      <c r="K25" s="49">
        <v>136.04999999999998</v>
      </c>
      <c r="L25" s="53"/>
      <c r="N25">
        <f t="shared" si="0"/>
        <v>3970</v>
      </c>
      <c r="O25" s="6">
        <v>138.77663816286531</v>
      </c>
      <c r="P25" s="6" t="str">
        <v>p</v>
      </c>
      <c r="Q25" s="57">
        <v>0.21788273484395418</v>
      </c>
      <c r="R25" s="58">
        <v>-0.53098061225592785</v>
      </c>
      <c r="S25" s="58">
        <v>1.3212300277854693E-3</v>
      </c>
      <c r="T25" s="58">
        <v>5.4885688428073447</v>
      </c>
      <c r="U25" s="6">
        <v>-126.77636103206007</v>
      </c>
      <c r="V25" s="4">
        <v>-274.04762751041756</v>
      </c>
    </row>
    <row r="26" spans="1:22" x14ac:dyDescent="0.3">
      <c r="A26" s="44" t="s">
        <v>137</v>
      </c>
      <c r="B26" s="44" t="s">
        <v>290</v>
      </c>
      <c r="C26" s="44" t="s">
        <v>764</v>
      </c>
      <c r="D26" s="44" t="s">
        <v>618</v>
      </c>
      <c r="E26" s="44" t="s">
        <v>100</v>
      </c>
      <c r="F26" s="44" t="s">
        <v>100</v>
      </c>
      <c r="G26" s="44" t="s">
        <v>307</v>
      </c>
      <c r="H26" s="50">
        <v>45</v>
      </c>
      <c r="I26" s="50">
        <v>0.12328767123287671</v>
      </c>
      <c r="J26" s="50" t="s">
        <v>38</v>
      </c>
      <c r="K26" s="51">
        <v>195.3</v>
      </c>
      <c r="L26" s="54"/>
      <c r="N26">
        <f t="shared" si="0"/>
        <v>3975</v>
      </c>
      <c r="O26" s="6">
        <v>193.12261191628454</v>
      </c>
      <c r="P26" s="6" t="str">
        <v>c</v>
      </c>
      <c r="Q26" s="57">
        <v>0.38440172446360005</v>
      </c>
      <c r="R26" s="58">
        <v>0.49697540726502321</v>
      </c>
      <c r="S26" s="58">
        <v>7.511308676918405E-4</v>
      </c>
      <c r="T26" s="58">
        <v>5.5050187130131656</v>
      </c>
      <c r="U26" s="6">
        <v>-239.9485220814725</v>
      </c>
      <c r="V26" s="4">
        <v>216.72270408278717</v>
      </c>
    </row>
    <row r="27" spans="1:22" x14ac:dyDescent="0.3">
      <c r="V27" s="4"/>
    </row>
    <row r="28" spans="1:22" x14ac:dyDescent="0.3">
      <c r="V28" s="4"/>
    </row>
    <row r="29" spans="1:22" x14ac:dyDescent="0.3">
      <c r="V29" s="4"/>
    </row>
    <row r="30" spans="1:22" x14ac:dyDescent="0.3">
      <c r="V30" s="4"/>
    </row>
    <row r="31" spans="1:22" x14ac:dyDescent="0.3">
      <c r="V31" s="4"/>
    </row>
    <row r="32" spans="1:22" x14ac:dyDescent="0.3">
      <c r="V32" s="4"/>
    </row>
    <row r="33" spans="22:22" x14ac:dyDescent="0.3">
      <c r="V33" s="4"/>
    </row>
    <row r="34" spans="22:22" x14ac:dyDescent="0.3">
      <c r="V34" s="4"/>
    </row>
    <row r="35" spans="22:22" x14ac:dyDescent="0.3">
      <c r="V35" s="4"/>
    </row>
    <row r="36" spans="22:22" x14ac:dyDescent="0.3">
      <c r="V36" s="4"/>
    </row>
    <row r="37" spans="22:22" x14ac:dyDescent="0.3">
      <c r="V37" s="4"/>
    </row>
    <row r="38" spans="22:22" x14ac:dyDescent="0.3">
      <c r="V38" s="4"/>
    </row>
    <row r="39" spans="22:22" x14ac:dyDescent="0.3">
      <c r="V39" s="4"/>
    </row>
    <row r="40" spans="22:22" x14ac:dyDescent="0.3">
      <c r="V40" s="4"/>
    </row>
    <row r="41" spans="22:22" x14ac:dyDescent="0.3">
      <c r="V41" s="4"/>
    </row>
    <row r="42" spans="22:22" x14ac:dyDescent="0.3">
      <c r="V42" s="4"/>
    </row>
    <row r="43" spans="22:22" x14ac:dyDescent="0.3">
      <c r="V43" s="4"/>
    </row>
    <row r="44" spans="22:22" x14ac:dyDescent="0.3">
      <c r="V44" s="4"/>
    </row>
    <row r="45" spans="22:22" x14ac:dyDescent="0.3">
      <c r="V45" s="4"/>
    </row>
    <row r="46" spans="22:22" x14ac:dyDescent="0.3">
      <c r="V46" s="4"/>
    </row>
    <row r="47" spans="22:22" x14ac:dyDescent="0.3">
      <c r="V47" s="4"/>
    </row>
    <row r="48" spans="22:22" x14ac:dyDescent="0.3">
      <c r="V48" s="4"/>
    </row>
    <row r="49" spans="22:22" x14ac:dyDescent="0.3">
      <c r="V49" s="4"/>
    </row>
    <row r="50" spans="22:22" x14ac:dyDescent="0.3">
      <c r="V50" s="4"/>
    </row>
    <row r="51" spans="22:22" x14ac:dyDescent="0.3">
      <c r="V51" s="4"/>
    </row>
    <row r="52" spans="22:22" x14ac:dyDescent="0.3">
      <c r="V52" s="4"/>
    </row>
    <row r="53" spans="22:22" x14ac:dyDescent="0.3">
      <c r="V53" s="4"/>
    </row>
    <row r="54" spans="22:22" x14ac:dyDescent="0.3">
      <c r="V54" s="4"/>
    </row>
    <row r="55" spans="22:22" x14ac:dyDescent="0.3">
      <c r="V55" s="4"/>
    </row>
    <row r="56" spans="22:22" x14ac:dyDescent="0.3">
      <c r="V56" s="4"/>
    </row>
    <row r="57" spans="22:22" x14ac:dyDescent="0.3">
      <c r="V57" s="4"/>
    </row>
    <row r="58" spans="22:22" x14ac:dyDescent="0.3">
      <c r="V58" s="4"/>
    </row>
    <row r="59" spans="22:22" x14ac:dyDescent="0.3">
      <c r="V59" s="4"/>
    </row>
    <row r="60" spans="22:22" x14ac:dyDescent="0.3">
      <c r="V60" s="4"/>
    </row>
    <row r="61" spans="22:22" x14ac:dyDescent="0.3">
      <c r="V61" s="4"/>
    </row>
    <row r="62" spans="22:22" x14ac:dyDescent="0.3">
      <c r="V62" s="4"/>
    </row>
    <row r="63" spans="22:22" x14ac:dyDescent="0.3">
      <c r="V63" s="4"/>
    </row>
    <row r="64" spans="22:22" x14ac:dyDescent="0.3">
      <c r="V64" s="4"/>
    </row>
    <row r="65" spans="22:22" x14ac:dyDescent="0.3">
      <c r="V65" s="4"/>
    </row>
    <row r="66" spans="22:22" x14ac:dyDescent="0.3">
      <c r="V66" s="4"/>
    </row>
    <row r="67" spans="22:22" x14ac:dyDescent="0.3">
      <c r="V67" s="4"/>
    </row>
    <row r="68" spans="22:22" x14ac:dyDescent="0.3">
      <c r="V68" s="4"/>
    </row>
    <row r="69" spans="22:22" x14ac:dyDescent="0.3">
      <c r="V69" s="4"/>
    </row>
    <row r="70" spans="22:22" x14ac:dyDescent="0.3">
      <c r="V70" s="4"/>
    </row>
    <row r="71" spans="22:22" x14ac:dyDescent="0.3">
      <c r="V71" s="4"/>
    </row>
    <row r="72" spans="22:22" x14ac:dyDescent="0.3">
      <c r="V72" s="4"/>
    </row>
    <row r="73" spans="22:22" x14ac:dyDescent="0.3">
      <c r="V73" s="4"/>
    </row>
    <row r="74" spans="22:22" x14ac:dyDescent="0.3">
      <c r="V74" s="4"/>
    </row>
    <row r="75" spans="22:22" x14ac:dyDescent="0.3">
      <c r="V75" s="4"/>
    </row>
    <row r="76" spans="22:22" x14ac:dyDescent="0.3">
      <c r="V76" s="4"/>
    </row>
    <row r="77" spans="22:22" x14ac:dyDescent="0.3">
      <c r="V77" s="4"/>
    </row>
    <row r="78" spans="22:22" x14ac:dyDescent="0.3">
      <c r="V78" s="4"/>
    </row>
    <row r="79" spans="22:22" x14ac:dyDescent="0.3">
      <c r="V79" s="4"/>
    </row>
    <row r="80" spans="22:22" x14ac:dyDescent="0.3">
      <c r="V80" s="4"/>
    </row>
    <row r="81" spans="22:22" x14ac:dyDescent="0.3">
      <c r="V81" s="4"/>
    </row>
    <row r="82" spans="22:22" x14ac:dyDescent="0.3">
      <c r="V82" s="4"/>
    </row>
    <row r="83" spans="22:22" x14ac:dyDescent="0.3">
      <c r="V83" s="4"/>
    </row>
    <row r="84" spans="22:22" x14ac:dyDescent="0.3">
      <c r="V84" s="4"/>
    </row>
    <row r="85" spans="22:22" x14ac:dyDescent="0.3">
      <c r="V85" s="4"/>
    </row>
    <row r="86" spans="22:22" x14ac:dyDescent="0.3">
      <c r="V86" s="4"/>
    </row>
    <row r="87" spans="22:22" x14ac:dyDescent="0.3">
      <c r="V87" s="4"/>
    </row>
    <row r="88" spans="22:22" x14ac:dyDescent="0.3">
      <c r="V88" s="4"/>
    </row>
    <row r="89" spans="22:22" x14ac:dyDescent="0.3">
      <c r="V89" s="4"/>
    </row>
    <row r="90" spans="22:22" x14ac:dyDescent="0.3">
      <c r="V90" s="4"/>
    </row>
    <row r="91" spans="22:22" x14ac:dyDescent="0.3">
      <c r="V91" s="4"/>
    </row>
    <row r="92" spans="22:22" x14ac:dyDescent="0.3">
      <c r="V92" s="4"/>
    </row>
    <row r="93" spans="22:22" x14ac:dyDescent="0.3">
      <c r="V93" s="4"/>
    </row>
    <row r="94" spans="22:22" x14ac:dyDescent="0.3">
      <c r="V94" s="4"/>
    </row>
    <row r="95" spans="22:22" x14ac:dyDescent="0.3">
      <c r="V95" s="4"/>
    </row>
    <row r="96" spans="22:22" x14ac:dyDescent="0.3">
      <c r="V96" s="4"/>
    </row>
    <row r="97" spans="22:22" x14ac:dyDescent="0.3">
      <c r="V97" s="4"/>
    </row>
    <row r="98" spans="22:22" x14ac:dyDescent="0.3">
      <c r="V98" s="4"/>
    </row>
    <row r="99" spans="22:22" x14ac:dyDescent="0.3">
      <c r="V99" s="4"/>
    </row>
    <row r="100" spans="22:22" x14ac:dyDescent="0.3">
      <c r="V100" s="4"/>
    </row>
    <row r="101" spans="22:22" x14ac:dyDescent="0.3">
      <c r="V101" s="4"/>
    </row>
    <row r="102" spans="22:22" x14ac:dyDescent="0.3">
      <c r="V102" s="4"/>
    </row>
    <row r="103" spans="22:22" x14ac:dyDescent="0.3">
      <c r="V103" s="4"/>
    </row>
    <row r="104" spans="22:22" x14ac:dyDescent="0.3">
      <c r="V104" s="4"/>
    </row>
    <row r="105" spans="22:22" x14ac:dyDescent="0.3">
      <c r="V105" s="4"/>
    </row>
    <row r="106" spans="22:22" x14ac:dyDescent="0.3">
      <c r="V106" s="4"/>
    </row>
    <row r="107" spans="22:22" x14ac:dyDescent="0.3">
      <c r="V107" s="4"/>
    </row>
    <row r="108" spans="22:22" x14ac:dyDescent="0.3">
      <c r="V108" s="4"/>
    </row>
    <row r="109" spans="22:22" x14ac:dyDescent="0.3">
      <c r="V109" s="4"/>
    </row>
    <row r="110" spans="22:22" x14ac:dyDescent="0.3">
      <c r="V110" s="4"/>
    </row>
    <row r="111" spans="22:22" x14ac:dyDescent="0.3">
      <c r="V111" s="4"/>
    </row>
    <row r="112" spans="22:22" x14ac:dyDescent="0.3">
      <c r="V112" s="4"/>
    </row>
    <row r="113" spans="22:22" x14ac:dyDescent="0.3">
      <c r="V113" s="4"/>
    </row>
    <row r="114" spans="22:22" x14ac:dyDescent="0.3">
      <c r="V114" s="4"/>
    </row>
    <row r="115" spans="22:22" x14ac:dyDescent="0.3">
      <c r="V115" s="4"/>
    </row>
    <row r="116" spans="22:22" x14ac:dyDescent="0.3">
      <c r="V116" s="4"/>
    </row>
    <row r="117" spans="22:22" x14ac:dyDescent="0.3">
      <c r="V117" s="4"/>
    </row>
    <row r="118" spans="22:22" x14ac:dyDescent="0.3">
      <c r="V118" s="4"/>
    </row>
    <row r="119" spans="22:22" x14ac:dyDescent="0.3">
      <c r="V119" s="4"/>
    </row>
    <row r="120" spans="22:22" x14ac:dyDescent="0.3">
      <c r="V120" s="4"/>
    </row>
    <row r="121" spans="22:22" x14ac:dyDescent="0.3">
      <c r="V121" s="4"/>
    </row>
    <row r="122" spans="22:22" x14ac:dyDescent="0.3">
      <c r="V122" s="4"/>
    </row>
    <row r="123" spans="22:22" x14ac:dyDescent="0.3">
      <c r="V123" s="4"/>
    </row>
    <row r="124" spans="22:22" x14ac:dyDescent="0.3">
      <c r="V124" s="4"/>
    </row>
    <row r="125" spans="22:22" x14ac:dyDescent="0.3">
      <c r="V125" s="4"/>
    </row>
    <row r="126" spans="22:22" x14ac:dyDescent="0.3">
      <c r="V126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A958-CF67-49E0-AC2A-BEA16C5C8F6A}">
  <sheetPr codeName="Sheet4"/>
  <dimension ref="A1:L25"/>
  <sheetViews>
    <sheetView workbookViewId="0">
      <selection activeCell="K9" sqref="K9"/>
    </sheetView>
  </sheetViews>
  <sheetFormatPr defaultRowHeight="15.6" x14ac:dyDescent="0.3"/>
  <sheetData>
    <row r="1" spans="1:12" x14ac:dyDescent="0.3">
      <c r="A1" t="s">
        <v>31</v>
      </c>
    </row>
    <row r="2" spans="1:12" x14ac:dyDescent="0.3">
      <c r="A2" t="s">
        <v>32</v>
      </c>
      <c r="D2" t="s">
        <v>40</v>
      </c>
      <c r="G2" t="s">
        <v>39</v>
      </c>
    </row>
    <row r="3" spans="1:12" x14ac:dyDescent="0.3">
      <c r="A3" t="s">
        <v>37</v>
      </c>
      <c r="B3" t="s">
        <v>38</v>
      </c>
      <c r="D3" t="s">
        <v>37</v>
      </c>
      <c r="E3" t="s">
        <v>38</v>
      </c>
      <c r="G3" t="s">
        <v>37</v>
      </c>
      <c r="H3" t="s">
        <v>38</v>
      </c>
    </row>
    <row r="4" spans="1:12" x14ac:dyDescent="0.3">
      <c r="A4" t="s">
        <v>42</v>
      </c>
      <c r="B4">
        <v>100</v>
      </c>
      <c r="D4" t="s">
        <v>42</v>
      </c>
      <c r="E4">
        <v>100</v>
      </c>
      <c r="G4" t="s">
        <v>42</v>
      </c>
      <c r="H4">
        <v>120.96</v>
      </c>
    </row>
    <row r="5" spans="1:12" x14ac:dyDescent="0.3">
      <c r="A5" t="s">
        <v>33</v>
      </c>
      <c r="B5">
        <v>105</v>
      </c>
      <c r="D5" t="s">
        <v>33</v>
      </c>
      <c r="E5">
        <v>105</v>
      </c>
      <c r="G5" t="s">
        <v>33</v>
      </c>
      <c r="H5">
        <v>135</v>
      </c>
    </row>
    <row r="6" spans="1:12" x14ac:dyDescent="0.3">
      <c r="A6" t="s">
        <v>34</v>
      </c>
      <c r="B6">
        <v>30</v>
      </c>
      <c r="D6" t="s">
        <v>34</v>
      </c>
      <c r="E6">
        <v>30</v>
      </c>
      <c r="G6" t="s">
        <v>43</v>
      </c>
      <c r="H6">
        <v>0.01</v>
      </c>
    </row>
    <row r="7" spans="1:12" x14ac:dyDescent="0.3">
      <c r="A7" t="s">
        <v>35</v>
      </c>
      <c r="B7">
        <v>0.01</v>
      </c>
      <c r="D7" t="s">
        <v>35</v>
      </c>
      <c r="E7">
        <v>0.01</v>
      </c>
      <c r="G7" t="s">
        <v>34</v>
      </c>
      <c r="H7">
        <v>14</v>
      </c>
    </row>
    <row r="8" spans="1:12" x14ac:dyDescent="0.3">
      <c r="A8" t="s">
        <v>27</v>
      </c>
      <c r="B8">
        <v>2.2999999999999998</v>
      </c>
      <c r="D8" t="s">
        <v>41</v>
      </c>
      <c r="E8">
        <v>0.64</v>
      </c>
      <c r="G8" t="s">
        <v>41</v>
      </c>
      <c r="H8">
        <v>0.64200000000000002</v>
      </c>
    </row>
    <row r="9" spans="1:12" x14ac:dyDescent="0.3">
      <c r="A9" t="s">
        <v>32</v>
      </c>
      <c r="B9">
        <f>impliedVol(B3,B4,B5,B8,B7,B6/365)</f>
        <v>0.36885632491434034</v>
      </c>
      <c r="D9" t="s">
        <v>40</v>
      </c>
      <c r="E9">
        <f>bsPrice(E3,E4,E5,E7,E6/365,E8,0)</f>
        <v>5.2860615124516883</v>
      </c>
      <c r="G9" t="s">
        <v>39</v>
      </c>
      <c r="H9">
        <f t="array" ref="H9:L9">bsGreeks(H3,H4,H5,H6,H7/365,H8)</f>
        <v>0.20969699645897455</v>
      </c>
      <c r="I9">
        <v>1.8933587365464535E-2</v>
      </c>
      <c r="J9">
        <v>6.8216064964461531E-2</v>
      </c>
      <c r="K9">
        <v>-15.705802209301295</v>
      </c>
      <c r="L9">
        <v>0.90766239429661222</v>
      </c>
    </row>
    <row r="10" spans="1:12" x14ac:dyDescent="0.3">
      <c r="H10" t="s">
        <v>17</v>
      </c>
      <c r="I10" t="s">
        <v>18</v>
      </c>
      <c r="J10" t="s">
        <v>19</v>
      </c>
      <c r="K10" t="s">
        <v>20</v>
      </c>
      <c r="L10" t="s">
        <v>21</v>
      </c>
    </row>
    <row r="11" spans="1:12" x14ac:dyDescent="0.3">
      <c r="A11" t="s">
        <v>37</v>
      </c>
      <c r="B11" t="s">
        <v>44</v>
      </c>
      <c r="D11" t="s">
        <v>37</v>
      </c>
      <c r="E11" t="s">
        <v>44</v>
      </c>
    </row>
    <row r="12" spans="1:12" x14ac:dyDescent="0.3">
      <c r="A12" t="s">
        <v>42</v>
      </c>
      <c r="B12">
        <v>100</v>
      </c>
      <c r="D12" t="s">
        <v>42</v>
      </c>
      <c r="E12">
        <v>100</v>
      </c>
      <c r="G12" t="s">
        <v>37</v>
      </c>
      <c r="H12" t="s">
        <v>44</v>
      </c>
    </row>
    <row r="13" spans="1:12" x14ac:dyDescent="0.3">
      <c r="A13" t="s">
        <v>33</v>
      </c>
      <c r="B13">
        <v>101</v>
      </c>
      <c r="D13" t="s">
        <v>33</v>
      </c>
      <c r="E13">
        <v>105</v>
      </c>
      <c r="G13" t="s">
        <v>42</v>
      </c>
      <c r="H13">
        <v>120.96</v>
      </c>
    </row>
    <row r="14" spans="1:12" x14ac:dyDescent="0.3">
      <c r="A14" t="s">
        <v>34</v>
      </c>
      <c r="B14">
        <v>30</v>
      </c>
      <c r="D14" t="s">
        <v>34</v>
      </c>
      <c r="E14">
        <v>30</v>
      </c>
      <c r="G14" t="s">
        <v>33</v>
      </c>
      <c r="H14">
        <v>135</v>
      </c>
    </row>
    <row r="15" spans="1:12" x14ac:dyDescent="0.3">
      <c r="A15" t="s">
        <v>35</v>
      </c>
      <c r="B15">
        <v>0.01</v>
      </c>
      <c r="D15" t="s">
        <v>35</v>
      </c>
      <c r="E15">
        <v>0.01</v>
      </c>
      <c r="G15" t="s">
        <v>43</v>
      </c>
      <c r="H15">
        <v>0.01</v>
      </c>
    </row>
    <row r="16" spans="1:12" x14ac:dyDescent="0.3">
      <c r="A16" t="s">
        <v>28</v>
      </c>
      <c r="B16">
        <v>4.3</v>
      </c>
      <c r="D16" t="s">
        <v>41</v>
      </c>
      <c r="E16">
        <v>0.64</v>
      </c>
      <c r="G16" t="s">
        <v>34</v>
      </c>
      <c r="H16">
        <v>14</v>
      </c>
    </row>
    <row r="17" spans="1:12" x14ac:dyDescent="0.3">
      <c r="A17" t="s">
        <v>32</v>
      </c>
      <c r="B17">
        <f>impliedVol(B11,B12,B13,B16,B15,B14/365)</f>
        <v>0.33294703128780795</v>
      </c>
      <c r="D17" t="s">
        <v>40</v>
      </c>
      <c r="E17">
        <f>bsPrice(E11,E12,E13,E15,E14/365,E16,0)</f>
        <v>10.199795599190253</v>
      </c>
      <c r="G17" t="s">
        <v>41</v>
      </c>
      <c r="H17">
        <v>0.64200000000000002</v>
      </c>
    </row>
    <row r="18" spans="1:12" x14ac:dyDescent="0.3">
      <c r="G18" t="s">
        <v>39</v>
      </c>
      <c r="H18">
        <f t="array" ref="H18:L18">bsGreeks(H12,H13,H14,H15,H16/365,H17)</f>
        <v>-0.79030300354102545</v>
      </c>
      <c r="I18">
        <v>1.8933587365464535E-2</v>
      </c>
      <c r="J18">
        <v>6.8216064964461531E-2</v>
      </c>
      <c r="K18">
        <v>-15.336081033664632</v>
      </c>
      <c r="L18">
        <v>-4.2684340646166419</v>
      </c>
    </row>
    <row r="19" spans="1:12" x14ac:dyDescent="0.3">
      <c r="A19" t="s">
        <v>37</v>
      </c>
      <c r="B19" t="s">
        <v>44</v>
      </c>
      <c r="H19" t="s">
        <v>17</v>
      </c>
      <c r="I19" t="s">
        <v>18</v>
      </c>
      <c r="J19" t="s">
        <v>19</v>
      </c>
      <c r="K19" t="s">
        <v>20</v>
      </c>
      <c r="L19" t="s">
        <v>21</v>
      </c>
    </row>
    <row r="20" spans="1:12" x14ac:dyDescent="0.3">
      <c r="A20" t="s">
        <v>42</v>
      </c>
      <c r="B20">
        <v>4145</v>
      </c>
    </row>
    <row r="21" spans="1:12" x14ac:dyDescent="0.3">
      <c r="A21" t="s">
        <v>33</v>
      </c>
      <c r="B21">
        <v>200</v>
      </c>
    </row>
    <row r="22" spans="1:12" x14ac:dyDescent="0.3">
      <c r="A22" t="s">
        <v>34</v>
      </c>
      <c r="B22">
        <v>406</v>
      </c>
    </row>
    <row r="23" spans="1:12" x14ac:dyDescent="0.3">
      <c r="A23" t="s">
        <v>35</v>
      </c>
      <c r="B23">
        <v>0.01</v>
      </c>
    </row>
    <row r="24" spans="1:12" x14ac:dyDescent="0.3">
      <c r="A24" t="s">
        <v>28</v>
      </c>
      <c r="B24">
        <v>0.4</v>
      </c>
    </row>
    <row r="25" spans="1:12" x14ac:dyDescent="0.3">
      <c r="A25" t="s">
        <v>32</v>
      </c>
      <c r="B25" t="str">
        <f>impliedVol(B19,B20,B21,B24,B23,B22/365)</f>
        <v>Calculation Error : Vega is Zero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9938D2-3065-4BFB-B9D9-3AFBC16FB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Static</vt:lpstr>
      <vt:lpstr>Details</vt:lpstr>
      <vt:lpstr>data</vt:lpstr>
      <vt:lpstr>Greeks</vt:lpstr>
      <vt:lpstr>regression</vt:lpstr>
      <vt:lpstr>_xlwings.conf</vt:lpstr>
      <vt:lpstr>greeksPosition</vt:lpstr>
      <vt:lpstr>Lapse</vt:lpstr>
      <vt:lpstr>OptExpiries</vt:lpstr>
      <vt:lpstr>spot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Manas Bhatt</cp:lastModifiedBy>
  <dcterms:created xsi:type="dcterms:W3CDTF">2015-01-25T11:31:25Z</dcterms:created>
  <dcterms:modified xsi:type="dcterms:W3CDTF">2022-05-13T08:44:48Z</dcterms:modified>
</cp:coreProperties>
</file>